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65" yWindow="1875" windowWidth="29130" windowHeight="15930" tabRatio="836" firstSheet="0" activeTab="0" autoFilterDateGrouping="1"/>
  </bookViews>
  <sheets>
    <sheet xmlns:r="http://schemas.openxmlformats.org/officeDocument/2006/relationships" name="IC Report" sheetId="1" state="visible" r:id="rId1"/>
    <sheet xmlns:r="http://schemas.openxmlformats.org/officeDocument/2006/relationships" name="SAA with CME" sheetId="2" state="visible" r:id="rId2"/>
    <sheet xmlns:r="http://schemas.openxmlformats.org/officeDocument/2006/relationships" name="Index Returns" sheetId="3" state="visible" r:id="rId3"/>
    <sheet xmlns:r="http://schemas.openxmlformats.org/officeDocument/2006/relationships" name="SAAPortfolioPerformance" sheetId="4" state="visible" r:id="rId4"/>
    <sheet xmlns:r="http://schemas.openxmlformats.org/officeDocument/2006/relationships" name="TAA" sheetId="5" state="visible" r:id="rId5"/>
    <sheet xmlns:r="http://schemas.openxmlformats.org/officeDocument/2006/relationships" name="TAAPortfolioPerformance" sheetId="6" state="visible" r:id="rId6"/>
    <sheet xmlns:r="http://schemas.openxmlformats.org/officeDocument/2006/relationships" name="Return Distribution" sheetId="7" state="visible" r:id="rId7"/>
    <sheet xmlns:r="http://schemas.openxmlformats.org/officeDocument/2006/relationships" name="CurrencyHedge" sheetId="8" state="visible" r:id="rId8"/>
  </sheets>
  <definedNames>
    <definedName name="solver_adj" localSheetId="1" hidden="1">'SAA with CME'!$C$17:$H$17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'SAA with CME'!$C$17:$H$17</definedName>
    <definedName name="solver_lhs2" localSheetId="1" hidden="1">'SAA with CME'!$I$17</definedName>
    <definedName name="solver_lhs3" localSheetId="1" hidden="1">'SAA with CME'!$I$20</definedName>
    <definedName name="solver_lhs4" localSheetId="1" hidden="1">'SAA with CME'!#REF!</definedName>
    <definedName name="solver_lhs5" localSheetId="1" hidden="1">'SAA with CME'!#REF!</definedName>
    <definedName name="solver_lhs6" localSheetId="1" hidden="1">'SAA with CME'!#REF!</definedName>
    <definedName name="solver_lhs7" localSheetId="1" hidden="1">'SAA with CME'!#REF!</definedName>
    <definedName name="solver_lhs8" localSheetId="1" hidden="1">'SAA with CME'!#REF!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'SAA with CME'!$I$18</definedName>
    <definedName name="solver_pre" localSheetId="1" hidden="1">0.000001</definedName>
    <definedName name="solver_rbv" localSheetId="1" hidden="1">2</definedName>
    <definedName name="solver_rel1" localSheetId="1" hidden="1">3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el7" localSheetId="1" hidden="1">1</definedName>
    <definedName name="solver_rel8" localSheetId="1" hidden="1">1</definedName>
    <definedName name="solver_rhs1" localSheetId="1" hidden="1">'SAA with CME'!$K$17</definedName>
    <definedName name="solver_rhs2" localSheetId="1" hidden="1">1</definedName>
    <definedName name="solver_rhs3" localSheetId="1" hidden="1">'SAA with CME'!$K$20</definedName>
    <definedName name="solver_rhs4" localSheetId="1" hidden="1">'SAA with CME'!#REF!</definedName>
    <definedName name="solver_rhs5" localSheetId="1" hidden="1">'SAA with CME'!#REF!</definedName>
    <definedName name="solver_rhs6" localSheetId="1" hidden="1">'SAA with CME'!#REF!</definedName>
    <definedName name="solver_rhs7" localSheetId="1" hidden="1">'SAA with CME'!#REF!</definedName>
    <definedName name="solver_rhs8" localSheetId="1" hidden="1">'SAA with CME'!#REF!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SAAPortfolioPerformance!$D$9</definedName>
    <definedName name="solver_typ" localSheetId="3" hidden="1">1</definedName>
    <definedName name="solver_val" localSheetId="3" hidden="1">0</definedName>
    <definedName name="solver_ver" localSheetId="3" hidden="1">3</definedName>
    <definedName name="solver_adj" localSheetId="4" hidden="1">TAA!$C$24:$H$24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TAA!$C$24:$H$24</definedName>
    <definedName name="solver_lhs2" localSheetId="4" hidden="1">TAA!$C$31:$H$31</definedName>
    <definedName name="solver_lhs3" localSheetId="4" hidden="1">TAA!$C$31:$H$31</definedName>
    <definedName name="solver_lhs4" localSheetId="4" hidden="1">TAA!$I$24</definedName>
    <definedName name="solver_lhs5" localSheetId="4" hidden="1">TAA!$I$27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5</definedName>
    <definedName name="solver_nwt" localSheetId="4" hidden="1">1</definedName>
    <definedName name="solver_opt" localSheetId="4" hidden="1">TAA!$I$25</definedName>
    <definedName name="solver_pre" localSheetId="4" hidden="1">0.000001</definedName>
    <definedName name="solver_rbv" localSheetId="4" hidden="1">1</definedName>
    <definedName name="solver_rel1" localSheetId="4" hidden="1">3</definedName>
    <definedName name="solver_rel2" localSheetId="4" hidden="1">1</definedName>
    <definedName name="solver_rel3" localSheetId="4" hidden="1">3</definedName>
    <definedName name="solver_rel4" localSheetId="4" hidden="1">2</definedName>
    <definedName name="solver_rel5" localSheetId="4" hidden="1">1</definedName>
    <definedName name="solver_rhs1" localSheetId="4" hidden="1">TAA!$K$24</definedName>
    <definedName name="solver_rhs2" localSheetId="4" hidden="1">20%</definedName>
    <definedName name="solver_rhs3" localSheetId="4" hidden="1">-20%</definedName>
    <definedName name="solver_rhs4" localSheetId="4" hidden="1">1</definedName>
    <definedName name="solver_rhs5" localSheetId="4" hidden="1">TAA!$K$27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_);\(#,##0\);\-\-_)"/>
    <numFmt numFmtId="165" formatCode="0.000000_ ;[Red]\-0.000000\ "/>
    <numFmt numFmtId="166" formatCode="0.000000"/>
    <numFmt numFmtId="167" formatCode="0.0%"/>
    <numFmt numFmtId="168" formatCode="0.0000"/>
    <numFmt numFmtId="169" formatCode="_-* #,##0_-;\-* #,##0_-;_-* &quot;-&quot;??_-;_-@_-"/>
    <numFmt numFmtId="170" formatCode="_-* #,##0_-;\-* #,##0_-;_-* &quot;-&quot;????_-;_-@_-"/>
    <numFmt numFmtId="171" formatCode="m/d/yyyy;@"/>
    <numFmt numFmtId="172" formatCode="_-* #,##0.0000_-;\-* #,##0.0000_-;_-* &quot;-&quot;??_-;_-@_-"/>
    <numFmt numFmtId="173" formatCode="0.000"/>
    <numFmt numFmtId="174" formatCode="#,##0;[Red]-#,##0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0006"/>
      <sz val="11"/>
      <scheme val="minor"/>
    </font>
    <font>
      <name val="Lato"/>
      <family val="2"/>
      <b val="1"/>
      <color rgb="FFFFFFFF"/>
      <sz val="10"/>
    </font>
    <font>
      <name val="Lato"/>
      <family val="2"/>
      <b val="1"/>
      <color rgb="FF333333"/>
      <sz val="8"/>
    </font>
    <font>
      <name val="Arial"/>
      <family val="2"/>
      <b val="1"/>
      <color rgb="FFFFFFFF"/>
      <sz val="14"/>
    </font>
    <font>
      <name val="Arial"/>
      <family val="2"/>
      <color theme="1"/>
      <sz val="14"/>
    </font>
    <font>
      <name val="Arial"/>
      <family val="2"/>
      <i val="1"/>
      <color theme="9" tint="-0.249977111117893"/>
      <sz val="14"/>
    </font>
    <font>
      <name val="Arial"/>
      <family val="2"/>
      <b val="1"/>
      <color theme="1"/>
      <sz val="14"/>
    </font>
    <font>
      <name val="Arial"/>
      <family val="2"/>
      <b val="1"/>
      <color rgb="FF4476FF"/>
      <sz val="14"/>
    </font>
    <font>
      <name val="Arial"/>
      <family val="2"/>
      <color rgb="FF4476FF"/>
      <sz val="14"/>
    </font>
    <font>
      <name val="Arial"/>
      <family val="2"/>
      <color rgb="FF9C0006"/>
      <sz val="14"/>
    </font>
    <font>
      <name val="Arial"/>
      <family val="2"/>
      <sz val="14"/>
    </font>
    <font>
      <name val="Arial"/>
      <family val="2"/>
      <b val="1"/>
      <i val="1"/>
      <color rgb="FF333333"/>
      <sz val="14"/>
    </font>
    <font>
      <name val="Arial"/>
      <family val="2"/>
      <i val="1"/>
      <color theme="1"/>
      <sz val="14"/>
    </font>
    <font>
      <name val="Arial"/>
      <family val="2"/>
      <b val="1"/>
      <color rgb="FF333333"/>
      <sz val="14"/>
    </font>
    <font>
      <name val="Arial"/>
      <family val="2"/>
      <b val="1"/>
      <sz val="14"/>
    </font>
    <font>
      <name val="Arial"/>
      <family val="2"/>
      <b val="1"/>
      <color theme="1"/>
      <sz val="14"/>
      <u val="single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i val="1"/>
      <color rgb="FF7F7F7F"/>
      <sz val="11"/>
      <scheme val="minor"/>
    </font>
    <font>
      <name val="Arial"/>
      <family val="2"/>
      <i val="1"/>
      <sz val="14"/>
    </font>
    <font>
      <name val="Arial"/>
      <family val="2"/>
      <b val="1"/>
      <color theme="3"/>
      <sz val="14"/>
    </font>
    <font>
      <name val="Arial"/>
      <family val="2"/>
      <b val="1"/>
      <color rgb="FFFA7D00"/>
      <sz val="14"/>
    </font>
    <font>
      <name val="Arial"/>
      <family val="2"/>
      <color rgb="FFFA7D00"/>
      <sz val="14"/>
    </font>
    <font>
      <name val="Arial"/>
      <family val="2"/>
      <b val="1"/>
      <color rgb="FF3F3F3F"/>
      <sz val="14"/>
    </font>
    <font>
      <name val="Arial"/>
      <family val="2"/>
      <color theme="0"/>
      <sz val="14"/>
    </font>
    <font>
      <name val="Arial"/>
      <family val="2"/>
      <b val="1"/>
      <i val="1"/>
      <sz val="14"/>
    </font>
    <font>
      <name val="Arial"/>
      <family val="2"/>
      <color rgb="FFFF0000"/>
      <sz val="14"/>
    </font>
    <font>
      <b val="1"/>
    </font>
    <font>
      <b val="1"/>
      <sz val="14"/>
    </font>
    <font>
      <i val="1"/>
      <color rgb="00595959"/>
    </font>
    <font>
      <b val="1"/>
      <color rgb="00FFFFFF"/>
    </font>
    <font>
      <b val="1"/>
      <sz val="12"/>
    </font>
    <font>
      <b val="1"/>
      <color rgb="001F4E78"/>
      <sz val="12"/>
    </font>
  </fonts>
  <fills count="16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007A87"/>
        <bgColor indexed="64"/>
      </patternFill>
    </fill>
    <fill>
      <patternFill patternType="solid">
        <fgColor rgb="FFF7ECDE"/>
        <bgColor indexed="64"/>
      </patternFill>
    </fill>
    <fill>
      <patternFill patternType="solid">
        <fgColor rgb="FF447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BFF"/>
        <bgColor indexed="64"/>
      </patternFill>
    </fill>
    <fill>
      <patternFill patternType="solid">
        <fgColor rgb="FF06005A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5CA27"/>
        <bgColor indexed="64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theme="0" tint="-0.1499679555650502"/>
      </left>
      <right style="medium">
        <color theme="0" tint="-0.1499679555650502"/>
      </right>
      <top style="medium">
        <color theme="0" tint="-0.1499679555650502"/>
      </top>
      <bottom style="medium">
        <color theme="0" tint="-0.1499679555650502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3">
    <xf numFmtId="0" fontId="1" fillId="0" borderId="0"/>
    <xf numFmtId="9" fontId="1" fillId="0" borderId="0"/>
    <xf numFmtId="0" fontId="2" fillId="2" borderId="0"/>
    <xf numFmtId="164" fontId="3" fillId="3" borderId="0" applyAlignment="1" applyProtection="1">
      <alignment horizontal="left" vertical="top"/>
      <protection locked="0" hidden="0"/>
    </xf>
    <xf numFmtId="164" fontId="4" fillId="0" borderId="3" applyAlignment="1" applyProtection="1">
      <alignment horizontal="left"/>
      <protection locked="0" hidden="0"/>
    </xf>
    <xf numFmtId="43" fontId="1" fillId="0" borderId="0"/>
    <xf numFmtId="0" fontId="18" fillId="0" borderId="5"/>
    <xf numFmtId="0" fontId="19" fillId="9" borderId="6"/>
    <xf numFmtId="0" fontId="20" fillId="10" borderId="7"/>
    <xf numFmtId="0" fontId="21" fillId="10" borderId="6"/>
    <xf numFmtId="0" fontId="22" fillId="0" borderId="8"/>
    <xf numFmtId="0" fontId="23" fillId="0" borderId="0"/>
    <xf numFmtId="0" fontId="1" fillId="11" borderId="0"/>
  </cellStyleXfs>
  <cellXfs count="124">
    <xf numFmtId="0" fontId="0" fillId="0" borderId="0" pivotButton="0" quotePrefix="0" xfId="0"/>
    <xf numFmtId="164" fontId="5" fillId="8" borderId="0" applyAlignment="1" applyProtection="1" pivotButton="0" quotePrefix="0" xfId="3">
      <alignment horizontal="left" vertical="top"/>
      <protection locked="0" hidden="0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8" fillId="5" borderId="0" pivotButton="0" quotePrefix="0" xfId="0"/>
    <xf numFmtId="0" fontId="8" fillId="0" borderId="0" applyAlignment="1" pivotButton="0" quotePrefix="0" xfId="0">
      <alignment horizontal="center"/>
    </xf>
    <xf numFmtId="165" fontId="6" fillId="4" borderId="0" applyAlignment="1" pivotButton="0" quotePrefix="0" xfId="0">
      <alignment horizontal="center"/>
    </xf>
    <xf numFmtId="0" fontId="8" fillId="0" borderId="0" pivotButton="0" quotePrefix="0" xfId="0"/>
    <xf numFmtId="0" fontId="6" fillId="0" borderId="0" applyAlignment="1" pivotButton="0" quotePrefix="0" xfId="0">
      <alignment horizontal="center"/>
    </xf>
    <xf numFmtId="10" fontId="6" fillId="0" borderId="0" applyAlignment="1" pivotButton="0" quotePrefix="0" xfId="1">
      <alignment horizontal="center"/>
    </xf>
    <xf numFmtId="9" fontId="6" fillId="0" borderId="0" pivotButton="0" quotePrefix="0" xfId="1"/>
    <xf numFmtId="0" fontId="9" fillId="0" borderId="0" pivotButton="0" quotePrefix="0" xfId="0"/>
    <xf numFmtId="0" fontId="6" fillId="0" borderId="1" pivotButton="0" quotePrefix="0" xfId="0"/>
    <xf numFmtId="0" fontId="8" fillId="0" borderId="1" applyAlignment="1" pivotButton="0" quotePrefix="0" xfId="0">
      <alignment horizontal="center"/>
    </xf>
    <xf numFmtId="2" fontId="10" fillId="0" borderId="0" applyAlignment="1" pivotButton="0" quotePrefix="0" xfId="0">
      <alignment horizontal="center"/>
    </xf>
    <xf numFmtId="2" fontId="11" fillId="2" borderId="0" applyAlignment="1" pivotButton="0" quotePrefix="0" xfId="2">
      <alignment horizontal="center"/>
    </xf>
    <xf numFmtId="0" fontId="6" fillId="4" borderId="0" pivotButton="0" quotePrefix="0" xfId="0"/>
    <xf numFmtId="10" fontId="12" fillId="5" borderId="2" applyAlignment="1" pivotButton="0" quotePrefix="0" xfId="2">
      <alignment horizontal="center"/>
    </xf>
    <xf numFmtId="0" fontId="12" fillId="5" borderId="0" pivotButton="0" quotePrefix="0" xfId="0"/>
    <xf numFmtId="0" fontId="13" fillId="6" borderId="4" applyAlignment="1" pivotButton="0" quotePrefix="0" xfId="4">
      <alignment horizontal="right"/>
    </xf>
    <xf numFmtId="166" fontId="14" fillId="6" borderId="4" pivotButton="0" quotePrefix="0" xfId="0"/>
    <xf numFmtId="0" fontId="15" fillId="7" borderId="4" applyAlignment="1" pivotButton="0" quotePrefix="0" xfId="4">
      <alignment horizontal="right"/>
    </xf>
    <xf numFmtId="167" fontId="11" fillId="2" borderId="4" applyAlignment="1" pivotButton="0" quotePrefix="0" xfId="1">
      <alignment horizontal="center"/>
    </xf>
    <xf numFmtId="0" fontId="6" fillId="7" borderId="0" applyAlignment="1" pivotButton="0" quotePrefix="0" xfId="0">
      <alignment horizontal="right"/>
    </xf>
    <xf numFmtId="9" fontId="11" fillId="2" borderId="0" pivotButton="0" quotePrefix="0" xfId="2"/>
    <xf numFmtId="0" fontId="8" fillId="0" borderId="4" applyAlignment="1" pivotButton="0" quotePrefix="0" xfId="0">
      <alignment horizontal="right"/>
    </xf>
    <xf numFmtId="10" fontId="12" fillId="0" borderId="4" applyAlignment="1" pivotButton="0" quotePrefix="0" xfId="2">
      <alignment horizontal="center"/>
    </xf>
    <xf numFmtId="168" fontId="12" fillId="0" borderId="4" applyAlignment="1" pivotButton="0" quotePrefix="0" xfId="2">
      <alignment horizontal="center"/>
    </xf>
    <xf numFmtId="0" fontId="6" fillId="0" borderId="0" applyAlignment="1" pivotButton="0" quotePrefix="0" xfId="0">
      <alignment horizontal="right"/>
    </xf>
    <xf numFmtId="9" fontId="8" fillId="0" borderId="0" pivotButton="0" quotePrefix="0" xfId="1"/>
    <xf numFmtId="10" fontId="8" fillId="0" borderId="0" pivotButton="0" quotePrefix="0" xfId="0"/>
    <xf numFmtId="4" fontId="8" fillId="0" borderId="0" applyAlignment="1" pivotButton="0" quotePrefix="0" xfId="0">
      <alignment horizontal="center"/>
    </xf>
    <xf numFmtId="10" fontId="6" fillId="0" borderId="0" applyAlignment="1" pivotButton="0" quotePrefix="0" xfId="0">
      <alignment horizontal="center"/>
    </xf>
    <xf numFmtId="10" fontId="8" fillId="0" borderId="0" applyAlignment="1" pivotButton="0" quotePrefix="0" xfId="0">
      <alignment horizontal="right"/>
    </xf>
    <xf numFmtId="168" fontId="8" fillId="0" borderId="0" applyAlignment="1" pivotButton="0" quotePrefix="0" xfId="5">
      <alignment horizontal="right"/>
    </xf>
    <xf numFmtId="10" fontId="8" fillId="0" borderId="0" applyAlignment="1" pivotButton="0" quotePrefix="0" xfId="5">
      <alignment horizontal="right"/>
    </xf>
    <xf numFmtId="0" fontId="8" fillId="5" borderId="0" applyAlignment="1" pivotButton="0" quotePrefix="0" xfId="0">
      <alignment horizontal="center"/>
    </xf>
    <xf numFmtId="10" fontId="6" fillId="0" borderId="0" pivotButton="0" quotePrefix="0" xfId="0"/>
    <xf numFmtId="0" fontId="16" fillId="5" borderId="0" pivotButton="0" quotePrefix="0" xfId="0"/>
    <xf numFmtId="0" fontId="8" fillId="0" borderId="0" applyAlignment="1" pivotButton="0" quotePrefix="0" xfId="0">
      <alignment horizontal="right"/>
    </xf>
    <xf numFmtId="10" fontId="17" fillId="0" borderId="0" applyAlignment="1" pivotButton="0" quotePrefix="0" xfId="1">
      <alignment horizontal="centerContinuous"/>
    </xf>
    <xf numFmtId="0" fontId="17" fillId="0" borderId="0" applyAlignment="1" pivotButton="0" quotePrefix="0" xfId="0">
      <alignment horizontal="centerContinuous"/>
    </xf>
    <xf numFmtId="10" fontId="6" fillId="0" borderId="0" pivotButton="0" quotePrefix="0" xfId="1"/>
    <xf numFmtId="168" fontId="8" fillId="0" borderId="0" applyAlignment="1" pivotButton="0" quotePrefix="0" xfId="5">
      <alignment horizontal="center"/>
    </xf>
    <xf numFmtId="0" fontId="12" fillId="12" borderId="0" pivotButton="0" quotePrefix="0" xfId="0"/>
    <xf numFmtId="0" fontId="6" fillId="12" borderId="0" pivotButton="0" quotePrefix="0" xfId="0"/>
    <xf numFmtId="0" fontId="24" fillId="12" borderId="0" pivotButton="0" quotePrefix="0" xfId="11"/>
    <xf numFmtId="168" fontId="12" fillId="12" borderId="0" applyAlignment="1" pivotButton="0" quotePrefix="0" xfId="0">
      <alignment horizontal="right"/>
    </xf>
    <xf numFmtId="2" fontId="12" fillId="12" borderId="0" pivotButton="0" quotePrefix="0" xfId="0"/>
    <xf numFmtId="0" fontId="8" fillId="12" borderId="0" pivotButton="0" quotePrefix="0" xfId="0"/>
    <xf numFmtId="0" fontId="16" fillId="12" borderId="0" pivotButton="0" quotePrefix="0" xfId="6"/>
    <xf numFmtId="0" fontId="24" fillId="12" borderId="9" pivotButton="0" quotePrefix="0" xfId="11"/>
    <xf numFmtId="10" fontId="12" fillId="13" borderId="9" pivotButton="0" quotePrefix="0" xfId="7"/>
    <xf numFmtId="3" fontId="12" fillId="13" borderId="9" pivotButton="0" quotePrefix="0" xfId="7"/>
    <xf numFmtId="169" fontId="16" fillId="0" borderId="9" pivotButton="0" quotePrefix="0" xfId="9"/>
    <xf numFmtId="0" fontId="16" fillId="5" borderId="9" pivotButton="0" quotePrefix="0" xfId="12"/>
    <xf numFmtId="168" fontId="12" fillId="13" borderId="9" applyAlignment="1" pivotButton="0" quotePrefix="0" xfId="7">
      <alignment horizontal="right"/>
    </xf>
    <xf numFmtId="168" fontId="16" fillId="0" borderId="9" applyAlignment="1" pivotButton="0" quotePrefix="0" xfId="9">
      <alignment horizontal="right"/>
    </xf>
    <xf numFmtId="2" fontId="12" fillId="13" borderId="9" applyAlignment="1" pivotButton="0" quotePrefix="0" xfId="7">
      <alignment horizontal="right"/>
    </xf>
    <xf numFmtId="169" fontId="12" fillId="0" borderId="9" pivotButton="0" quotePrefix="0" xfId="8"/>
    <xf numFmtId="170" fontId="16" fillId="0" borderId="9" pivotButton="0" quotePrefix="0" xfId="9"/>
    <xf numFmtId="0" fontId="12" fillId="12" borderId="0" pivotButton="0" quotePrefix="0" xfId="0"/>
    <xf numFmtId="171" fontId="29" fillId="8" borderId="0" applyAlignment="1" pivotButton="0" quotePrefix="0" xfId="0">
      <alignment horizontal="center"/>
    </xf>
    <xf numFmtId="0" fontId="29" fillId="8" borderId="0" applyAlignment="1" pivotButton="0" quotePrefix="0" xfId="0">
      <alignment horizontal="center"/>
    </xf>
    <xf numFmtId="171" fontId="8" fillId="0" borderId="4" applyAlignment="1" pivotButton="0" quotePrefix="0" xfId="0">
      <alignment horizontal="center" vertical="top"/>
    </xf>
    <xf numFmtId="171" fontId="6" fillId="0" borderId="0" pivotButton="0" quotePrefix="0" xfId="0"/>
    <xf numFmtId="0" fontId="30" fillId="6" borderId="4" applyAlignment="1" pivotButton="0" quotePrefix="0" xfId="4">
      <alignment horizontal="right"/>
    </xf>
    <xf numFmtId="0" fontId="16" fillId="7" borderId="4" applyAlignment="1" pivotButton="0" quotePrefix="0" xfId="4">
      <alignment horizontal="right"/>
    </xf>
    <xf numFmtId="166" fontId="24" fillId="6" borderId="4" pivotButton="0" quotePrefix="0" xfId="0"/>
    <xf numFmtId="0" fontId="25" fillId="12" borderId="0" pivotButton="0" quotePrefix="0" xfId="6"/>
    <xf numFmtId="0" fontId="24" fillId="12" borderId="10" pivotButton="0" quotePrefix="0" xfId="11"/>
    <xf numFmtId="169" fontId="12" fillId="13" borderId="10" pivotButton="0" quotePrefix="0" xfId="5"/>
    <xf numFmtId="9" fontId="12" fillId="13" borderId="10" pivotButton="0" quotePrefix="0" xfId="1"/>
    <xf numFmtId="169" fontId="16" fillId="0" borderId="10" pivotButton="0" quotePrefix="0" xfId="9"/>
    <xf numFmtId="0" fontId="6" fillId="12" borderId="10" pivotButton="0" quotePrefix="0" xfId="0"/>
    <xf numFmtId="0" fontId="8" fillId="5" borderId="9" pivotButton="0" quotePrefix="0" xfId="12"/>
    <xf numFmtId="172" fontId="26" fillId="0" borderId="9" pivotButton="0" quotePrefix="0" xfId="5"/>
    <xf numFmtId="3" fontId="26" fillId="0" borderId="9" pivotButton="0" quotePrefix="0" xfId="5"/>
    <xf numFmtId="169" fontId="27" fillId="0" borderId="9" pivotButton="0" quotePrefix="0" xfId="10"/>
    <xf numFmtId="169" fontId="28" fillId="0" borderId="9" pivotButton="0" quotePrefix="0" xfId="5"/>
    <xf numFmtId="169" fontId="26" fillId="0" borderId="9" pivotButton="0" quotePrefix="0" xfId="9"/>
    <xf numFmtId="9" fontId="31" fillId="4" borderId="0" applyAlignment="1" pivotButton="0" quotePrefix="0" xfId="2">
      <alignment horizontal="center"/>
    </xf>
    <xf numFmtId="171" fontId="8" fillId="0" borderId="0" pivotButton="0" quotePrefix="0" xfId="0"/>
    <xf numFmtId="171" fontId="6" fillId="0" borderId="0" pivotButton="0" quotePrefix="0" xfId="0"/>
    <xf numFmtId="171" fontId="29" fillId="8" borderId="0" applyAlignment="1" pivotButton="0" quotePrefix="0" xfId="0">
      <alignment horizontal="center"/>
    </xf>
    <xf numFmtId="171" fontId="8" fillId="0" borderId="4" applyAlignment="1" pivotButton="0" quotePrefix="0" xfId="0">
      <alignment horizontal="center" vertical="top"/>
    </xf>
    <xf numFmtId="171" fontId="8" fillId="0" borderId="0" pivotButton="0" quotePrefix="0" xfId="0"/>
    <xf numFmtId="0" fontId="32" fillId="0" borderId="0" pivotButton="0" quotePrefix="0" xfId="0"/>
    <xf numFmtId="173" fontId="0" fillId="14" borderId="11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15" borderId="11" applyAlignment="1" pivotButton="0" quotePrefix="0" xfId="0">
      <alignment horizontal="center" vertical="center" wrapText="1"/>
    </xf>
    <xf numFmtId="0" fontId="32" fillId="0" borderId="11" pivotButton="0" quotePrefix="0" xfId="0"/>
    <xf numFmtId="1" fontId="0" fillId="0" borderId="11" pivotButton="0" quotePrefix="0" xfId="0"/>
    <xf numFmtId="9" fontId="0" fillId="0" borderId="11" pivotButton="0" quotePrefix="0" xfId="0"/>
    <xf numFmtId="0" fontId="0" fillId="0" borderId="11" pivotButton="0" quotePrefix="0" xfId="0"/>
    <xf numFmtId="10" fontId="0" fillId="0" borderId="11" pivotButton="0" quotePrefix="0" xfId="0"/>
    <xf numFmtId="10" fontId="0" fillId="14" borderId="11" pivotButton="0" quotePrefix="0" xfId="0"/>
    <xf numFmtId="173" fontId="0" fillId="0" borderId="11" pivotButton="0" quotePrefix="0" xfId="0"/>
    <xf numFmtId="2" fontId="0" fillId="14" borderId="11" pivotButton="0" quotePrefix="0" xfId="0"/>
    <xf numFmtId="0" fontId="36" fillId="0" borderId="0" pivotButton="0" quotePrefix="0" xfId="0"/>
    <xf numFmtId="174" fontId="0" fillId="0" borderId="11" pivotButton="0" quotePrefix="0" xfId="0"/>
    <xf numFmtId="0" fontId="0" fillId="14" borderId="11" pivotButton="0" quotePrefix="0" xfId="0"/>
    <xf numFmtId="3" fontId="16" fillId="0" borderId="9" pivotButton="0" quotePrefix="0" xfId="9"/>
    <xf numFmtId="3" fontId="12" fillId="0" borderId="9" pivotButton="0" quotePrefix="0" xfId="8"/>
    <xf numFmtId="2" fontId="16" fillId="0" borderId="9" pivotButton="0" quotePrefix="0" xfId="9"/>
    <xf numFmtId="169" fontId="12" fillId="13" borderId="10" pivotButton="0" quotePrefix="0" xfId="5"/>
    <xf numFmtId="2" fontId="16" fillId="0" borderId="10" pivotButton="0" quotePrefix="0" xfId="9"/>
    <xf numFmtId="168" fontId="26" fillId="0" borderId="9" pivotButton="0" quotePrefix="0" xfId="5"/>
    <xf numFmtId="3" fontId="27" fillId="0" borderId="9" pivotButton="0" quotePrefix="0" xfId="10"/>
    <xf numFmtId="3" fontId="28" fillId="0" borderId="9" pivotButton="0" quotePrefix="0" xfId="5"/>
    <xf numFmtId="2" fontId="26" fillId="0" borderId="9" pivotButton="0" quotePrefix="0" xfId="9"/>
    <xf numFmtId="2" fontId="0" fillId="0" borderId="0" pivotButton="0" quotePrefix="0" xfId="0"/>
    <xf numFmtId="2" fontId="0" fillId="0" borderId="11" pivotButton="0" quotePrefix="0" xfId="0"/>
    <xf numFmtId="9" fontId="32" fillId="0" borderId="11" pivotButton="0" quotePrefix="0" xfId="0"/>
    <xf numFmtId="9" fontId="32" fillId="14" borderId="11" pivotButton="0" quotePrefix="0" xfId="0"/>
    <xf numFmtId="174" fontId="0" fillId="14" borderId="11" pivotButton="0" quotePrefix="0" xfId="0"/>
    <xf numFmtId="0" fontId="37" fillId="0" borderId="0" pivotButton="0" quotePrefix="0" xfId="0"/>
    <xf numFmtId="0" fontId="34" fillId="0" borderId="11" pivotButton="0" quotePrefix="0" xfId="0"/>
    <xf numFmtId="3" fontId="0" fillId="0" borderId="11" pivotButton="0" quotePrefix="0" xfId="0"/>
    <xf numFmtId="3" fontId="0" fillId="14" borderId="11" pivotButton="0" quotePrefix="0" xfId="0"/>
    <xf numFmtId="0" fontId="3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3">
    <cellStyle name="Normal" xfId="0" builtinId="0"/>
    <cellStyle name="Percent" xfId="1" builtinId="5"/>
    <cellStyle name="Bad" xfId="2" builtinId="27"/>
    <cellStyle name="banner1" xfId="3"/>
    <cellStyle name="headingL" xfId="4"/>
    <cellStyle name="Comma 2" xfId="5"/>
    <cellStyle name="Heading 3" xfId="6" builtinId="18"/>
    <cellStyle name="Input" xfId="7" builtinId="20"/>
    <cellStyle name="Output" xfId="8" builtinId="21"/>
    <cellStyle name="Calculation" xfId="9" builtinId="22"/>
    <cellStyle name="Linked Cell" xfId="10" builtinId="24"/>
    <cellStyle name="Explanatory Text" xfId="11" builtinId="53"/>
    <cellStyle name="40% - Accent3" xfId="12" builtinId="3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SAA - distribution of monthly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'Return Distribution'!I4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prstDash val="solid"/>
            </a:ln>
          </spPr>
          <cat>
            <numRef>
              <f>'Return Distribution'!$H$5:$H$15</f>
            </numRef>
          </cat>
          <val>
            <numRef>
              <f>'Return Distribution'!$I$5:$I$15</f>
            </numRef>
          </val>
        </ser>
        <gapWidth val="1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Monthly return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No. of months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TAA - distribution of monthly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'Return Distribution'!J4</f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>
              <a:prstDash val="solid"/>
            </a:ln>
          </spPr>
          <cat>
            <numRef>
              <f>'Return Distribution'!$H$5:$H$15</f>
            </numRef>
          </cat>
          <val>
            <numRef>
              <f>'Return Distribution'!$J$5:$J$15</f>
            </numRef>
          </val>
        </ser>
        <gapWidth val="1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Monthly return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No. of months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Investment Performance: GBP vs. USD (unhedged)</a:t>
            </a:r>
          </a:p>
        </rich>
      </tx>
    </title>
    <plotArea>
      <lineChart>
        <grouping val="standard"/>
        <ser>
          <idx val="0"/>
          <order val="0"/>
          <tx>
            <strRef>
              <f>'CurrencyHedge'!B27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'CurrencyHedge'!$C$11:$CO$11</f>
            </numRef>
          </cat>
          <val>
            <numRef>
              <f>'CurrencyHedge'!$C$27:$CO$27</f>
            </numRef>
          </val>
          <smooth val="0"/>
        </ser>
        <ser>
          <idx val="1"/>
          <order val="1"/>
          <tx>
            <strRef>
              <f>'CurrencyHedge'!B28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'CurrencyHedge'!$C$11:$CO$11</f>
            </numRef>
          </cat>
          <val>
            <numRef>
              <f>'CurrencyHedge'!$C$28:$CO$28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  <tickLblSkip val="10"/>
      </catAx>
      <valAx>
        <axId val="100"/>
        <scaling>
          <orientation val="minMax"/>
          <min val="8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Rebased to 100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Investment Performance (USD): 50% hedged vs. unhedged</a:t>
            </a:r>
          </a:p>
        </rich>
      </tx>
    </title>
    <plotArea>
      <lineChart>
        <grouping val="standard"/>
        <ser>
          <idx val="0"/>
          <order val="0"/>
          <tx>
            <strRef>
              <f>'CurrencyHedge'!B63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'CurrencyHedge'!$C$11:$CO$11</f>
            </numRef>
          </cat>
          <val>
            <numRef>
              <f>'CurrencyHedge'!$C$63:$CO$63</f>
            </numRef>
          </val>
          <smooth val="0"/>
        </ser>
        <ser>
          <idx val="1"/>
          <order val="1"/>
          <tx>
            <strRef>
              <f>'CurrencyHedge'!B64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'CurrencyHedge'!$C$11:$CO$11</f>
            </numRef>
          </cat>
          <val>
            <numRef>
              <f>'CurrencyHedge'!$C$64:$CO$64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  <tickLblSkip val="10"/>
      </catAx>
      <valAx>
        <axId val="100"/>
        <scaling>
          <orientation val="minMax"/>
          <min val="8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Rebased to 100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Investment Performance (USD) under different hedge ratios</a:t>
            </a:r>
          </a:p>
        </rich>
      </tx>
    </title>
    <plotArea>
      <lineChart>
        <grouping val="standard"/>
        <ser>
          <idx val="0"/>
          <order val="0"/>
          <tx>
            <strRef>
              <f>'CurrencyHedge'!B87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'CurrencyHedge'!$C$11:$CO$11</f>
            </numRef>
          </cat>
          <val>
            <numRef>
              <f>'CurrencyHedge'!$C$87:$CO$87</f>
            </numRef>
          </val>
          <smooth val="0"/>
        </ser>
        <ser>
          <idx val="1"/>
          <order val="1"/>
          <tx>
            <strRef>
              <f>'CurrencyHedge'!B88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'CurrencyHedge'!$C$11:$CO$11</f>
            </numRef>
          </cat>
          <val>
            <numRef>
              <f>'CurrencyHedge'!$C$88:$CO$88</f>
            </numRef>
          </val>
          <smooth val="0"/>
        </ser>
        <ser>
          <idx val="2"/>
          <order val="2"/>
          <tx>
            <strRef>
              <f>'CurrencyHedge'!B89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'CurrencyHedge'!$C$11:$CO$11</f>
            </numRef>
          </cat>
          <val>
            <numRef>
              <f>'CurrencyHedge'!$C$89:$CO$89</f>
            </numRef>
          </val>
          <smooth val="0"/>
        </ser>
        <ser>
          <idx val="3"/>
          <order val="3"/>
          <tx>
            <strRef>
              <f>'CurrencyHedge'!B90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'CurrencyHedge'!$C$11:$CO$11</f>
            </numRef>
          </cat>
          <val>
            <numRef>
              <f>'CurrencyHedge'!$C$90:$CO$90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  <tickLblSkip val="10"/>
      </catAx>
      <valAx>
        <axId val="100"/>
        <scaling>
          <orientation val="minMax"/>
          <min val="8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Rebased to 100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18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34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29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65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91</row>
      <rowOff>0</rowOff>
    </from>
    <ext cx="79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22" customWidth="1" min="4" max="4"/>
    <col width="44" customWidth="1" min="5" max="5"/>
  </cols>
  <sheetData>
    <row r="1">
      <c r="A1" s="90" t="inlineStr">
        <is>
          <t>Investment Committee Performance Report - 31 Jan 2018 to 29 Mar 2019</t>
        </is>
      </c>
    </row>
    <row r="2">
      <c r="A2" s="91" t="inlineStr">
        <is>
          <t>Prepared for the Investment Committee. All figures link to the calculation sheets in this workbook.</t>
        </is>
      </c>
    </row>
    <row r="4">
      <c r="A4" s="118" t="inlineStr">
        <is>
          <t>1. Policy portfolio vs. objectives</t>
        </is>
      </c>
    </row>
    <row r="5">
      <c r="A5" s="92" t="inlineStr">
        <is>
          <t>Measure</t>
        </is>
      </c>
      <c r="B5" s="92" t="inlineStr">
        <is>
          <t>Objective / benchmark</t>
        </is>
      </c>
      <c r="C5" s="92" t="inlineStr">
        <is>
          <t>SAA (actual)</t>
        </is>
      </c>
      <c r="D5" s="92" t="inlineStr">
        <is>
          <t>TAA (actual)</t>
        </is>
      </c>
      <c r="E5" s="92" t="inlineStr">
        <is>
          <t>Comment</t>
        </is>
      </c>
    </row>
    <row r="6">
      <c r="A6" s="93" t="inlineStr">
        <is>
          <t>Annual return</t>
        </is>
      </c>
      <c r="B6" s="97">
        <f>'SAA with CME'!I18</f>
        <v/>
      </c>
      <c r="C6" s="97">
        <f>'Return Distribution'!B8</f>
        <v/>
      </c>
      <c r="D6" s="97">
        <f>'Return Distribution'!C8</f>
        <v/>
      </c>
      <c r="E6" s="119" t="inlineStr">
        <is>
          <t>Return objective = SAA expected return from CMEs</t>
        </is>
      </c>
    </row>
    <row r="7">
      <c r="A7" s="93" t="inlineStr">
        <is>
          <t>Annual volatility</t>
        </is>
      </c>
      <c r="B7" s="97">
        <f>'SAA with CME'!K20</f>
        <v/>
      </c>
      <c r="C7" s="97">
        <f>'Return Distribution'!B10</f>
        <v/>
      </c>
      <c r="D7" s="97">
        <f>'Return Distribution'!C10</f>
        <v/>
      </c>
      <c r="E7" s="119" t="inlineStr">
        <is>
          <t>Risk tolerance = medium (15% max volatility)</t>
        </is>
      </c>
    </row>
    <row r="8">
      <c r="A8" s="93" t="inlineStr">
        <is>
          <t>Return vs. risk-free (2.35%)</t>
        </is>
      </c>
      <c r="B8" s="97">
        <f>'Return Distribution'!B16</f>
        <v/>
      </c>
      <c r="C8" s="97">
        <f>'Return Distribution'!B8-'Return Distribution'!B16</f>
        <v/>
      </c>
      <c r="D8" s="97">
        <f>'Return Distribution'!C8-'Return Distribution'!C16</f>
        <v/>
      </c>
      <c r="E8" s="119" t="inlineStr">
        <is>
          <t>Both trailed cash over the period</t>
        </is>
      </c>
    </row>
    <row r="9">
      <c r="A9" s="93" t="inlineStr">
        <is>
          <t>Sharpe ratio</t>
        </is>
      </c>
      <c r="B9" s="114" t="n"/>
      <c r="C9" s="114">
        <f>'Return Distribution'!B17</f>
        <v/>
      </c>
      <c r="D9" s="114">
        <f>'Return Distribution'!C17</f>
        <v/>
      </c>
      <c r="E9" s="119" t="inlineStr">
        <is>
          <t>Negative: return below risk-free</t>
        </is>
      </c>
    </row>
    <row r="10">
      <c r="A10" s="93" t="inlineStr">
        <is>
          <t>Sortino ratio (MAR 2.35%)</t>
        </is>
      </c>
      <c r="B10" s="114" t="n"/>
      <c r="C10" s="114">
        <f>'Return Distribution'!B19</f>
        <v/>
      </c>
      <c r="D10" s="114">
        <f>'Return Distribution'!C19</f>
        <v/>
      </c>
      <c r="E10" s="119" t="inlineStr">
        <is>
          <t>Downside-risk adjusted</t>
        </is>
      </c>
    </row>
    <row r="11">
      <c r="A11" s="93" t="inlineStr">
        <is>
          <t>Skewness</t>
        </is>
      </c>
      <c r="B11" s="114" t="n"/>
      <c r="C11" s="114">
        <f>'Return Distribution'!B11</f>
        <v/>
      </c>
      <c r="D11" s="114">
        <f>'Return Distribution'!C11</f>
        <v/>
      </c>
      <c r="E11" s="119" t="inlineStr">
        <is>
          <t>Negative = fatter left tail</t>
        </is>
      </c>
    </row>
    <row r="12">
      <c r="A12" s="93" t="inlineStr">
        <is>
          <t>Excess kurtosis</t>
        </is>
      </c>
      <c r="B12" s="114" t="n"/>
      <c r="C12" s="114">
        <f>'Return Distribution'!B12</f>
        <v/>
      </c>
      <c r="D12" s="114">
        <f>'Return Distribution'!C12</f>
        <v/>
      </c>
      <c r="E12" s="119" t="inlineStr">
        <is>
          <t>&gt; 0 = more extreme months than normal</t>
        </is>
      </c>
    </row>
    <row r="13">
      <c r="A13" s="93" t="inlineStr">
        <is>
          <t>Tilt-period return (Jan-Mar 2019)</t>
        </is>
      </c>
      <c r="B13" s="97" t="n"/>
      <c r="C13" s="97">
        <f>'Return Distribution'!B24</f>
        <v/>
      </c>
      <c r="D13" s="97">
        <f>'Return Distribution'!C24</f>
        <v/>
      </c>
      <c r="E13" s="119" t="inlineStr">
        <is>
          <t>TAA vs. SAA benchmark</t>
        </is>
      </c>
    </row>
    <row r="15">
      <c r="A15" s="118" t="inlineStr">
        <is>
          <t>2. UK equity carve-out (USD 5,000,000 in GBP fund, 90 days)</t>
        </is>
      </c>
    </row>
    <row r="16">
      <c r="A16" s="92" t="inlineStr">
        <is>
          <t>Hedge ratio</t>
        </is>
      </c>
      <c r="B16" s="92" t="inlineStr">
        <is>
          <t>End value (USD)</t>
        </is>
      </c>
      <c r="C16" s="92" t="inlineStr">
        <is>
          <t>Return (USD)</t>
        </is>
      </c>
      <c r="D16" s="92" t="inlineStr">
        <is>
          <t>Gain vs. unhedged (USD)</t>
        </is>
      </c>
      <c r="E16" s="92" t="inlineStr">
        <is>
          <t>Daily volatility</t>
        </is>
      </c>
    </row>
    <row r="17">
      <c r="A17" s="115">
        <f>CurrencyHedge!B122</f>
        <v/>
      </c>
      <c r="B17" s="120">
        <f>CurrencyHedge!E122</f>
        <v/>
      </c>
      <c r="C17" s="97">
        <f>CurrencyHedge!F122</f>
        <v/>
      </c>
      <c r="D17" s="102">
        <f>CurrencyHedge!H122</f>
        <v/>
      </c>
      <c r="E17" s="97">
        <f>CurrencyHedge!G122</f>
        <v/>
      </c>
    </row>
    <row r="18">
      <c r="A18" s="115">
        <f>CurrencyHedge!B123</f>
        <v/>
      </c>
      <c r="B18" s="120">
        <f>CurrencyHedge!E123</f>
        <v/>
      </c>
      <c r="C18" s="97">
        <f>CurrencyHedge!F123</f>
        <v/>
      </c>
      <c r="D18" s="102">
        <f>CurrencyHedge!H123</f>
        <v/>
      </c>
      <c r="E18" s="97">
        <f>CurrencyHedge!G123</f>
        <v/>
      </c>
    </row>
    <row r="19">
      <c r="A19" s="116">
        <f>CurrencyHedge!B124</f>
        <v/>
      </c>
      <c r="B19" s="121">
        <f>CurrencyHedge!E124</f>
        <v/>
      </c>
      <c r="C19" s="98">
        <f>CurrencyHedge!F124</f>
        <v/>
      </c>
      <c r="D19" s="117">
        <f>CurrencyHedge!H124</f>
        <v/>
      </c>
      <c r="E19" s="98">
        <f>CurrencyHedge!G124</f>
        <v/>
      </c>
    </row>
    <row r="20">
      <c r="A20" s="115">
        <f>CurrencyHedge!B125</f>
        <v/>
      </c>
      <c r="B20" s="120">
        <f>CurrencyHedge!E125</f>
        <v/>
      </c>
      <c r="C20" s="97">
        <f>CurrencyHedge!F125</f>
        <v/>
      </c>
      <c r="D20" s="102">
        <f>CurrencyHedge!H125</f>
        <v/>
      </c>
      <c r="E20" s="97">
        <f>CurrencyHedge!G125</f>
        <v/>
      </c>
    </row>
    <row r="21">
      <c r="A21" s="93" t="inlineStr">
        <is>
          <t>GBP fund return (local) / GBP vs USD</t>
        </is>
      </c>
      <c r="B21" s="97">
        <f>CurrencyHedge!C112</f>
        <v/>
      </c>
      <c r="C21" s="97">
        <f>CurrencyHedge!C113</f>
        <v/>
      </c>
    </row>
    <row r="23">
      <c r="A23" s="118" t="inlineStr">
        <is>
          <t>3. Key findings</t>
        </is>
      </c>
    </row>
    <row r="24" ht="46.5" customHeight="1">
      <c r="A24" s="122" t="inlineStr">
        <is>
          <t>Return objective</t>
        </is>
      </c>
      <c r="B24" s="123" t="inlineStr">
        <is>
          <t>The SAA returned 1.9% p.a. (1.6% compounded) against a 6.3% expected return - below objective and below the 2.35% risk-free rate, so the Sharpe (-0.06) and Sortino (-0.15) ratios are negative. The period was dominated by the Q4-2018 equity sell-off (worst month -5.0% in Dec-2018).</t>
        </is>
      </c>
    </row>
    <row r="25" ht="46.5" customHeight="1">
      <c r="A25" s="122" t="inlineStr">
        <is>
          <t>Risk tolerance</t>
        </is>
      </c>
      <c r="B25" s="123" t="inlineStr">
        <is>
          <t>Realised volatility of 7.7% (SAA) and 7.3% (TAA) is about half the 15% medium-risk limit - the portfolio stayed well within its risk budget. The distribution is negatively skewed (-0.34) with excess kurtosis (1.5): losses, when they came, were larger than gains.</t>
        </is>
      </c>
    </row>
    <row r="26" ht="77.5" customHeight="1">
      <c r="A26" s="122" t="inlineStr">
        <is>
          <t>TAA vs. SAA benchmark</t>
        </is>
      </c>
      <c r="B26" s="123" t="inlineStr">
        <is>
          <t>The TAA did not add value. Optimised on the Sep-Dec 2018 sell-off, it tilted defensively (-20% US Large Cap, -7% EM, +7% UST, +20% IG Corp Bonds) just before equities rebounded. Over Jan-Mar 2019 it returned 2.7% vs. 4.4% for the SAA (-1.8pp, c. USD 17,600 per USD 1m). Over the full period its return fell to 0.5% p.a., Sortino to -0.62, and its distribution became more negatively skewed (-0.48) and fat-tailed (kurtosis 2.0). The small reduction in volatility (-0.4pp) did not compensate.</t>
        </is>
      </c>
    </row>
    <row r="27" ht="46.5" customHeight="1">
      <c r="A27" s="122" t="inlineStr">
        <is>
          <t>UK equity carve-out</t>
        </is>
      </c>
      <c r="B27" s="123" t="inlineStr">
        <is>
          <t>The GBP fund fell 12.5% in local terms and GBP weakened 1.5% against USD, so the unhedged USD 5m position lost 13.9% (c. USD 695,000). Equity risk, not currency, drove the result: daily volatility of the fund (3.3%) is about 6x that of GBP/USD (0.6%).</t>
        </is>
      </c>
    </row>
    <row r="28" ht="46.5" customHeight="1">
      <c r="A28" s="122" t="inlineStr">
        <is>
          <t>Currency hedge</t>
        </is>
      </c>
      <c r="B28" s="123" t="inlineStr">
        <is>
          <t>Shorting 3.8 GBP futures (50% hedge ratio) earned c. USD 47,700, improving the USD return from -13.9% to -12.9%. A 100% hedge would have saved c. USD 95,400 (-12.0%). The hedge works as intended - it neutralises FX moves, not the equity loss - and slightly lowers volatility.</t>
        </is>
      </c>
    </row>
    <row r="29" ht="62" customHeight="1">
      <c r="A29" s="122" t="inlineStr">
        <is>
          <t>Recommendations</t>
        </is>
      </c>
      <c r="B29" s="123" t="inlineStr">
        <is>
          <t>1) Keep the SAA: it is within risk tolerance and outperformed the tactical overlay. 2) Tighten the TAA process - a single-quarter optimisation window chases recent losses; use longer windows and cap tilts (e.g. +/-10%). 3) Retain the 50% currency hedge as a balance between cost/flexibility and FX protection, and review the UK equity manager given the -12.5% local-currency loss.</t>
        </is>
      </c>
    </row>
  </sheetData>
  <mergeCells count="6">
    <mergeCell ref="B26:E26"/>
    <mergeCell ref="B27:E27"/>
    <mergeCell ref="B29:E29"/>
    <mergeCell ref="B25:E25"/>
    <mergeCell ref="B24:E2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06005A"/>
    <outlinePr summaryBelow="1" summaryRight="1"/>
    <pageSetUpPr/>
  </sheetPr>
  <dimension ref="A1:O22"/>
  <sheetViews>
    <sheetView zoomScale="95" workbookViewId="0">
      <selection activeCell="A1" sqref="A1"/>
    </sheetView>
  </sheetViews>
  <sheetFormatPr baseColWidth="8" defaultColWidth="8.7265625" defaultRowHeight="17.5"/>
  <cols>
    <col width="26.453125" bestFit="1" customWidth="1" style="2" min="1" max="1"/>
    <col width="24.1796875" bestFit="1" customWidth="1" style="2" min="2" max="2"/>
    <col width="19.7265625" bestFit="1" customWidth="1" style="2" min="3" max="3"/>
    <col width="15.26953125" bestFit="1" customWidth="1" style="2" min="4" max="4"/>
    <col width="14.7265625" bestFit="1" customWidth="1" style="2" min="5" max="6"/>
    <col width="24.1796875" bestFit="1" customWidth="1" style="2" min="7" max="7"/>
    <col width="21" bestFit="1" customWidth="1" style="2" min="8" max="8"/>
    <col width="14" bestFit="1" customWidth="1" style="2" min="9" max="9"/>
    <col width="59" bestFit="1" customWidth="1" style="2" min="10" max="10"/>
    <col width="6.81640625" bestFit="1" customWidth="1" style="2" min="11" max="11"/>
    <col width="12.54296875" bestFit="1" customWidth="1" style="2" min="12" max="12"/>
    <col width="8.81640625" bestFit="1" customWidth="1" style="2" min="13" max="15"/>
    <col width="8.7265625" customWidth="1" style="2" min="16" max="16384"/>
  </cols>
  <sheetData>
    <row r="1" ht="18" customHeight="1">
      <c r="A1" s="1" t="inlineStr">
        <is>
          <t>SIX Asset Portfolio</t>
        </is>
      </c>
      <c r="B1" s="1" t="n"/>
      <c r="C1" s="1" t="n"/>
      <c r="D1" s="1" t="n"/>
      <c r="E1" s="1" t="n"/>
    </row>
    <row r="2">
      <c r="B2" s="3" t="n"/>
      <c r="C2" s="3" t="n"/>
      <c r="D2" s="3" t="n"/>
      <c r="E2" s="3" t="n"/>
      <c r="F2" s="3" t="n"/>
      <c r="G2" s="3" t="n"/>
      <c r="H2" s="3" t="n"/>
    </row>
    <row r="3" ht="18" customHeight="1">
      <c r="A3" s="4" t="n"/>
      <c r="B3" s="5" t="inlineStr">
        <is>
          <t>Correl</t>
        </is>
      </c>
      <c r="C3" s="6" t="inlineStr">
        <is>
          <t>US Large Cap</t>
        </is>
      </c>
      <c r="D3" s="6" t="inlineStr">
        <is>
          <t>Dev ex US</t>
        </is>
      </c>
      <c r="E3" s="6" t="inlineStr">
        <is>
          <t>EM</t>
        </is>
      </c>
      <c r="F3" s="6" t="inlineStr">
        <is>
          <t>UST</t>
        </is>
      </c>
      <c r="G3" s="6" t="inlineStr">
        <is>
          <t>US IG Corp Bond</t>
        </is>
      </c>
      <c r="H3" s="6" t="inlineStr">
        <is>
          <t>REITs</t>
        </is>
      </c>
    </row>
    <row r="4" ht="18" customHeight="1">
      <c r="A4" s="4" t="n"/>
      <c r="B4" s="6" t="inlineStr">
        <is>
          <t>US Large Cap</t>
        </is>
      </c>
      <c r="C4" s="7" t="n">
        <v>1</v>
      </c>
      <c r="D4" s="7" t="n">
        <v>0.899</v>
      </c>
      <c r="E4" s="7" t="n">
        <v>0.71095</v>
      </c>
      <c r="F4" s="7" t="n">
        <v>-0.3458515</v>
      </c>
      <c r="G4" s="7" t="n">
        <v>0.26705</v>
      </c>
      <c r="H4" s="7" t="n">
        <v>0.6437999999999999</v>
      </c>
    </row>
    <row r="5" ht="18" customHeight="1">
      <c r="A5" s="4" t="n"/>
      <c r="B5" s="6" t="inlineStr">
        <is>
          <t>Dev ex US</t>
        </is>
      </c>
      <c r="C5" s="7" t="n">
        <v>0.899</v>
      </c>
      <c r="D5" s="7" t="n">
        <v>1</v>
      </c>
      <c r="E5" s="7" t="n">
        <v>0.8227</v>
      </c>
      <c r="F5" s="7" t="n">
        <v>-0.319864</v>
      </c>
      <c r="G5" s="7" t="n">
        <v>0.38375</v>
      </c>
      <c r="H5" s="7" t="n">
        <v>0.6532</v>
      </c>
    </row>
    <row r="6" ht="18" customHeight="1">
      <c r="A6" s="4" t="n"/>
      <c r="B6" s="6" t="inlineStr">
        <is>
          <t>EM</t>
        </is>
      </c>
      <c r="C6" s="7" t="n">
        <v>0.71095</v>
      </c>
      <c r="D6" s="7" t="n">
        <v>0.8227</v>
      </c>
      <c r="E6" s="7" t="n">
        <v>1</v>
      </c>
      <c r="F6" s="7" t="n">
        <v>-0.2530505</v>
      </c>
      <c r="G6" s="7" t="n">
        <v>0.4127</v>
      </c>
      <c r="H6" s="7" t="n">
        <v>0.6051</v>
      </c>
    </row>
    <row r="7" ht="18" customHeight="1">
      <c r="A7" s="4" t="n"/>
      <c r="B7" s="6" t="inlineStr">
        <is>
          <t>UST</t>
        </is>
      </c>
      <c r="C7" s="7" t="n">
        <v>-0.3458515</v>
      </c>
      <c r="D7" s="7" t="n">
        <v>-0.319864</v>
      </c>
      <c r="E7" s="7" t="n">
        <v>-0.2530505</v>
      </c>
      <c r="F7" s="7" t="n">
        <v>1</v>
      </c>
      <c r="G7" s="7" t="n">
        <v>0.5043</v>
      </c>
      <c r="H7" s="7" t="n">
        <v>-0.0238854</v>
      </c>
    </row>
    <row r="8" ht="18" customHeight="1">
      <c r="A8" s="4" t="n"/>
      <c r="B8" s="6" t="inlineStr">
        <is>
          <t>US IG Corp Bond</t>
        </is>
      </c>
      <c r="C8" s="7" t="n">
        <v>0.26705</v>
      </c>
      <c r="D8" s="7" t="n">
        <v>0.38375</v>
      </c>
      <c r="E8" s="7" t="n">
        <v>0.4127</v>
      </c>
      <c r="F8" s="7" t="n">
        <v>0.5043</v>
      </c>
      <c r="G8" s="7" t="n">
        <v>1</v>
      </c>
      <c r="H8" s="7" t="n">
        <v>0.4518</v>
      </c>
    </row>
    <row r="9" ht="18" customHeight="1">
      <c r="A9" s="4" t="n"/>
      <c r="B9" s="6" t="inlineStr">
        <is>
          <t>REITs</t>
        </is>
      </c>
      <c r="C9" s="7" t="n">
        <v>0.6437999999999999</v>
      </c>
      <c r="D9" s="7" t="n">
        <v>0.6532</v>
      </c>
      <c r="E9" s="7" t="n">
        <v>0.6051</v>
      </c>
      <c r="F9" s="7" t="n">
        <v>-0.0238854</v>
      </c>
      <c r="G9" s="7" t="n">
        <v>0.4518</v>
      </c>
      <c r="H9" s="7" t="n">
        <v>1</v>
      </c>
    </row>
    <row r="10" ht="18" customHeight="1">
      <c r="A10" s="8" t="n"/>
      <c r="B10" s="9" t="n"/>
      <c r="C10" s="9" t="n"/>
      <c r="D10" s="9" t="n"/>
    </row>
    <row r="11" ht="18" customHeight="1">
      <c r="B11" s="8" t="inlineStr">
        <is>
          <t>E Return</t>
        </is>
      </c>
      <c r="C11" s="10" t="n">
        <v>0.07092899999999999</v>
      </c>
      <c r="D11" s="10" t="n">
        <v>0.07426350000000001</v>
      </c>
      <c r="E11" s="10" t="n">
        <v>0.100071</v>
      </c>
      <c r="F11" s="10" t="n">
        <v>0.0233955</v>
      </c>
      <c r="G11" s="10" t="n">
        <v>0.0367605</v>
      </c>
      <c r="H11" s="10" t="n">
        <v>0.067356</v>
      </c>
      <c r="J11" s="11" t="n"/>
      <c r="K11" s="11" t="n"/>
      <c r="L11" s="11" t="n"/>
      <c r="M11" s="11" t="n"/>
      <c r="N11" s="11" t="n"/>
      <c r="O11" s="11" t="n"/>
    </row>
    <row r="12" ht="18" customHeight="1">
      <c r="B12" s="8" t="inlineStr">
        <is>
          <t>Volatility</t>
        </is>
      </c>
      <c r="C12" s="10" t="n">
        <v>0.193072</v>
      </c>
      <c r="D12" s="10" t="n">
        <v>0.2187735</v>
      </c>
      <c r="E12" s="10" t="n">
        <v>0.3240215000000001</v>
      </c>
      <c r="F12" s="10" t="n">
        <v>0.1215115</v>
      </c>
      <c r="G12" s="10" t="n">
        <v>0.0789305</v>
      </c>
      <c r="H12" s="10" t="n">
        <v>0.2761770000000001</v>
      </c>
      <c r="J12" s="11" t="n"/>
      <c r="K12" s="11" t="n"/>
      <c r="L12" s="11" t="n"/>
      <c r="M12" s="11" t="n"/>
      <c r="N12" s="11" t="n"/>
      <c r="O12" s="11" t="n"/>
    </row>
    <row r="13" ht="18" customHeight="1">
      <c r="A13" s="8" t="n"/>
      <c r="B13" s="10" t="n"/>
      <c r="C13" s="10" t="n"/>
      <c r="D13" s="10" t="n"/>
    </row>
    <row r="14" ht="18" customHeight="1">
      <c r="A14" s="8" t="n"/>
      <c r="B14" s="10" t="n"/>
      <c r="C14" s="10" t="n"/>
      <c r="D14" s="10" t="n"/>
    </row>
    <row r="15" ht="18" customHeight="1">
      <c r="A15" s="6" t="n"/>
      <c r="B15" s="10" t="n"/>
      <c r="C15" s="10" t="n"/>
      <c r="D15" s="10" t="n"/>
      <c r="J15" s="12" t="inlineStr">
        <is>
          <t>Define portfolio objectives and constraints</t>
        </is>
      </c>
    </row>
    <row r="16" ht="18" customHeight="1">
      <c r="B16" s="13" t="n"/>
      <c r="C16" s="14">
        <f>C3</f>
        <v/>
      </c>
      <c r="D16" s="14">
        <f>D3</f>
        <v/>
      </c>
      <c r="E16" s="14">
        <f>E3</f>
        <v/>
      </c>
      <c r="F16" s="14">
        <f>F3</f>
        <v/>
      </c>
      <c r="G16" s="14">
        <f>G3</f>
        <v/>
      </c>
      <c r="H16" s="14">
        <f>H3</f>
        <v/>
      </c>
    </row>
    <row r="17" ht="18" customHeight="1">
      <c r="B17" s="6" t="inlineStr">
        <is>
          <t>Weights</t>
        </is>
      </c>
      <c r="C17" s="15" t="n">
        <v>0.329575964998287</v>
      </c>
      <c r="D17" s="15" t="n">
        <v>0.1</v>
      </c>
      <c r="E17" s="15" t="n">
        <v>0.1714598288161967</v>
      </c>
      <c r="F17" s="15" t="n">
        <v>0.1989642061855163</v>
      </c>
      <c r="G17" s="15" t="n">
        <v>0.1</v>
      </c>
      <c r="H17" s="15" t="n">
        <v>0.1</v>
      </c>
      <c r="I17" s="16">
        <f>SUM(C17:H17)</f>
        <v/>
      </c>
      <c r="J17" s="17" t="inlineStr">
        <is>
          <t>Constraint</t>
        </is>
      </c>
      <c r="K17" s="82" t="n">
        <v>0.1</v>
      </c>
      <c r="L17" s="17" t="inlineStr">
        <is>
          <t>per asset</t>
        </is>
      </c>
    </row>
    <row r="18" ht="18" customHeight="1">
      <c r="B18" s="6" t="inlineStr">
        <is>
          <t>E Return</t>
        </is>
      </c>
      <c r="C18" s="10">
        <f>C17*C11</f>
        <v/>
      </c>
      <c r="D18" s="10">
        <f>D17*D11</f>
        <v/>
      </c>
      <c r="E18" s="10">
        <f>E17*E11</f>
        <v/>
      </c>
      <c r="F18" s="10">
        <f>F17*F11</f>
        <v/>
      </c>
      <c r="G18" s="10">
        <f>G17*G11</f>
        <v/>
      </c>
      <c r="H18" s="10">
        <f>H17*H11</f>
        <v/>
      </c>
      <c r="I18" s="18">
        <f>SUM(C18:H18)</f>
        <v/>
      </c>
      <c r="J18" s="19" t="inlineStr">
        <is>
          <t>Objective: Max Return</t>
        </is>
      </c>
    </row>
    <row r="19">
      <c r="H19" s="20" t="inlineStr">
        <is>
          <t>Variance</t>
        </is>
      </c>
      <c r="I19" s="21">
        <f t="array" ref="I19">MMULT(MMULT(C17:H17*$C$12:$H$12,$C$4:$H$9),TRANSPOSE(C17:H17*$C$12:$H$12))</f>
        <v/>
      </c>
    </row>
    <row r="20" ht="18" customHeight="1">
      <c r="H20" s="22" t="inlineStr">
        <is>
          <t>Volatility</t>
        </is>
      </c>
      <c r="I20" s="23">
        <f>SQRT(I19)</f>
        <v/>
      </c>
      <c r="J20" s="24" t="inlineStr">
        <is>
          <t>For Risk Level: Medium</t>
        </is>
      </c>
      <c r="K20" s="25" t="n">
        <v>0.15</v>
      </c>
    </row>
    <row r="21" ht="18" customHeight="1">
      <c r="H21" s="26" t="inlineStr">
        <is>
          <t>Risk-Free Rate</t>
        </is>
      </c>
      <c r="I21" s="27" t="n">
        <v>0.03</v>
      </c>
    </row>
    <row r="22" ht="18" customHeight="1">
      <c r="H22" s="26" t="inlineStr">
        <is>
          <t>Sharpe Ratio</t>
        </is>
      </c>
      <c r="I22" s="28">
        <f>(I18-I21)/I20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tabColor rgb="FF06005A"/>
    <outlinePr summaryBelow="1" summaryRight="1"/>
    <pageSetUpPr/>
  </sheetPr>
  <dimension ref="A1:G70"/>
  <sheetViews>
    <sheetView zoomScaleNormal="100" workbookViewId="0">
      <pane xSplit="1" ySplit="1" topLeftCell="B2" activePane="bottomRight" state="frozen"/>
      <selection pane="topRight" activeCell="C5" sqref="C5"/>
      <selection pane="bottomLeft" activeCell="C5" sqref="C5"/>
      <selection pane="bottomRight" activeCell="A1" sqref="A1"/>
    </sheetView>
  </sheetViews>
  <sheetFormatPr baseColWidth="8" defaultColWidth="8.7265625" defaultRowHeight="17.5"/>
  <cols>
    <col width="15.453125" bestFit="1" customWidth="1" style="84" min="1" max="1"/>
    <col width="19.7265625" bestFit="1" customWidth="1" style="2" min="2" max="5"/>
    <col width="23" bestFit="1" customWidth="1" style="2" min="6" max="6"/>
    <col width="19.7265625" bestFit="1" customWidth="1" style="2" min="7" max="7"/>
    <col width="8.7265625" customWidth="1" style="2" min="8" max="8"/>
    <col width="10.453125" bestFit="1" customWidth="1" style="2" min="9" max="9"/>
    <col width="10.54296875" bestFit="1" customWidth="1" style="2" min="10" max="10"/>
    <col width="9" bestFit="1" customWidth="1" style="2" min="11" max="11"/>
    <col width="3.54296875" bestFit="1" customWidth="1" style="2" min="12" max="12"/>
    <col width="4" bestFit="1" customWidth="1" style="2" min="13" max="13"/>
    <col width="11.54296875" bestFit="1" customWidth="1" style="2" min="14" max="14"/>
    <col width="5.26953125" bestFit="1" customWidth="1" style="2" min="15" max="15"/>
    <col width="8.7265625" customWidth="1" style="2" min="16" max="16384"/>
  </cols>
  <sheetData>
    <row r="1">
      <c r="A1" s="85" t="inlineStr">
        <is>
          <t>Index</t>
        </is>
      </c>
      <c r="B1" s="64" t="inlineStr">
        <is>
          <t>US Large Cap</t>
        </is>
      </c>
      <c r="C1" s="64" t="inlineStr">
        <is>
          <t>Dev ex US</t>
        </is>
      </c>
      <c r="D1" s="64" t="inlineStr">
        <is>
          <t>EM</t>
        </is>
      </c>
      <c r="E1" s="64" t="inlineStr">
        <is>
          <t>UST</t>
        </is>
      </c>
      <c r="F1" s="64" t="inlineStr">
        <is>
          <t>US IG Corp Bond</t>
        </is>
      </c>
      <c r="G1" s="64" t="inlineStr">
        <is>
          <t>REITs</t>
        </is>
      </c>
    </row>
    <row r="2" ht="18" customHeight="1">
      <c r="A2" s="86" t="n">
        <v>43131</v>
      </c>
      <c r="B2" s="2" t="n">
        <v>0.04529040399436476</v>
      </c>
      <c r="C2" s="2" t="n">
        <v>0.04846032891191336</v>
      </c>
      <c r="D2" s="2" t="n">
        <v>0.04830927107417889</v>
      </c>
      <c r="E2" s="2" t="n">
        <v>0.0751047817253855</v>
      </c>
      <c r="F2" s="2" t="n">
        <v>-0.002387200985490543</v>
      </c>
      <c r="G2" s="2" t="n">
        <v>-0.007527980992320496</v>
      </c>
    </row>
    <row r="3" ht="18" customHeight="1">
      <c r="A3" s="86" t="n">
        <v>43159</v>
      </c>
      <c r="B3" s="2" t="n">
        <v>-0.03124214217758564</v>
      </c>
      <c r="C3" s="2" t="n">
        <v>-0.0371555035971223</v>
      </c>
      <c r="D3" s="2" t="n">
        <v>-0.03709972571942446</v>
      </c>
      <c r="E3" s="2" t="n">
        <v>0.1061552389081806</v>
      </c>
      <c r="F3" s="2" t="n">
        <v>-0.0172457496368915</v>
      </c>
      <c r="G3" s="2" t="n">
        <v>-0.05286883614431524</v>
      </c>
    </row>
    <row r="4" ht="18" customHeight="1">
      <c r="A4" s="86" t="n">
        <v>43189</v>
      </c>
      <c r="B4" s="2" t="n">
        <v>0.002490299449612985</v>
      </c>
      <c r="C4" s="2" t="n">
        <v>-0.01165881230096616</v>
      </c>
      <c r="D4" s="2" t="n">
        <v>-0.0115623143531221</v>
      </c>
      <c r="E4" s="2" t="n">
        <v>-0.005789950206886716</v>
      </c>
      <c r="F4" s="2" t="n">
        <v>-0.004778198554641961</v>
      </c>
      <c r="G4" s="2" t="n">
        <v>0.006864603524134602</v>
      </c>
    </row>
    <row r="5" ht="18" customHeight="1">
      <c r="A5" s="86" t="n">
        <v>43220</v>
      </c>
      <c r="B5" s="2" t="n">
        <v>-0.01709668051281964</v>
      </c>
      <c r="C5" s="2" t="n">
        <v>0.006593600611893797</v>
      </c>
      <c r="D5" s="2" t="n">
        <v>0.006554741113731601</v>
      </c>
      <c r="E5" s="2" t="n">
        <v>0.009436220472440849</v>
      </c>
      <c r="F5" s="2" t="n">
        <v>0.0005578342193829098</v>
      </c>
      <c r="G5" s="2" t="n">
        <v>0.01084250169491467</v>
      </c>
    </row>
    <row r="6" ht="18" customHeight="1">
      <c r="A6" s="86" t="n">
        <v>43251</v>
      </c>
      <c r="B6" s="2" t="n">
        <v>0.0199280378717297</v>
      </c>
      <c r="C6" s="2" t="n">
        <v>0.006655180141528878</v>
      </c>
      <c r="D6" s="2" t="n">
        <v>0.006558938431875231</v>
      </c>
      <c r="E6" s="2" t="n">
        <v>0.03809974952847991</v>
      </c>
      <c r="F6" s="2" t="n">
        <v>-0.00768914709824932</v>
      </c>
      <c r="G6" s="2" t="n">
        <v>0.02195801618335609</v>
      </c>
    </row>
    <row r="7" ht="18" customHeight="1">
      <c r="A7" s="86" t="n">
        <v>43280</v>
      </c>
      <c r="B7" s="2" t="n">
        <v>0.0226707809171917</v>
      </c>
      <c r="C7" s="2" t="n">
        <v>-0.02136340233066565</v>
      </c>
      <c r="D7" s="2" t="n">
        <v>-0.02121514832420718</v>
      </c>
      <c r="E7" s="2" t="n">
        <v>-0.02211400876638249</v>
      </c>
      <c r="F7" s="2" t="n">
        <v>0.001162613866961499</v>
      </c>
      <c r="G7" s="2" t="n">
        <v>0.02579093099328304</v>
      </c>
    </row>
    <row r="8" ht="18" customHeight="1">
      <c r="A8" s="86" t="n">
        <v>43312</v>
      </c>
      <c r="B8" s="2" t="n">
        <v>0.01271783304300559</v>
      </c>
      <c r="C8" s="2" t="n">
        <v>-0.01594398601398602</v>
      </c>
      <c r="D8" s="2" t="n">
        <v>-0.01611608391608392</v>
      </c>
      <c r="E8" s="2" t="n">
        <v>-0.008055035971222901</v>
      </c>
      <c r="F8" s="2" t="n">
        <v>0.006559483469611074</v>
      </c>
      <c r="G8" s="2" t="n">
        <v>0.01630111337724433</v>
      </c>
    </row>
    <row r="9" ht="18" customHeight="1">
      <c r="A9" s="86" t="n">
        <v>43343</v>
      </c>
      <c r="B9" s="2" t="n">
        <v>0.02146048530256932</v>
      </c>
      <c r="C9" s="2" t="n">
        <v>-0.0059675164752774</v>
      </c>
      <c r="D9" s="2" t="n">
        <v>-0.005957931065820073</v>
      </c>
      <c r="E9" s="2" t="n">
        <v>2.850201732810345e-05</v>
      </c>
      <c r="F9" s="2" t="n">
        <v>0.006483611997905414</v>
      </c>
      <c r="G9" s="2" t="n">
        <v>0.01321322683717037</v>
      </c>
    </row>
    <row r="10" ht="18" customHeight="1">
      <c r="A10" s="86" t="n">
        <v>43371</v>
      </c>
      <c r="B10" s="2" t="n">
        <v>0.01428386052209693</v>
      </c>
      <c r="C10" s="2" t="n">
        <v>-0.003186077500864567</v>
      </c>
      <c r="D10" s="2" t="n">
        <v>-0.003185436374493531</v>
      </c>
      <c r="E10" s="2" t="n">
        <v>0.03999141420141765</v>
      </c>
      <c r="F10" s="2" t="n">
        <v>-0.003231803426761068</v>
      </c>
      <c r="G10" s="2" t="n">
        <v>-0.005846304209738341</v>
      </c>
    </row>
    <row r="11" ht="18" customHeight="1">
      <c r="A11" s="86" t="n">
        <v>43404</v>
      </c>
      <c r="B11" s="2" t="n">
        <v>-0.04675440892037564</v>
      </c>
      <c r="C11" s="2" t="n">
        <v>-0.05031754579563008</v>
      </c>
      <c r="D11" s="2" t="n">
        <v>-0.04996340763628337</v>
      </c>
      <c r="E11" s="2" t="n">
        <v>0.04904832770593132</v>
      </c>
      <c r="F11" s="2" t="n">
        <v>-0.008094827779795874</v>
      </c>
      <c r="G11" s="2" t="n">
        <v>-0.03703048147463211</v>
      </c>
    </row>
    <row r="12" ht="18" customHeight="1">
      <c r="A12" s="86" t="n">
        <v>43434</v>
      </c>
      <c r="B12" s="2" t="n">
        <v>-0.02311175032095996</v>
      </c>
      <c r="C12" s="2" t="n">
        <v>-0.02477169223343423</v>
      </c>
      <c r="D12" s="2" t="n">
        <v>-0.02496868877928095</v>
      </c>
      <c r="E12" s="2" t="n">
        <v>-0.01123661427541458</v>
      </c>
      <c r="F12" s="2" t="n">
        <v>-0.005487282913805719</v>
      </c>
      <c r="G12" s="2" t="n">
        <v>0.02031523266677914</v>
      </c>
    </row>
    <row r="13" ht="18" customHeight="1">
      <c r="A13" s="86" t="n">
        <v>43465</v>
      </c>
      <c r="B13" s="2" t="n">
        <v>-0.05333258911018185</v>
      </c>
      <c r="C13" s="2" t="n">
        <v>-0.04822864462087385</v>
      </c>
      <c r="D13" s="2" t="n">
        <v>-0.04822864462087385</v>
      </c>
      <c r="E13" s="2" t="n">
        <v>-0.09101249176840079</v>
      </c>
      <c r="F13" s="2" t="n">
        <v>0.008777949998828383</v>
      </c>
      <c r="G13" s="2" t="n">
        <v>-0.01891262519126919</v>
      </c>
    </row>
    <row r="14" ht="18" customHeight="1">
      <c r="A14" s="86" t="n">
        <v>43496</v>
      </c>
      <c r="B14" s="2" t="n">
        <v>0.01072092343958022</v>
      </c>
      <c r="C14" s="2" t="n">
        <v>0.02357282493754864</v>
      </c>
      <c r="D14" s="2" t="n">
        <v>0.02349278938253799</v>
      </c>
      <c r="E14" s="2" t="n">
        <v>-0.04180496363539845</v>
      </c>
      <c r="F14" s="2" t="n">
        <v>0.01165496908675483</v>
      </c>
      <c r="G14" s="2" t="n">
        <v>0.0182058445575136</v>
      </c>
    </row>
    <row r="15" ht="18" customHeight="1">
      <c r="A15" s="86" t="n">
        <v>43524</v>
      </c>
      <c r="B15" s="2" t="n">
        <v>0.06043417937558742</v>
      </c>
      <c r="C15" s="2" t="n">
        <v>0.03965791636096857</v>
      </c>
      <c r="D15" s="2" t="n">
        <v>0.04008628270970909</v>
      </c>
      <c r="E15" s="2" t="n">
        <v>-0.0138614974002828</v>
      </c>
      <c r="F15" s="2" t="n">
        <v>0.01777201915969863</v>
      </c>
      <c r="G15" s="2" t="n">
        <v>0.06191637052864486</v>
      </c>
    </row>
    <row r="16" ht="18" customHeight="1">
      <c r="A16" s="86" t="n">
        <v>43553</v>
      </c>
      <c r="B16" s="2" t="n">
        <v>0.01559223393279546</v>
      </c>
      <c r="C16" s="2" t="n">
        <v>0.01525095307998823</v>
      </c>
      <c r="D16" s="2" t="n">
        <v>0.015433829280766</v>
      </c>
      <c r="E16" s="2" t="n">
        <v>-0.03959322751322746</v>
      </c>
      <c r="F16" s="2" t="n">
        <v>0.01131277805850993</v>
      </c>
      <c r="G16" s="2" t="n">
        <v>0.01099706633755762</v>
      </c>
    </row>
    <row r="17" ht="18" customHeight="1">
      <c r="A17" s="86" t="n">
        <v>43585</v>
      </c>
      <c r="B17" s="2" t="n">
        <v>0.03437380460793682</v>
      </c>
      <c r="C17" s="2" t="n">
        <v>0.02155835930139832</v>
      </c>
      <c r="D17" s="2" t="n">
        <v>0.021894395674258</v>
      </c>
      <c r="E17" s="2" t="n">
        <v>-0.01512430079644384</v>
      </c>
      <c r="F17" s="2" t="n">
        <v>0.01372975820878042</v>
      </c>
      <c r="G17" s="2" t="n">
        <v>0.01411264276580569</v>
      </c>
    </row>
    <row r="18" ht="18" customHeight="1">
      <c r="A18" s="86" t="n">
        <v>43616</v>
      </c>
      <c r="B18" s="2" t="n">
        <v>-0.01676564178434015</v>
      </c>
      <c r="C18" s="2" t="n">
        <v>-0.02500070032690751</v>
      </c>
      <c r="D18" s="2" t="n">
        <v>-0.02512079976802956</v>
      </c>
      <c r="E18" s="2" t="n">
        <v>-0.05421716810831131</v>
      </c>
      <c r="F18" s="2" t="n">
        <v>0.008531922730215833</v>
      </c>
      <c r="G18" s="2" t="n">
        <v>0.004274851909091564</v>
      </c>
    </row>
    <row r="19" ht="18" customHeight="1">
      <c r="A19" s="86" t="n">
        <v>43644</v>
      </c>
      <c r="B19" s="2" t="n">
        <v>0.01133307666659661</v>
      </c>
      <c r="C19" s="2" t="n">
        <v>0.008334695273838464</v>
      </c>
      <c r="D19" s="2" t="n">
        <v>0.008289055265867425</v>
      </c>
      <c r="E19" s="2" t="n">
        <v>-0.1336807515657621</v>
      </c>
      <c r="F19" s="2" t="n">
        <v>0.02200066733783566</v>
      </c>
      <c r="G19" s="2" t="n">
        <v>0.01712680097144251</v>
      </c>
    </row>
    <row r="20" ht="18" customHeight="1">
      <c r="A20" s="86" t="n">
        <v>43677</v>
      </c>
      <c r="B20" s="2" t="n">
        <v>0.03527293950436024</v>
      </c>
      <c r="C20" s="2" t="n">
        <v>0.01437926634243388</v>
      </c>
      <c r="D20" s="2" t="n">
        <v>0.01445558329778627</v>
      </c>
      <c r="E20" s="2" t="n">
        <v>-0.007204383273428525</v>
      </c>
      <c r="F20" s="2" t="n">
        <v>0.01386914725064306</v>
      </c>
      <c r="G20" s="2" t="n">
        <v>0.01407702223978278</v>
      </c>
    </row>
    <row r="21" ht="18" customHeight="1">
      <c r="A21" s="86" t="n">
        <v>43707</v>
      </c>
      <c r="B21" s="2" t="n">
        <v>-0.03489098137138335</v>
      </c>
      <c r="C21" s="2" t="n">
        <v>-0.04680590867763226</v>
      </c>
      <c r="D21" s="2" t="n">
        <v>-0.04676408034101238</v>
      </c>
      <c r="E21" s="2" t="n">
        <v>-0.2095450772626931</v>
      </c>
      <c r="F21" s="2" t="n">
        <v>0.02722017778525036</v>
      </c>
      <c r="G21" s="2" t="n">
        <v>0.0002313486685454928</v>
      </c>
    </row>
    <row r="22" ht="18" customHeight="1">
      <c r="A22" s="86" t="n">
        <v>43738</v>
      </c>
      <c r="B22" s="2" t="n">
        <v>0.02782986808744534</v>
      </c>
      <c r="C22" s="2" t="n">
        <v>0.03434607898984138</v>
      </c>
      <c r="D22" s="2" t="n">
        <v>0.03492393464078875</v>
      </c>
      <c r="E22" s="2" t="n">
        <v>0.04489280883174939</v>
      </c>
      <c r="F22" s="2" t="n">
        <v>-0.0004521697293443211</v>
      </c>
      <c r="G22" s="2" t="n">
        <v>0.03005847960805933</v>
      </c>
    </row>
    <row r="23" ht="18" customHeight="1">
      <c r="A23" s="86" t="n">
        <v>43769</v>
      </c>
      <c r="B23" s="2" t="n">
        <v>-0.002848178964311798</v>
      </c>
      <c r="C23" s="2" t="n">
        <v>0.006335631045287038</v>
      </c>
      <c r="D23" s="2" t="n">
        <v>0.006365672879339548</v>
      </c>
      <c r="E23" s="2" t="n">
        <v>0.004263018534863432</v>
      </c>
      <c r="F23" s="2" t="n">
        <v>0.003754100444938394</v>
      </c>
      <c r="G23" s="2" t="n">
        <v>0.02430542732562361</v>
      </c>
    </row>
    <row r="24" ht="18" customHeight="1">
      <c r="A24" s="86" t="n">
        <v>43798</v>
      </c>
      <c r="B24" s="2" t="n">
        <v>0.04272636198691544</v>
      </c>
      <c r="C24" s="2" t="n">
        <v>0.03932110656854729</v>
      </c>
      <c r="D24" s="2" t="n">
        <v>0.03922725211229218</v>
      </c>
      <c r="E24" s="2" t="n">
        <v>0.061130997266802</v>
      </c>
      <c r="F24" s="2" t="n">
        <v>0.001666158842130452</v>
      </c>
      <c r="G24" s="2" t="n">
        <v>-0.006705784465663871</v>
      </c>
    </row>
    <row r="25" ht="18" customHeight="1">
      <c r="A25" s="86" t="n">
        <v>43830</v>
      </c>
      <c r="B25" s="2" t="n">
        <v>0.02403221402287187</v>
      </c>
      <c r="C25" s="2" t="n">
        <v>0.01453592159529674</v>
      </c>
      <c r="D25" s="2" t="n">
        <v>0.01441206454018969</v>
      </c>
      <c r="E25" s="2" t="n">
        <v>0.02821719015808484</v>
      </c>
      <c r="F25" s="2" t="n">
        <v>0.007651527033007559</v>
      </c>
      <c r="G25" s="2" t="n">
        <v>-0.008295647704002866</v>
      </c>
    </row>
    <row r="26" ht="18" customHeight="1">
      <c r="A26" s="86" t="n">
        <v>43861</v>
      </c>
      <c r="B26" s="2" t="n">
        <v>0.03107355301310703</v>
      </c>
      <c r="C26" s="2" t="n">
        <v>0.009737635838712877</v>
      </c>
      <c r="D26" s="2" t="n">
        <v>0.009901780906348391</v>
      </c>
      <c r="E26" s="2" t="n">
        <v>-0.05693913599182022</v>
      </c>
      <c r="F26" s="2" t="n">
        <v>0.01184809974859948</v>
      </c>
      <c r="G26" s="2" t="n">
        <v>0.02012792100631994</v>
      </c>
    </row>
    <row r="27" ht="18" customHeight="1">
      <c r="A27" s="86" t="n">
        <v>43889</v>
      </c>
      <c r="B27" s="2" t="n">
        <v>9.979697314585287e-05</v>
      </c>
      <c r="C27" s="2" t="n">
        <v>-0.02393231095406392</v>
      </c>
      <c r="D27" s="2" t="n">
        <v>-0.02394664310954095</v>
      </c>
      <c r="E27" s="2" t="n">
        <v>-0.1452440702134637</v>
      </c>
      <c r="F27" s="2" t="n">
        <v>0.01707302329657354</v>
      </c>
      <c r="G27" s="2" t="n">
        <v>0.01204614283699171</v>
      </c>
    </row>
    <row r="28" ht="18" customHeight="1">
      <c r="A28" s="86" t="n">
        <v>43921</v>
      </c>
      <c r="B28" s="2" t="n">
        <v>-0.2010870420032759</v>
      </c>
      <c r="C28" s="2" t="n">
        <v>-0.2068968406918885</v>
      </c>
      <c r="D28" s="2" t="n">
        <v>-0.2060044177658426</v>
      </c>
      <c r="E28" s="2" t="n">
        <v>-0.4188829601119666</v>
      </c>
      <c r="F28" s="2" t="n">
        <v>-0.04855394406701156</v>
      </c>
      <c r="G28" s="2" t="n">
        <v>-0.2394542055679115</v>
      </c>
    </row>
    <row r="29" ht="18" customHeight="1">
      <c r="A29" s="86" t="n">
        <v>43951</v>
      </c>
      <c r="B29" s="2" t="n">
        <v>0.03621882534863704</v>
      </c>
      <c r="C29" s="2" t="n">
        <v>0.008919036544850694</v>
      </c>
      <c r="D29" s="2" t="n">
        <v>0.008933255813953685</v>
      </c>
      <c r="E29" s="2" t="n">
        <v>-0.2437742747673778</v>
      </c>
      <c r="F29" s="2" t="n">
        <v>0.02062424723814251</v>
      </c>
      <c r="G29" s="2" t="n">
        <v>-0.05634694846557834</v>
      </c>
    </row>
    <row r="30" ht="18" customHeight="1">
      <c r="A30" s="86" t="n">
        <v>43980</v>
      </c>
      <c r="B30" s="2" t="n">
        <v>0.06343464041855716</v>
      </c>
      <c r="C30" s="2" t="n">
        <v>0.0460439434389051</v>
      </c>
      <c r="D30" s="2" t="n">
        <v>0.04581054306961933</v>
      </c>
      <c r="E30" s="2" t="n">
        <v>0.02505645184648754</v>
      </c>
      <c r="F30" s="2" t="n">
        <v>0.01582533806312774</v>
      </c>
      <c r="G30" s="2" t="n">
        <v>0.008725400630977091</v>
      </c>
    </row>
    <row r="31" ht="18" customHeight="1">
      <c r="A31" s="86" t="n">
        <v>44012</v>
      </c>
      <c r="B31" s="2" t="n">
        <v>0.07187115032340792</v>
      </c>
      <c r="C31" s="2" t="n">
        <v>0.09372644352060477</v>
      </c>
      <c r="D31" s="2" t="n">
        <v>0.09280673711674514</v>
      </c>
      <c r="E31" s="2" t="n">
        <v>0.08065753978958755</v>
      </c>
      <c r="F31" s="2" t="n">
        <v>0.02996753805437471</v>
      </c>
      <c r="G31" s="2" t="n">
        <v>0.1041235114854893</v>
      </c>
    </row>
    <row r="32" ht="18" customHeight="1">
      <c r="A32" s="86" t="n">
        <v>44043</v>
      </c>
      <c r="B32" s="2" t="n">
        <v>0.03364574987141418</v>
      </c>
      <c r="C32" s="2" t="n">
        <v>0.02171312114597429</v>
      </c>
      <c r="D32" s="2" t="n">
        <v>0.02145437491583358</v>
      </c>
      <c r="E32" s="2" t="n">
        <v>-0.1431104803493451</v>
      </c>
      <c r="F32" s="2" t="n">
        <v>0.02701460569302861</v>
      </c>
      <c r="G32" s="2" t="n">
        <v>-0.01608668817286276</v>
      </c>
    </row>
    <row r="33" ht="18" customHeight="1">
      <c r="A33" s="86" t="n">
        <v>44074</v>
      </c>
      <c r="B33" s="2" t="n">
        <v>0.05820973973185944</v>
      </c>
      <c r="C33" s="2" t="n">
        <v>0.0360563402672732</v>
      </c>
      <c r="D33" s="2" t="n">
        <v>0.03629635221458939</v>
      </c>
      <c r="E33" s="2" t="n">
        <v>0.04200349854227425</v>
      </c>
      <c r="F33" s="2" t="n">
        <v>0.005206708546652679</v>
      </c>
      <c r="G33" s="2" t="n">
        <v>0.03695298488026091</v>
      </c>
    </row>
    <row r="34" ht="18" customHeight="1">
      <c r="A34" s="86" t="n">
        <v>44104</v>
      </c>
      <c r="B34" s="2" t="n">
        <v>-0.007777353357125648</v>
      </c>
      <c r="C34" s="2" t="n">
        <v>-0.004970074839629407</v>
      </c>
      <c r="D34" s="2" t="n">
        <v>-0.005037170349251646</v>
      </c>
      <c r="E34" s="2" t="n">
        <v>0.04499428571428535</v>
      </c>
      <c r="F34" s="2" t="n">
        <v>-0.004733462036584474</v>
      </c>
      <c r="G34" s="2" t="n">
        <v>-0.008423138529206247</v>
      </c>
    </row>
    <row r="35" ht="18" customHeight="1">
      <c r="A35" s="86" t="n">
        <v>44134</v>
      </c>
      <c r="B35" s="2" t="n">
        <v>0.022794968091545</v>
      </c>
      <c r="C35" s="2" t="n">
        <v>-0.002450251290642345</v>
      </c>
      <c r="D35" s="2" t="n">
        <v>-0.002427918903210296</v>
      </c>
      <c r="E35" s="2" t="n">
        <v>0.158073300630694</v>
      </c>
      <c r="F35" s="2" t="n">
        <v>-0.002707278001492828</v>
      </c>
      <c r="G35" s="2" t="n">
        <v>0.004764033638379325</v>
      </c>
    </row>
    <row r="36" ht="18" customHeight="1">
      <c r="A36" s="86" t="n">
        <v>44165</v>
      </c>
      <c r="B36" s="2" t="n">
        <v>0.04305032101319559</v>
      </c>
      <c r="C36" s="2" t="n">
        <v>0.06489030189085679</v>
      </c>
      <c r="D36" s="2" t="n">
        <v>0.06585314375801699</v>
      </c>
      <c r="E36" s="2" t="n">
        <v>0.1050631578947371</v>
      </c>
      <c r="F36" s="2" t="n">
        <v>0.01180602971934396</v>
      </c>
      <c r="G36" s="2" t="n">
        <v>0.05330042942458836</v>
      </c>
    </row>
    <row r="37" ht="18" customHeight="1">
      <c r="A37" s="86" t="n">
        <v>44196</v>
      </c>
      <c r="B37" s="2" t="n">
        <v>0.05438080533285417</v>
      </c>
      <c r="C37" s="2" t="n">
        <v>0.06257430026899222</v>
      </c>
      <c r="D37" s="2" t="n">
        <v>0.06255559345276832</v>
      </c>
      <c r="E37" s="2" t="n">
        <v>0.07262591431556931</v>
      </c>
      <c r="F37" s="2" t="n">
        <v>0.01029179810807768</v>
      </c>
      <c r="G37" s="2" t="n">
        <v>0.0343783455725234</v>
      </c>
    </row>
    <row r="38" ht="18" customHeight="1">
      <c r="A38" s="86" t="n">
        <v>44225</v>
      </c>
      <c r="B38" s="2" t="n">
        <v>0.033158638968334</v>
      </c>
      <c r="C38" s="2" t="n">
        <v>0.03417428827941736</v>
      </c>
      <c r="D38" s="2" t="n">
        <v>0.03447756957919436</v>
      </c>
      <c r="E38" s="2" t="n">
        <v>0.1594578947368418</v>
      </c>
      <c r="F38" s="2" t="n">
        <v>-0.004655548498951463</v>
      </c>
      <c r="G38" s="2" t="n">
        <v>0.00836171064443225</v>
      </c>
    </row>
    <row r="39" ht="18" customHeight="1">
      <c r="A39" s="86" t="n">
        <v>44253</v>
      </c>
      <c r="B39" s="2" t="n">
        <v>0.02878494168506517</v>
      </c>
      <c r="C39" s="2" t="n">
        <v>0.01269214423696098</v>
      </c>
      <c r="D39" s="2" t="n">
        <v>0.01286553766902795</v>
      </c>
      <c r="E39" s="2" t="n">
        <v>0.1651863680623177</v>
      </c>
      <c r="F39" s="2" t="n">
        <v>-0.01048845557575132</v>
      </c>
      <c r="G39" s="2" t="n">
        <v>0.04060176615800409</v>
      </c>
    </row>
    <row r="40" ht="18" customHeight="1">
      <c r="A40" s="86" t="n">
        <v>44286</v>
      </c>
      <c r="B40" s="2" t="n">
        <v>0.002099375133680741</v>
      </c>
      <c r="C40" s="2" t="n">
        <v>0.003105850546242316</v>
      </c>
      <c r="D40" s="2" t="n">
        <v>0.003137911340616235</v>
      </c>
      <c r="E40" s="2" t="n">
        <v>0.2807479079497908</v>
      </c>
      <c r="F40" s="2" t="n">
        <v>-0.0256132412446023</v>
      </c>
      <c r="G40" s="2" t="n">
        <v>0.0207544295591476</v>
      </c>
    </row>
    <row r="41" ht="18" customHeight="1">
      <c r="A41" s="86" t="n">
        <v>44316</v>
      </c>
      <c r="B41" s="2" t="n">
        <v>0.05379240366489021</v>
      </c>
      <c r="C41" s="2" t="n">
        <v>0.03135231450281496</v>
      </c>
      <c r="D41" s="2" t="n">
        <v>0.03135857619934038</v>
      </c>
      <c r="E41" s="2" t="n">
        <v>0.01509360323886618</v>
      </c>
      <c r="F41" s="2" t="n">
        <v>0.009547596975855714</v>
      </c>
      <c r="G41" s="2" t="n">
        <v>0.05315002903540757</v>
      </c>
    </row>
    <row r="42" ht="18" customHeight="1">
      <c r="A42" s="86" t="n">
        <v>44347</v>
      </c>
      <c r="B42" s="2" t="n">
        <v>0.001771354486755708</v>
      </c>
      <c r="C42" s="2" t="n">
        <v>0.01815144070367018</v>
      </c>
      <c r="D42" s="2" t="n">
        <v>0.01817321807703992</v>
      </c>
      <c r="E42" s="2" t="n">
        <v>-0.008477064220183361</v>
      </c>
      <c r="F42" s="2" t="n">
        <v>0.003514070859200605</v>
      </c>
      <c r="G42" s="2" t="n">
        <v>0.02271896336803261</v>
      </c>
    </row>
    <row r="43" ht="18" customHeight="1">
      <c r="A43" s="86" t="n">
        <v>44377</v>
      </c>
      <c r="B43" s="2" t="n">
        <v>0.02076939694280936</v>
      </c>
      <c r="C43" s="2" t="n">
        <v>0.0174413589457478</v>
      </c>
      <c r="D43" s="2" t="n">
        <v>0.01723281340235504</v>
      </c>
      <c r="E43" s="2" t="n">
        <v>-0.06322009982614551</v>
      </c>
      <c r="F43" s="2" t="n">
        <v>0.01378188741542912</v>
      </c>
      <c r="G43" s="2" t="n">
        <v>0.0507121523340693</v>
      </c>
    </row>
    <row r="44" ht="18" customHeight="1">
      <c r="A44" s="86" t="n">
        <v>44407</v>
      </c>
      <c r="B44" s="2" t="n">
        <v>0.02294354600091966</v>
      </c>
      <c r="C44" s="2" t="n">
        <v>-0.01876219153698856</v>
      </c>
      <c r="D44" s="2" t="n">
        <v>-0.01863583429973836</v>
      </c>
      <c r="E44" s="2" t="n">
        <v>-0.1310360605283404</v>
      </c>
      <c r="F44" s="2" t="n">
        <v>0.01574918814396892</v>
      </c>
      <c r="G44" s="2" t="n">
        <v>0.01313023941863429</v>
      </c>
    </row>
    <row r="45" ht="18" customHeight="1">
      <c r="A45" s="86" t="n">
        <v>44439</v>
      </c>
      <c r="B45" s="2" t="n">
        <v>0.01825473874982832</v>
      </c>
      <c r="C45" s="2" t="n">
        <v>0.01379206924979422</v>
      </c>
      <c r="D45" s="2" t="n">
        <v>0.01389850233580686</v>
      </c>
      <c r="E45" s="2" t="n">
        <v>-0.02688766866935908</v>
      </c>
      <c r="F45" s="2" t="n">
        <v>0.001378164290357878</v>
      </c>
      <c r="G45" s="2" t="n">
        <v>0.01361194210842276</v>
      </c>
    </row>
    <row r="46" ht="18" customHeight="1">
      <c r="A46" s="86" t="n">
        <v>44469</v>
      </c>
      <c r="B46" s="2" t="n">
        <v>-0.001264611803477858</v>
      </c>
      <c r="C46" s="2" t="n">
        <v>0.002113587943511879</v>
      </c>
      <c r="D46" s="2" t="n">
        <v>0.002105342476892197</v>
      </c>
      <c r="E46" s="2" t="n">
        <v>0.07077002850732932</v>
      </c>
      <c r="F46" s="2" t="n">
        <v>0.0008268241167703151</v>
      </c>
      <c r="G46" s="2" t="n">
        <v>0.001392302174252657</v>
      </c>
    </row>
    <row r="47" ht="18" customHeight="1">
      <c r="A47" s="86" t="n">
        <v>44498</v>
      </c>
      <c r="B47" s="2" t="n">
        <v>0.004221775127295931</v>
      </c>
      <c r="C47" s="2" t="n">
        <v>-0.01867116646122893</v>
      </c>
      <c r="D47" s="2" t="n">
        <v>-0.01884335444383048</v>
      </c>
      <c r="E47" s="2" t="n">
        <v>0.1504888725320403</v>
      </c>
      <c r="F47" s="2" t="n">
        <v>-0.01198972174899769</v>
      </c>
      <c r="G47" s="2" t="n">
        <v>-0.003136627790424423</v>
      </c>
    </row>
    <row r="48" ht="18" customHeight="1">
      <c r="A48" s="86" t="n">
        <v>44530</v>
      </c>
      <c r="B48" s="2" t="n">
        <v>0.04300490113986404</v>
      </c>
      <c r="C48" s="2" t="n">
        <v>0.01280843711443084</v>
      </c>
      <c r="D48" s="2" t="n">
        <v>0.01266837069802887</v>
      </c>
      <c r="E48" s="2" t="n">
        <v>-0.01442205371248034</v>
      </c>
      <c r="F48" s="2" t="n">
        <v>0.002480012169326139</v>
      </c>
      <c r="G48" s="2" t="n">
        <v>0.03468093344374696</v>
      </c>
    </row>
    <row r="49" ht="18" customHeight="1">
      <c r="A49" s="86" t="n">
        <v>44561</v>
      </c>
      <c r="B49" s="2" t="n">
        <v>-0.01031844732647324</v>
      </c>
      <c r="C49" s="2" t="n">
        <v>-0.02634081034929579</v>
      </c>
      <c r="D49" s="2" t="n">
        <v>-0.02619532485329145</v>
      </c>
      <c r="E49" s="2" t="n">
        <v>-0.06054180827188189</v>
      </c>
      <c r="F49" s="2" t="n">
        <v>0.0009550708583119092</v>
      </c>
      <c r="G49" s="2" t="n">
        <v>0.01064011802809045</v>
      </c>
    </row>
    <row r="50" ht="18" customHeight="1">
      <c r="A50" s="86" t="n">
        <v>44592</v>
      </c>
      <c r="B50" s="2" t="n">
        <v>-0.02752791543582813</v>
      </c>
      <c r="C50" s="2" t="n">
        <v>-0.00730896287382476</v>
      </c>
      <c r="D50" s="2" t="n">
        <v>-0.007300237490370134</v>
      </c>
      <c r="E50" s="2" t="n">
        <v>0.2049323549488052</v>
      </c>
      <c r="F50" s="2" t="n">
        <v>-0.02283886058541362</v>
      </c>
      <c r="G50" s="2" t="n">
        <v>-0.01081121568376458</v>
      </c>
    </row>
    <row r="51" ht="18" customHeight="1">
      <c r="A51" s="86" t="n">
        <v>44620</v>
      </c>
      <c r="B51" s="2" t="n">
        <v>-0.03055744112804204</v>
      </c>
      <c r="C51" s="2" t="n">
        <v>-0.02306813571323214</v>
      </c>
      <c r="D51" s="2" t="n">
        <v>-0.0230519166543739</v>
      </c>
      <c r="E51" s="2" t="n">
        <v>0.09644298245614043</v>
      </c>
      <c r="F51" s="2" t="n">
        <v>-0.02855864717587542</v>
      </c>
      <c r="G51" s="2" t="n">
        <v>-0.03693243734957917</v>
      </c>
    </row>
    <row r="52" ht="18" customHeight="1">
      <c r="A52" s="86" t="n">
        <v>44651</v>
      </c>
      <c r="B52" s="2" t="n">
        <v>-0.01060700534003062</v>
      </c>
      <c r="C52" s="2" t="n">
        <v>-0.04366396942333688</v>
      </c>
      <c r="D52" s="2" t="n">
        <v>-0.04314477834814856</v>
      </c>
      <c r="E52" s="2" t="n">
        <v>0.09952998876072174</v>
      </c>
      <c r="F52" s="2" t="n">
        <v>-0.02567236074795037</v>
      </c>
      <c r="G52" s="2" t="n">
        <v>0.01449852911212534</v>
      </c>
    </row>
    <row r="53" ht="18" customHeight="1">
      <c r="A53" s="86" t="n">
        <v>44680</v>
      </c>
      <c r="B53" s="2" t="n">
        <v>-0.002620077065333917</v>
      </c>
      <c r="C53" s="2" t="n">
        <v>-0.004748784612132234</v>
      </c>
      <c r="D53" s="2" t="n">
        <v>-0.00470500182548325</v>
      </c>
      <c r="E53" s="2" t="n">
        <v>0.290816234164283</v>
      </c>
      <c r="F53" s="2" t="n">
        <v>-0.03395467050340057</v>
      </c>
      <c r="G53" s="2" t="n">
        <v>0.03028783229478382</v>
      </c>
    </row>
    <row r="54" ht="18" customHeight="1">
      <c r="A54" s="86" t="n">
        <v>44712</v>
      </c>
      <c r="B54" s="2" t="n">
        <v>-0.08315391535078652</v>
      </c>
      <c r="C54" s="2" t="n">
        <v>-0.05302076134345279</v>
      </c>
      <c r="D54" s="2" t="n">
        <v>-0.0536812570644281</v>
      </c>
      <c r="E54" s="2" t="n">
        <v>0.05533792625330375</v>
      </c>
      <c r="F54" s="2" t="n">
        <v>-0.02385697103131874</v>
      </c>
      <c r="G54" s="2" t="n">
        <v>-0.1022989919326904</v>
      </c>
    </row>
    <row r="55" ht="18" customHeight="1">
      <c r="A55" s="86" t="n">
        <v>44742</v>
      </c>
      <c r="B55" s="2" t="n">
        <v>-0.03473892875983082</v>
      </c>
      <c r="C55" s="2" t="n">
        <v>-0.03964480332587164</v>
      </c>
      <c r="D55" s="2" t="n">
        <v>-0.03920246242404881</v>
      </c>
      <c r="E55" s="2" t="n">
        <v>0.08410425566874824</v>
      </c>
      <c r="F55" s="2" t="n">
        <v>-0.01421212790179916</v>
      </c>
      <c r="G55" s="2" t="n">
        <v>-0.05197928273877463</v>
      </c>
    </row>
    <row r="56" ht="18" customHeight="1">
      <c r="A56" s="86" t="n">
        <v>44771</v>
      </c>
      <c r="B56" s="2" t="n">
        <v>0.002982900681666435</v>
      </c>
      <c r="C56" s="2" t="n">
        <v>-0.03823769332604011</v>
      </c>
      <c r="D56" s="2" t="n">
        <v>-0.03845348601235053</v>
      </c>
      <c r="E56" s="2" t="n">
        <v>-0.07813425238600247</v>
      </c>
      <c r="F56" s="2" t="n">
        <v>0.01000830730828388</v>
      </c>
      <c r="G56" s="2" t="n">
        <v>0.001805529395174086</v>
      </c>
    </row>
    <row r="57" ht="18" customHeight="1">
      <c r="A57" s="86" t="n">
        <v>44804</v>
      </c>
      <c r="B57" s="2" t="n">
        <v>0.06661995566002225</v>
      </c>
      <c r="C57" s="2" t="n">
        <v>0.03676971632268392</v>
      </c>
      <c r="D57" s="2" t="n">
        <v>0.03697261934242382</v>
      </c>
      <c r="E57" s="2" t="n">
        <v>0.000627717391304239</v>
      </c>
      <c r="F57" s="2" t="n">
        <v>0.00862842884975404</v>
      </c>
      <c r="G57" s="2" t="n">
        <v>0.04810883925242587</v>
      </c>
    </row>
    <row r="58" ht="18" customHeight="1">
      <c r="A58" s="86" t="n">
        <v>44834</v>
      </c>
      <c r="B58" s="2" t="n">
        <v>-0.07417415698516135</v>
      </c>
      <c r="C58" s="2" t="n">
        <v>-0.08221552575331639</v>
      </c>
      <c r="D58" s="2" t="n">
        <v>-0.08162232825314215</v>
      </c>
      <c r="E58" s="2" t="n">
        <v>0.2153611474297149</v>
      </c>
      <c r="F58" s="2" t="n">
        <v>-0.04243120977012171</v>
      </c>
      <c r="G58" s="2" t="n">
        <v>-0.09182522841222966</v>
      </c>
    </row>
    <row r="59" ht="18" customHeight="1">
      <c r="A59" s="86" t="n">
        <v>44865</v>
      </c>
      <c r="B59" s="2" t="n">
        <v>-0.03120698950165309</v>
      </c>
      <c r="C59" s="2" t="n">
        <v>-0.03466813114822287</v>
      </c>
      <c r="D59" s="2" t="n">
        <v>-0.03435099203460683</v>
      </c>
      <c r="E59" s="2" t="n">
        <v>0.1326291224627872</v>
      </c>
      <c r="F59" s="2" t="n">
        <v>-0.03688222750570336</v>
      </c>
      <c r="G59" s="2" t="n">
        <v>-0.08548330022472754</v>
      </c>
    </row>
    <row r="60" ht="18" customHeight="1">
      <c r="A60" s="86" t="n">
        <v>44895</v>
      </c>
      <c r="B60" s="2" t="n">
        <v>0.04949859810307149</v>
      </c>
      <c r="C60" s="2" t="n">
        <v>0.1015587004986486</v>
      </c>
      <c r="D60" s="2" t="n">
        <v>0.1017940980711034</v>
      </c>
      <c r="E60" s="2" t="n">
        <v>-0.02345067152001981</v>
      </c>
      <c r="F60" s="2" t="n">
        <v>0.02396347793517751</v>
      </c>
      <c r="G60" s="2" t="n">
        <v>0.07288115611510744</v>
      </c>
    </row>
    <row r="61" ht="18" customHeight="1">
      <c r="A61" s="86" t="n">
        <v>44925</v>
      </c>
      <c r="B61" s="2" t="n">
        <v>-0.003839255505308607</v>
      </c>
      <c r="C61" s="2" t="n">
        <v>0.02978281014909036</v>
      </c>
      <c r="D61" s="2" t="n">
        <v>0.02951955956777454</v>
      </c>
      <c r="E61" s="2" t="n">
        <v>-0.0705563388038333</v>
      </c>
      <c r="F61" s="2" t="n">
        <v>0.03485635520611916</v>
      </c>
      <c r="G61" s="2" t="n">
        <v>0.01263069948742329</v>
      </c>
    </row>
    <row r="62" ht="18" customHeight="1">
      <c r="A62" s="86" t="n">
        <v>44957</v>
      </c>
      <c r="B62" s="2" t="n">
        <v>0.01542220054424217</v>
      </c>
      <c r="C62" s="2" t="n">
        <v>0.04507975688332388</v>
      </c>
      <c r="D62" s="2" t="n">
        <v>0.04450307217111159</v>
      </c>
      <c r="E62" s="2" t="n">
        <v>-0.02340341124572004</v>
      </c>
      <c r="F62" s="2" t="n">
        <v>0.01398676498680465</v>
      </c>
      <c r="G62" s="2" t="n">
        <v>0.0359573465106289</v>
      </c>
    </row>
    <row r="63" ht="18" customHeight="1">
      <c r="A63" s="86" t="n">
        <v>44985</v>
      </c>
      <c r="B63" s="2" t="n">
        <v>0.03321719289564244</v>
      </c>
      <c r="C63" s="2" t="n">
        <v>0.01432347957399437</v>
      </c>
      <c r="D63" s="2" t="n">
        <v>0.0142862422508343</v>
      </c>
      <c r="E63" s="2" t="n">
        <v>0.06104459339627575</v>
      </c>
      <c r="F63" s="2" t="n">
        <v>-0.007013100156346943</v>
      </c>
      <c r="G63" s="2" t="n">
        <v>0.0284147587035104</v>
      </c>
    </row>
    <row r="64" ht="18" customHeight="1">
      <c r="A64" s="86" t="n">
        <v>45016</v>
      </c>
      <c r="B64" s="2" t="n">
        <v>-0.03348936911584317</v>
      </c>
      <c r="C64" s="2" t="n">
        <v>-0.02663936952399503</v>
      </c>
      <c r="D64" s="2" t="n">
        <v>-0.02646734895782578</v>
      </c>
      <c r="E64" s="2" t="n">
        <v>-0.02235618827754306</v>
      </c>
      <c r="F64" s="2" t="n">
        <v>-0.003402513530263638</v>
      </c>
      <c r="G64" s="2" t="n">
        <v>-0.07041033834187622</v>
      </c>
    </row>
    <row r="65" ht="18" customHeight="1">
      <c r="A65" s="86" t="n">
        <v>45044</v>
      </c>
      <c r="B65" s="2" t="n">
        <v>0.03241260123852278</v>
      </c>
      <c r="C65" s="2" t="n">
        <v>0.04499592369045065</v>
      </c>
      <c r="D65" s="2" t="n">
        <v>0.04463431342961857</v>
      </c>
      <c r="E65" s="2" t="n">
        <v>-0.05557992878338257</v>
      </c>
      <c r="F65" s="2" t="n">
        <v>0.02032526052480714</v>
      </c>
      <c r="G65" s="2" t="n">
        <v>0.0126455501639831</v>
      </c>
    </row>
    <row r="66" ht="18" customHeight="1">
      <c r="A66" s="86" t="n">
        <v>45077</v>
      </c>
      <c r="B66" s="2" t="n">
        <v>0.004267342241847184</v>
      </c>
      <c r="C66" s="2" t="n">
        <v>-0.0001684995592923245</v>
      </c>
      <c r="D66" s="2" t="n">
        <v>-0.000168163501136576</v>
      </c>
      <c r="E66" s="2" t="n">
        <v>0.03308263268523388</v>
      </c>
      <c r="F66" s="2" t="n">
        <v>-0.01067199264724379</v>
      </c>
      <c r="G66" s="2" t="n">
        <v>-0.006382746279861307</v>
      </c>
    </row>
    <row r="67" ht="18" customHeight="1">
      <c r="A67" s="86" t="n">
        <v>45107</v>
      </c>
      <c r="B67" s="2" t="n">
        <v>0.04932073995215543</v>
      </c>
      <c r="C67" s="2" t="n">
        <v>0.003697736988959682</v>
      </c>
      <c r="D67" s="2" t="n">
        <v>0.00365716736310834</v>
      </c>
      <c r="E67" s="2" t="n">
        <v>0.04836917784157665</v>
      </c>
      <c r="F67" s="2" t="n">
        <v>0.0001071761874761207</v>
      </c>
      <c r="G67" s="2" t="n">
        <v>0.009655408111119959</v>
      </c>
    </row>
    <row r="68" ht="18" customHeight="1">
      <c r="A68" s="86" t="n">
        <v>45138</v>
      </c>
      <c r="B68" s="2" t="n">
        <v>0.03947311514397588</v>
      </c>
      <c r="C68" s="2" t="n">
        <v>0.01504077496117284</v>
      </c>
      <c r="D68" s="2" t="n">
        <v>0.01519320505058469</v>
      </c>
      <c r="E68" s="2" t="n">
        <v>0.04019718523694573</v>
      </c>
      <c r="F68" s="2" t="n">
        <v>0.002956410300435606</v>
      </c>
      <c r="G68" s="2" t="n">
        <v>0.0366156028700897</v>
      </c>
    </row>
    <row r="69" ht="18" customHeight="1">
      <c r="A69" s="86" t="n">
        <v>45169</v>
      </c>
      <c r="B69" s="2" t="n">
        <v>-0.0126282710236147</v>
      </c>
      <c r="C69" s="2" t="n">
        <v>-0.02470090247260097</v>
      </c>
      <c r="D69" s="2" t="n">
        <v>-0.02476992695056831</v>
      </c>
      <c r="E69" s="2" t="n">
        <v>0.06857642730115933</v>
      </c>
      <c r="F69" s="2" t="n">
        <v>-0.01170004026367366</v>
      </c>
      <c r="G69" s="2" t="n">
        <v>-0.03010051626305997</v>
      </c>
    </row>
    <row r="70" ht="18" customHeight="1">
      <c r="A70" s="86" t="n">
        <v>45198</v>
      </c>
      <c r="B70" s="2" t="n">
        <v>-0.01210470276825274</v>
      </c>
      <c r="C70" s="2" t="n">
        <v>-0.01591061821120558</v>
      </c>
      <c r="D70" s="2" t="n">
        <v>-0.01575577803397637</v>
      </c>
      <c r="E70" s="2" t="n">
        <v>0.05054603797204243</v>
      </c>
      <c r="F70" s="2" t="n">
        <v>-0.005893161131732059</v>
      </c>
      <c r="G70" s="2" t="n">
        <v>-0.02363031087605603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6005A"/>
    <outlinePr summaryBelow="1" summaryRight="1"/>
    <pageSetUpPr/>
  </sheetPr>
  <dimension ref="A1:P85"/>
  <sheetViews>
    <sheetView zoomScaleNormal="100" workbookViewId="0">
      <selection activeCell="A1" sqref="A1"/>
    </sheetView>
  </sheetViews>
  <sheetFormatPr baseColWidth="8" defaultColWidth="8.7265625" defaultRowHeight="17.5"/>
  <cols>
    <col width="59.81640625" bestFit="1" customWidth="1" style="2" min="1" max="1"/>
    <col width="19.7265625" bestFit="1" customWidth="1" style="2" min="2" max="2"/>
    <col width="14.81640625" bestFit="1" customWidth="1" style="2" min="3" max="3"/>
    <col width="10" bestFit="1" customWidth="1" style="2" min="4" max="5"/>
    <col width="13" customWidth="1" min="5" max="5"/>
    <col width="24.1796875" bestFit="1" customWidth="1" style="2" min="6" max="6"/>
    <col width="10" bestFit="1" customWidth="1" style="2" min="7" max="7"/>
    <col width="22.54296875" bestFit="1" customWidth="1" style="2" min="8" max="8"/>
    <col width="21" bestFit="1" customWidth="1" style="2" min="9" max="9"/>
    <col width="9.7265625" bestFit="1" customWidth="1" style="2" min="10" max="11"/>
    <col width="12.1796875" bestFit="1" customWidth="1" style="2" min="12" max="12"/>
    <col width="9.7265625" bestFit="1" customWidth="1" style="2" min="13" max="13"/>
    <col width="8.7265625" customWidth="1" style="2" min="14" max="15"/>
    <col width="9.81640625" bestFit="1" customWidth="1" style="2" min="16" max="16"/>
    <col width="19" bestFit="1" customWidth="1" style="2" min="17" max="17"/>
    <col width="8.7265625" customWidth="1" style="2" min="18" max="16384"/>
  </cols>
  <sheetData>
    <row r="1" ht="18" customHeight="1">
      <c r="A1" s="1" t="inlineStr">
        <is>
          <t>Risk Assessment and Performance Metrics</t>
        </is>
      </c>
      <c r="B1" s="1" t="n"/>
      <c r="C1" s="1" t="n"/>
      <c r="D1" s="1" t="n"/>
      <c r="E1" s="1" t="n"/>
      <c r="I1" s="11" t="n"/>
      <c r="J1" s="11" t="n"/>
      <c r="K1" s="11" t="n"/>
      <c r="L1" s="11" t="n"/>
      <c r="M1" s="11" t="n"/>
    </row>
    <row r="2">
      <c r="C2" s="29" t="n"/>
      <c r="I2" s="11" t="n"/>
      <c r="J2" s="11" t="n"/>
      <c r="K2" s="11" t="n"/>
      <c r="L2" s="11" t="n"/>
      <c r="M2" s="11" t="n"/>
    </row>
    <row r="3" ht="18" customHeight="1">
      <c r="A3" s="8" t="inlineStr">
        <is>
          <t>Ending Date</t>
        </is>
      </c>
      <c r="B3" s="87">
        <f>TAAPortfolioPerformance!B4</f>
        <v/>
      </c>
      <c r="C3" s="29" t="n"/>
      <c r="E3" s="88" t="inlineStr">
        <is>
          <t>Skewness</t>
        </is>
      </c>
      <c r="F3" s="89">
        <f>SKEW(H17:H31)</f>
        <v/>
      </c>
      <c r="I3" s="11" t="n"/>
      <c r="J3" s="11" t="n"/>
      <c r="K3" s="11" t="n"/>
      <c r="L3" s="11" t="n"/>
      <c r="M3" s="11" t="n"/>
    </row>
    <row r="4">
      <c r="C4" s="29" t="n"/>
      <c r="E4" s="88" t="inlineStr">
        <is>
          <t>Kurtosis</t>
        </is>
      </c>
      <c r="F4" s="89">
        <f>KURT(H17:H31)</f>
        <v/>
      </c>
      <c r="I4" s="11" t="n"/>
      <c r="J4" s="11" t="n"/>
      <c r="K4" s="11" t="n"/>
      <c r="L4" s="11" t="n"/>
      <c r="M4" s="11" t="n"/>
    </row>
    <row r="5" ht="18" customHeight="1">
      <c r="A5" s="30" t="inlineStr">
        <is>
          <t>Annual Portfolio Return</t>
        </is>
      </c>
      <c r="B5" s="31">
        <f>(1+AVERAGEIFS(H17:H85,A17:A85,"&lt;="&amp;B3))^12-1</f>
        <v/>
      </c>
      <c r="G5" s="8" t="n"/>
      <c r="H5" s="32" t="n"/>
      <c r="I5" s="11" t="n"/>
      <c r="J5" s="11" t="n"/>
      <c r="K5" s="11" t="n"/>
      <c r="L5" s="11" t="n"/>
      <c r="M5" s="11" t="n"/>
    </row>
    <row r="6" ht="18" customHeight="1">
      <c r="A6" s="30" t="inlineStr">
        <is>
          <t>Compounded Annual Portfolio Return</t>
        </is>
      </c>
      <c r="B6" s="31">
        <f t="array" ref="B6">GEOMEAN(IF((A17:A85&lt;=B3), (1+H17:H85)))^12-1</f>
        <v/>
      </c>
      <c r="G6" s="8" t="n"/>
      <c r="H6" s="32" t="n"/>
      <c r="I6" s="11" t="n"/>
      <c r="J6" s="11" t="n"/>
      <c r="K6" s="11" t="n"/>
      <c r="L6" s="11" t="n"/>
      <c r="M6" s="11" t="n"/>
    </row>
    <row r="7" ht="18" customHeight="1">
      <c r="A7" s="8" t="inlineStr">
        <is>
          <t>Annual Volatility of Portfolio</t>
        </is>
      </c>
      <c r="B7" s="31">
        <f t="array" ref="B7">_xlfn.STDEV.S(IF((A17:A85&lt;=B3),H17:H85))*SQRT(12)</f>
        <v/>
      </c>
      <c r="G7" s="33" t="n"/>
      <c r="I7" s="11" t="n"/>
      <c r="J7" s="11" t="n"/>
      <c r="K7" s="11" t="n"/>
      <c r="L7" s="11" t="n"/>
      <c r="M7" s="11" t="n"/>
    </row>
    <row r="8" ht="18" customHeight="1">
      <c r="A8" s="8" t="inlineStr">
        <is>
          <t>Risk-Free Rate</t>
        </is>
      </c>
      <c r="B8" s="34" t="n">
        <v>0.0235</v>
      </c>
      <c r="I8" s="11" t="n"/>
      <c r="J8" s="11" t="n"/>
      <c r="K8" s="11" t="n"/>
      <c r="L8" s="11" t="n"/>
      <c r="M8" s="11" t="n"/>
    </row>
    <row r="9" ht="18" customHeight="1">
      <c r="A9" s="8" t="inlineStr">
        <is>
          <t>Sharpe Ratio</t>
        </is>
      </c>
      <c r="B9" s="35">
        <f>(B5-B8)/B7</f>
        <v/>
      </c>
      <c r="J9" s="11" t="n"/>
      <c r="K9" s="11" t="n"/>
      <c r="L9" s="11" t="n"/>
      <c r="M9" s="11" t="n"/>
      <c r="O9" s="11" t="n"/>
      <c r="P9" s="11" t="n"/>
    </row>
    <row r="10" ht="18" customHeight="1">
      <c r="A10" s="8" t="n"/>
      <c r="B10" s="35" t="n"/>
      <c r="J10" s="11" t="n"/>
      <c r="K10" s="11" t="n"/>
      <c r="L10" s="11" t="n"/>
      <c r="M10" s="11" t="n"/>
      <c r="O10" s="11" t="n"/>
      <c r="P10" s="11" t="n"/>
    </row>
    <row r="11" ht="18" customHeight="1">
      <c r="A11" s="8" t="inlineStr">
        <is>
          <t>Minimum Acceptable Return (MAR)</t>
        </is>
      </c>
      <c r="B11" s="36">
        <f>B8</f>
        <v/>
      </c>
      <c r="J11" s="11" t="n"/>
      <c r="K11" s="11" t="n"/>
      <c r="L11" s="11" t="n"/>
      <c r="M11" s="11" t="n"/>
      <c r="O11" s="11" t="n"/>
      <c r="P11" s="11" t="n"/>
    </row>
    <row r="12" ht="18" customHeight="1">
      <c r="A12" s="8" t="inlineStr">
        <is>
          <t>Target Semi-Standard Deviation</t>
        </is>
      </c>
      <c r="B12" s="35">
        <f>SQRT(SUMIFS(I17:I85,A17:A85,"&lt;="&amp;B3)/COUNTIFS(A17:A85,"&lt;="&amp;B3,A17:A85,"&lt;="&amp;B3))</f>
        <v/>
      </c>
      <c r="J12" s="11" t="n"/>
      <c r="K12" s="11" t="n"/>
      <c r="L12" s="11" t="n"/>
      <c r="M12" s="11" t="n"/>
      <c r="O12" s="11" t="n"/>
      <c r="P12" s="11" t="n"/>
    </row>
    <row r="13" ht="18" customHeight="1">
      <c r="A13" s="8" t="inlineStr">
        <is>
          <t>Sortino Ratio</t>
        </is>
      </c>
      <c r="B13" s="35">
        <f>(B5-B11)/B12</f>
        <v/>
      </c>
      <c r="J13" s="11" t="n"/>
      <c r="K13" s="11" t="n"/>
      <c r="L13" s="11" t="n"/>
      <c r="M13" s="11" t="n"/>
      <c r="O13" s="11" t="n"/>
      <c r="P13" s="11" t="n"/>
    </row>
    <row r="14" ht="18" customHeight="1">
      <c r="A14" s="8" t="n"/>
      <c r="B14" s="35" t="n"/>
      <c r="J14" s="11" t="n"/>
      <c r="K14" s="11" t="n"/>
      <c r="L14" s="11" t="n"/>
      <c r="M14" s="11" t="n"/>
      <c r="O14" s="11" t="n"/>
      <c r="P14" s="11" t="n"/>
    </row>
    <row r="15" ht="18" customHeight="1">
      <c r="I15" s="6" t="inlineStr">
        <is>
          <t>Sortino Ratio</t>
        </is>
      </c>
    </row>
    <row r="16" ht="18" customHeight="1">
      <c r="A16" s="37" t="inlineStr">
        <is>
          <t>Index</t>
        </is>
      </c>
      <c r="B16" s="37" t="inlineStr">
        <is>
          <t>US Large Cap</t>
        </is>
      </c>
      <c r="C16" s="37" t="inlineStr">
        <is>
          <t>Dev ex US</t>
        </is>
      </c>
      <c r="D16" s="37" t="inlineStr">
        <is>
          <t>EM</t>
        </is>
      </c>
      <c r="E16" s="37" t="inlineStr">
        <is>
          <t>UST</t>
        </is>
      </c>
      <c r="F16" s="37" t="inlineStr">
        <is>
          <t>US IG Corp Bond</t>
        </is>
      </c>
      <c r="G16" s="37" t="inlineStr">
        <is>
          <t>REITs</t>
        </is>
      </c>
      <c r="H16" s="37" t="inlineStr">
        <is>
          <t>Portfolio Return</t>
        </is>
      </c>
      <c r="I16" s="37" t="inlineStr">
        <is>
          <t>min(rp-rT, 0)^2</t>
        </is>
      </c>
    </row>
    <row r="17" ht="18" customHeight="1">
      <c r="A17" s="86" t="n">
        <v>43131</v>
      </c>
      <c r="B17" s="33">
        <f>IF(A17&gt;$B$3,"",'Index Returns'!B2*'SAA with CME'!C$17)</f>
        <v/>
      </c>
      <c r="C17" s="33">
        <f>IF(B17&gt;$B$3,"",'Index Returns'!C2*'SAA with CME'!D$17)</f>
        <v/>
      </c>
      <c r="D17" s="33">
        <f>IF(C17&gt;$B$3,"",'Index Returns'!D2*'SAA with CME'!E$17)</f>
        <v/>
      </c>
      <c r="E17" s="33">
        <f>IF(D17&gt;$B$3,"",'Index Returns'!E2*'SAA with CME'!F$17)</f>
        <v/>
      </c>
      <c r="F17" s="33">
        <f>IF(E17&gt;$B$3,"",'Index Returns'!F2*'SAA with CME'!G$17)</f>
        <v/>
      </c>
      <c r="G17" s="33">
        <f>IF(F17&gt;$B$3,"",'Index Returns'!G2*'SAA with CME'!H$17)</f>
        <v/>
      </c>
      <c r="H17" s="33">
        <f>IF(A17&gt;$B$3,"",SUM(B17:G17))</f>
        <v/>
      </c>
      <c r="I17" s="38">
        <f>IF(A17&gt;$B$3,"",(MIN(H17-$B$11,0)^2))</f>
        <v/>
      </c>
    </row>
    <row r="18" ht="18" customHeight="1">
      <c r="A18" s="86" t="n">
        <v>43159</v>
      </c>
      <c r="B18" s="33">
        <f>IF(A18&gt;$B$3,"",'Index Returns'!B3*'SAA with CME'!C$17)</f>
        <v/>
      </c>
      <c r="C18" s="33">
        <f>IF(B18&gt;$B$3,"",'Index Returns'!C3*'SAA with CME'!D$17)</f>
        <v/>
      </c>
      <c r="D18" s="33">
        <f>IF(C18&gt;$B$3,"",'Index Returns'!D3*'SAA with CME'!E$17)</f>
        <v/>
      </c>
      <c r="E18" s="33">
        <f>IF(D18&gt;$B$3,"",'Index Returns'!E3*'SAA with CME'!F$17)</f>
        <v/>
      </c>
      <c r="F18" s="33">
        <f>IF(E18&gt;$B$3,"",'Index Returns'!F3*'SAA with CME'!G$17)</f>
        <v/>
      </c>
      <c r="G18" s="33">
        <f>IF(F18&gt;$B$3,"",'Index Returns'!G3*'SAA with CME'!H$17)</f>
        <v/>
      </c>
      <c r="H18" s="33">
        <f>IF(A18&gt;$B$3,"",SUM(B18:G18))</f>
        <v/>
      </c>
      <c r="I18" s="38">
        <f>IF(A18&gt;$B$3,"",(MIN(H18-$B$11,0)^2))</f>
        <v/>
      </c>
    </row>
    <row r="19" ht="18" customHeight="1">
      <c r="A19" s="86" t="n">
        <v>43189</v>
      </c>
      <c r="B19" s="33">
        <f>IF(A19&gt;$B$3,"",'Index Returns'!B4*'SAA with CME'!C$17)</f>
        <v/>
      </c>
      <c r="C19" s="33">
        <f>IF(B19&gt;$B$3,"",'Index Returns'!C4*'SAA with CME'!D$17)</f>
        <v/>
      </c>
      <c r="D19" s="33">
        <f>IF(C19&gt;$B$3,"",'Index Returns'!D4*'SAA with CME'!E$17)</f>
        <v/>
      </c>
      <c r="E19" s="33">
        <f>IF(D19&gt;$B$3,"",'Index Returns'!E4*'SAA with CME'!F$17)</f>
        <v/>
      </c>
      <c r="F19" s="33">
        <f>IF(E19&gt;$B$3,"",'Index Returns'!F4*'SAA with CME'!G$17)</f>
        <v/>
      </c>
      <c r="G19" s="33">
        <f>IF(F19&gt;$B$3,"",'Index Returns'!G4*'SAA with CME'!H$17)</f>
        <v/>
      </c>
      <c r="H19" s="33">
        <f>IF(A19&gt;$B$3,"",SUM(B19:G19))</f>
        <v/>
      </c>
      <c r="I19" s="38">
        <f>IF(A19&gt;$B$3,"",(MIN(H19-$B$11,0)^2))</f>
        <v/>
      </c>
    </row>
    <row r="20" ht="18" customHeight="1">
      <c r="A20" s="86" t="n">
        <v>43220</v>
      </c>
      <c r="B20" s="33">
        <f>IF(A20&gt;$B$3,"",'Index Returns'!B5*'SAA with CME'!C$17)</f>
        <v/>
      </c>
      <c r="C20" s="33">
        <f>IF(B20&gt;$B$3,"",'Index Returns'!C5*'SAA with CME'!D$17)</f>
        <v/>
      </c>
      <c r="D20" s="33">
        <f>IF(C20&gt;$B$3,"",'Index Returns'!D5*'SAA with CME'!E$17)</f>
        <v/>
      </c>
      <c r="E20" s="33">
        <f>IF(D20&gt;$B$3,"",'Index Returns'!E5*'SAA with CME'!F$17)</f>
        <v/>
      </c>
      <c r="F20" s="33">
        <f>IF(E20&gt;$B$3,"",'Index Returns'!F5*'SAA with CME'!G$17)</f>
        <v/>
      </c>
      <c r="G20" s="33">
        <f>IF(F20&gt;$B$3,"",'Index Returns'!G5*'SAA with CME'!H$17)</f>
        <v/>
      </c>
      <c r="H20" s="33">
        <f>IF(A20&gt;$B$3,"",SUM(B20:G20))</f>
        <v/>
      </c>
      <c r="I20" s="38">
        <f>IF(A20&gt;$B$3,"",(MIN(H20-$B$11,0)^2))</f>
        <v/>
      </c>
    </row>
    <row r="21" ht="18" customHeight="1">
      <c r="A21" s="86" t="n">
        <v>43251</v>
      </c>
      <c r="B21" s="33">
        <f>IF(A21&gt;$B$3,"",'Index Returns'!B6*'SAA with CME'!C$17)</f>
        <v/>
      </c>
      <c r="C21" s="33">
        <f>IF(B21&gt;$B$3,"",'Index Returns'!C6*'SAA with CME'!D$17)</f>
        <v/>
      </c>
      <c r="D21" s="33">
        <f>IF(C21&gt;$B$3,"",'Index Returns'!D6*'SAA with CME'!E$17)</f>
        <v/>
      </c>
      <c r="E21" s="33">
        <f>IF(D21&gt;$B$3,"",'Index Returns'!E6*'SAA with CME'!F$17)</f>
        <v/>
      </c>
      <c r="F21" s="33">
        <f>IF(E21&gt;$B$3,"",'Index Returns'!F6*'SAA with CME'!G$17)</f>
        <v/>
      </c>
      <c r="G21" s="33">
        <f>IF(F21&gt;$B$3,"",'Index Returns'!G6*'SAA with CME'!H$17)</f>
        <v/>
      </c>
      <c r="H21" s="33">
        <f>IF(A21&gt;$B$3,"",SUM(B21:G21))</f>
        <v/>
      </c>
      <c r="I21" s="38">
        <f>IF(A21&gt;$B$3,"",(MIN(H21-$B$11,0)^2))</f>
        <v/>
      </c>
    </row>
    <row r="22" ht="18" customHeight="1">
      <c r="A22" s="86" t="n">
        <v>43280</v>
      </c>
      <c r="B22" s="33">
        <f>IF(A22&gt;$B$3,"",'Index Returns'!B7*'SAA with CME'!C$17)</f>
        <v/>
      </c>
      <c r="C22" s="33">
        <f>IF(B22&gt;$B$3,"",'Index Returns'!C7*'SAA with CME'!D$17)</f>
        <v/>
      </c>
      <c r="D22" s="33">
        <f>IF(C22&gt;$B$3,"",'Index Returns'!D7*'SAA with CME'!E$17)</f>
        <v/>
      </c>
      <c r="E22" s="33">
        <f>IF(D22&gt;$B$3,"",'Index Returns'!E7*'SAA with CME'!F$17)</f>
        <v/>
      </c>
      <c r="F22" s="33">
        <f>IF(E22&gt;$B$3,"",'Index Returns'!F7*'SAA with CME'!G$17)</f>
        <v/>
      </c>
      <c r="G22" s="33">
        <f>IF(F22&gt;$B$3,"",'Index Returns'!G7*'SAA with CME'!H$17)</f>
        <v/>
      </c>
      <c r="H22" s="33">
        <f>IF(A22&gt;$B$3,"",SUM(B22:G22))</f>
        <v/>
      </c>
      <c r="I22" s="38">
        <f>IF(A22&gt;$B$3,"",(MIN(H22-$B$11,0)^2))</f>
        <v/>
      </c>
    </row>
    <row r="23" ht="18" customHeight="1">
      <c r="A23" s="86" t="n">
        <v>43312</v>
      </c>
      <c r="B23" s="33">
        <f>IF(A23&gt;$B$3,"",'Index Returns'!B8*'SAA with CME'!C$17)</f>
        <v/>
      </c>
      <c r="C23" s="33">
        <f>IF(B23&gt;$B$3,"",'Index Returns'!C8*'SAA with CME'!D$17)</f>
        <v/>
      </c>
      <c r="D23" s="33">
        <f>IF(C23&gt;$B$3,"",'Index Returns'!D8*'SAA with CME'!E$17)</f>
        <v/>
      </c>
      <c r="E23" s="33">
        <f>IF(D23&gt;$B$3,"",'Index Returns'!E8*'SAA with CME'!F$17)</f>
        <v/>
      </c>
      <c r="F23" s="33">
        <f>IF(E23&gt;$B$3,"",'Index Returns'!F8*'SAA with CME'!G$17)</f>
        <v/>
      </c>
      <c r="G23" s="33">
        <f>IF(F23&gt;$B$3,"",'Index Returns'!G8*'SAA with CME'!H$17)</f>
        <v/>
      </c>
      <c r="H23" s="33">
        <f>IF(A23&gt;$B$3,"",SUM(B23:G23))</f>
        <v/>
      </c>
      <c r="I23" s="38">
        <f>IF(A23&gt;$B$3,"",(MIN(H23-$B$11,0)^2))</f>
        <v/>
      </c>
    </row>
    <row r="24" ht="18" customHeight="1">
      <c r="A24" s="86" t="n">
        <v>43343</v>
      </c>
      <c r="B24" s="33">
        <f>IF(A24&gt;$B$3,"",'Index Returns'!B9*'SAA with CME'!C$17)</f>
        <v/>
      </c>
      <c r="C24" s="33">
        <f>IF(B24&gt;$B$3,"",'Index Returns'!C9*'SAA with CME'!D$17)</f>
        <v/>
      </c>
      <c r="D24" s="33">
        <f>IF(C24&gt;$B$3,"",'Index Returns'!D9*'SAA with CME'!E$17)</f>
        <v/>
      </c>
      <c r="E24" s="33">
        <f>IF(D24&gt;$B$3,"",'Index Returns'!E9*'SAA with CME'!F$17)</f>
        <v/>
      </c>
      <c r="F24" s="33">
        <f>IF(E24&gt;$B$3,"",'Index Returns'!F9*'SAA with CME'!G$17)</f>
        <v/>
      </c>
      <c r="G24" s="33">
        <f>IF(F24&gt;$B$3,"",'Index Returns'!G9*'SAA with CME'!H$17)</f>
        <v/>
      </c>
      <c r="H24" s="33">
        <f>IF(A24&gt;$B$3,"",SUM(B24:G24))</f>
        <v/>
      </c>
      <c r="I24" s="38">
        <f>IF(A24&gt;$B$3,"",(MIN(H24-$B$11,0)^2))</f>
        <v/>
      </c>
    </row>
    <row r="25" ht="18" customHeight="1">
      <c r="A25" s="86" t="n">
        <v>43371</v>
      </c>
      <c r="B25" s="33">
        <f>IF(A25&gt;$B$3,"",'Index Returns'!B10*'SAA with CME'!C$17)</f>
        <v/>
      </c>
      <c r="C25" s="33">
        <f>IF(B25&gt;$B$3,"",'Index Returns'!C10*'SAA with CME'!D$17)</f>
        <v/>
      </c>
      <c r="D25" s="33">
        <f>IF(C25&gt;$B$3,"",'Index Returns'!D10*'SAA with CME'!E$17)</f>
        <v/>
      </c>
      <c r="E25" s="33">
        <f>IF(D25&gt;$B$3,"",'Index Returns'!E10*'SAA with CME'!F$17)</f>
        <v/>
      </c>
      <c r="F25" s="33">
        <f>IF(E25&gt;$B$3,"",'Index Returns'!F10*'SAA with CME'!G$17)</f>
        <v/>
      </c>
      <c r="G25" s="33">
        <f>IF(F25&gt;$B$3,"",'Index Returns'!G10*'SAA with CME'!H$17)</f>
        <v/>
      </c>
      <c r="H25" s="33">
        <f>IF(A25&gt;$B$3,"",SUM(B25:G25))</f>
        <v/>
      </c>
      <c r="I25" s="38">
        <f>IF(A25&gt;$B$3,"",(MIN(H25-$B$11,0)^2))</f>
        <v/>
      </c>
    </row>
    <row r="26" ht="18" customHeight="1">
      <c r="A26" s="86" t="n">
        <v>43404</v>
      </c>
      <c r="B26" s="33">
        <f>IF(A26&gt;$B$3,"",'Index Returns'!B11*'SAA with CME'!C$17)</f>
        <v/>
      </c>
      <c r="C26" s="33">
        <f>IF(B26&gt;$B$3,"",'Index Returns'!C11*'SAA with CME'!D$17)</f>
        <v/>
      </c>
      <c r="D26" s="33">
        <f>IF(C26&gt;$B$3,"",'Index Returns'!D11*'SAA with CME'!E$17)</f>
        <v/>
      </c>
      <c r="E26" s="33">
        <f>IF(D26&gt;$B$3,"",'Index Returns'!E11*'SAA with CME'!F$17)</f>
        <v/>
      </c>
      <c r="F26" s="33">
        <f>IF(E26&gt;$B$3,"",'Index Returns'!F11*'SAA with CME'!G$17)</f>
        <v/>
      </c>
      <c r="G26" s="33">
        <f>IF(F26&gt;$B$3,"",'Index Returns'!G11*'SAA with CME'!H$17)</f>
        <v/>
      </c>
      <c r="H26" s="33">
        <f>IF(A26&gt;$B$3,"",SUM(B26:G26))</f>
        <v/>
      </c>
      <c r="I26" s="38">
        <f>IF(A26&gt;$B$3,"",(MIN(H26-$B$11,0)^2))</f>
        <v/>
      </c>
    </row>
    <row r="27" ht="18" customHeight="1">
      <c r="A27" s="86" t="n">
        <v>43434</v>
      </c>
      <c r="B27" s="33">
        <f>IF(A27&gt;$B$3,"",'Index Returns'!B12*'SAA with CME'!C$17)</f>
        <v/>
      </c>
      <c r="C27" s="33">
        <f>IF(B27&gt;$B$3,"",'Index Returns'!C12*'SAA with CME'!D$17)</f>
        <v/>
      </c>
      <c r="D27" s="33">
        <f>IF(C27&gt;$B$3,"",'Index Returns'!D12*'SAA with CME'!E$17)</f>
        <v/>
      </c>
      <c r="E27" s="33">
        <f>IF(D27&gt;$B$3,"",'Index Returns'!E12*'SAA with CME'!F$17)</f>
        <v/>
      </c>
      <c r="F27" s="33">
        <f>IF(E27&gt;$B$3,"",'Index Returns'!F12*'SAA with CME'!G$17)</f>
        <v/>
      </c>
      <c r="G27" s="33">
        <f>IF(F27&gt;$B$3,"",'Index Returns'!G12*'SAA with CME'!H$17)</f>
        <v/>
      </c>
      <c r="H27" s="33">
        <f>IF(A27&gt;$B$3,"",SUM(B27:G27))</f>
        <v/>
      </c>
      <c r="I27" s="38">
        <f>IF(A27&gt;$B$3,"",(MIN(H27-$B$11,0)^2))</f>
        <v/>
      </c>
    </row>
    <row r="28" ht="18" customHeight="1">
      <c r="A28" s="86" t="n">
        <v>43465</v>
      </c>
      <c r="B28" s="33">
        <f>IF(A28&gt;$B$3,"",'Index Returns'!B13*'SAA with CME'!C$17)</f>
        <v/>
      </c>
      <c r="C28" s="33">
        <f>IF(B28&gt;$B$3,"",'Index Returns'!C13*'SAA with CME'!D$17)</f>
        <v/>
      </c>
      <c r="D28" s="33">
        <f>IF(C28&gt;$B$3,"",'Index Returns'!D13*'SAA with CME'!E$17)</f>
        <v/>
      </c>
      <c r="E28" s="33">
        <f>IF(D28&gt;$B$3,"",'Index Returns'!E13*'SAA with CME'!F$17)</f>
        <v/>
      </c>
      <c r="F28" s="33">
        <f>IF(E28&gt;$B$3,"",'Index Returns'!F13*'SAA with CME'!G$17)</f>
        <v/>
      </c>
      <c r="G28" s="33">
        <f>IF(F28&gt;$B$3,"",'Index Returns'!G13*'SAA with CME'!H$17)</f>
        <v/>
      </c>
      <c r="H28" s="33">
        <f>IF(A28&gt;$B$3,"",SUM(B28:G28))</f>
        <v/>
      </c>
      <c r="I28" s="38">
        <f>IF(A28&gt;$B$3,"",(MIN(H28-$B$11,0)^2))</f>
        <v/>
      </c>
    </row>
    <row r="29" ht="18" customHeight="1">
      <c r="A29" s="86" t="n">
        <v>43496</v>
      </c>
      <c r="B29" s="33">
        <f>IF(A29&gt;$B$3,"",'Index Returns'!B14*'SAA with CME'!C$17)</f>
        <v/>
      </c>
      <c r="C29" s="33">
        <f>IF(B29&gt;$B$3,"",'Index Returns'!C14*'SAA with CME'!D$17)</f>
        <v/>
      </c>
      <c r="D29" s="33">
        <f>IF(C29&gt;$B$3,"",'Index Returns'!D14*'SAA with CME'!E$17)</f>
        <v/>
      </c>
      <c r="E29" s="33">
        <f>IF(D29&gt;$B$3,"",'Index Returns'!E14*'SAA with CME'!F$17)</f>
        <v/>
      </c>
      <c r="F29" s="33">
        <f>IF(E29&gt;$B$3,"",'Index Returns'!F14*'SAA with CME'!G$17)</f>
        <v/>
      </c>
      <c r="G29" s="33">
        <f>IF(F29&gt;$B$3,"",'Index Returns'!G14*'SAA with CME'!H$17)</f>
        <v/>
      </c>
      <c r="H29" s="33">
        <f>IF(A29&gt;$B$3,"",SUM(B29:G29))</f>
        <v/>
      </c>
      <c r="I29" s="38">
        <f>IF(A29&gt;$B$3,"",(MIN(H29-$B$11,0)^2))</f>
        <v/>
      </c>
    </row>
    <row r="30" ht="18" customHeight="1">
      <c r="A30" s="86" t="n">
        <v>43524</v>
      </c>
      <c r="B30" s="33">
        <f>IF(A30&gt;$B$3,"",'Index Returns'!B15*'SAA with CME'!C$17)</f>
        <v/>
      </c>
      <c r="C30" s="33">
        <f>IF(B30&gt;$B$3,"",'Index Returns'!C15*'SAA with CME'!D$17)</f>
        <v/>
      </c>
      <c r="D30" s="33">
        <f>IF(C30&gt;$B$3,"",'Index Returns'!D15*'SAA with CME'!E$17)</f>
        <v/>
      </c>
      <c r="E30" s="33">
        <f>IF(D30&gt;$B$3,"",'Index Returns'!E15*'SAA with CME'!F$17)</f>
        <v/>
      </c>
      <c r="F30" s="33">
        <f>IF(E30&gt;$B$3,"",'Index Returns'!F15*'SAA with CME'!G$17)</f>
        <v/>
      </c>
      <c r="G30" s="33">
        <f>IF(F30&gt;$B$3,"",'Index Returns'!G15*'SAA with CME'!H$17)</f>
        <v/>
      </c>
      <c r="H30" s="33">
        <f>IF(A30&gt;$B$3,"",SUM(B30:G30))</f>
        <v/>
      </c>
      <c r="I30" s="38">
        <f>IF(A30&gt;$B$3,"",(MIN(H30-$B$11,0)^2))</f>
        <v/>
      </c>
    </row>
    <row r="31" ht="18" customHeight="1">
      <c r="A31" s="86" t="n">
        <v>43553</v>
      </c>
      <c r="B31" s="33">
        <f>IF(A31&gt;$B$3,"",'Index Returns'!B16*'SAA with CME'!C$17)</f>
        <v/>
      </c>
      <c r="C31" s="33">
        <f>IF(B31&gt;$B$3,"",'Index Returns'!C16*'SAA with CME'!D$17)</f>
        <v/>
      </c>
      <c r="D31" s="33">
        <f>IF(C31&gt;$B$3,"",'Index Returns'!D16*'SAA with CME'!E$17)</f>
        <v/>
      </c>
      <c r="E31" s="33">
        <f>IF(D31&gt;$B$3,"",'Index Returns'!E16*'SAA with CME'!F$17)</f>
        <v/>
      </c>
      <c r="F31" s="33">
        <f>IF(E31&gt;$B$3,"",'Index Returns'!F16*'SAA with CME'!G$17)</f>
        <v/>
      </c>
      <c r="G31" s="33">
        <f>IF(F31&gt;$B$3,"",'Index Returns'!G16*'SAA with CME'!H$17)</f>
        <v/>
      </c>
      <c r="H31" s="33">
        <f>IF(A31&gt;$B$3,"",SUM(B31:G31))</f>
        <v/>
      </c>
      <c r="I31" s="38">
        <f>IF(A31&gt;$B$3,"",(MIN(H31-$B$11,0)^2))</f>
        <v/>
      </c>
    </row>
    <row r="32" ht="18" customHeight="1">
      <c r="A32" s="86" t="n">
        <v>43585</v>
      </c>
      <c r="B32" s="33">
        <f>IF(A32&gt;$B$3,"",'Index Returns'!B17*'SAA with CME'!C$17)</f>
        <v/>
      </c>
      <c r="C32" s="33">
        <f>IF(B32&gt;$B$3,"",'Index Returns'!C17*'SAA with CME'!D$17)</f>
        <v/>
      </c>
      <c r="D32" s="33">
        <f>IF(C32&gt;$B$3,"",'Index Returns'!D17*'SAA with CME'!E$17)</f>
        <v/>
      </c>
      <c r="E32" s="33">
        <f>IF(D32&gt;$B$3,"",'Index Returns'!E17*'SAA with CME'!F$17)</f>
        <v/>
      </c>
      <c r="F32" s="33">
        <f>IF(E32&gt;$B$3,"",'Index Returns'!F17*'SAA with CME'!G$17)</f>
        <v/>
      </c>
      <c r="G32" s="33">
        <f>IF(F32&gt;$B$3,"",'Index Returns'!G17*'SAA with CME'!H$17)</f>
        <v/>
      </c>
      <c r="H32" s="33">
        <f>IF(A32&gt;$B$3,"",SUM(B32:G32))</f>
        <v/>
      </c>
      <c r="I32" s="38">
        <f>IF(A32&gt;$B$3,"",(MIN(H32-$B$11,0)^2))</f>
        <v/>
      </c>
    </row>
    <row r="33" ht="18" customHeight="1">
      <c r="A33" s="86" t="n">
        <v>43616</v>
      </c>
      <c r="B33" s="33">
        <f>IF(A33&gt;$B$3,"",'Index Returns'!B18*'SAA with CME'!C$17)</f>
        <v/>
      </c>
      <c r="C33" s="33">
        <f>IF(B33&gt;$B$3,"",'Index Returns'!C18*'SAA with CME'!D$17)</f>
        <v/>
      </c>
      <c r="D33" s="33">
        <f>IF(C33&gt;$B$3,"",'Index Returns'!D18*'SAA with CME'!E$17)</f>
        <v/>
      </c>
      <c r="E33" s="33">
        <f>IF(D33&gt;$B$3,"",'Index Returns'!E18*'SAA with CME'!F$17)</f>
        <v/>
      </c>
      <c r="F33" s="33">
        <f>IF(E33&gt;$B$3,"",'Index Returns'!F18*'SAA with CME'!G$17)</f>
        <v/>
      </c>
      <c r="G33" s="33">
        <f>IF(F33&gt;$B$3,"",'Index Returns'!G18*'SAA with CME'!H$17)</f>
        <v/>
      </c>
      <c r="H33" s="33">
        <f>IF(A33&gt;$B$3,"",SUM(B33:G33))</f>
        <v/>
      </c>
      <c r="I33" s="38">
        <f>IF(A33&gt;$B$3,"",(MIN(H33-$B$11,0)^2))</f>
        <v/>
      </c>
    </row>
    <row r="34" ht="18" customHeight="1">
      <c r="A34" s="86" t="n">
        <v>43644</v>
      </c>
      <c r="B34" s="33">
        <f>IF(A34&gt;$B$3,"",'Index Returns'!B19*'SAA with CME'!C$17)</f>
        <v/>
      </c>
      <c r="C34" s="33">
        <f>IF(B34&gt;$B$3,"",'Index Returns'!C19*'SAA with CME'!D$17)</f>
        <v/>
      </c>
      <c r="D34" s="33">
        <f>IF(C34&gt;$B$3,"",'Index Returns'!D19*'SAA with CME'!E$17)</f>
        <v/>
      </c>
      <c r="E34" s="33">
        <f>IF(D34&gt;$B$3,"",'Index Returns'!E19*'SAA with CME'!F$17)</f>
        <v/>
      </c>
      <c r="F34" s="33">
        <f>IF(E34&gt;$B$3,"",'Index Returns'!F19*'SAA with CME'!G$17)</f>
        <v/>
      </c>
      <c r="G34" s="33">
        <f>IF(F34&gt;$B$3,"",'Index Returns'!G19*'SAA with CME'!H$17)</f>
        <v/>
      </c>
      <c r="H34" s="33">
        <f>IF(A34&gt;$B$3,"",SUM(B34:G34))</f>
        <v/>
      </c>
      <c r="I34" s="38">
        <f>IF(A34&gt;$B$3,"",(MIN(H34-$B$11,0)^2))</f>
        <v/>
      </c>
    </row>
    <row r="35" ht="18" customHeight="1">
      <c r="A35" s="86" t="n">
        <v>43677</v>
      </c>
      <c r="B35" s="33">
        <f>IF(A35&gt;$B$3,"",'Index Returns'!B20*'SAA with CME'!C$17)</f>
        <v/>
      </c>
      <c r="C35" s="33">
        <f>IF(B35&gt;$B$3,"",'Index Returns'!C20*'SAA with CME'!D$17)</f>
        <v/>
      </c>
      <c r="D35" s="33">
        <f>IF(C35&gt;$B$3,"",'Index Returns'!D20*'SAA with CME'!E$17)</f>
        <v/>
      </c>
      <c r="E35" s="33">
        <f>IF(D35&gt;$B$3,"",'Index Returns'!E20*'SAA with CME'!F$17)</f>
        <v/>
      </c>
      <c r="F35" s="33">
        <f>IF(E35&gt;$B$3,"",'Index Returns'!F20*'SAA with CME'!G$17)</f>
        <v/>
      </c>
      <c r="G35" s="33">
        <f>IF(F35&gt;$B$3,"",'Index Returns'!G20*'SAA with CME'!H$17)</f>
        <v/>
      </c>
      <c r="H35" s="33">
        <f>IF(A35&gt;$B$3,"",SUM(B35:G35))</f>
        <v/>
      </c>
      <c r="I35" s="38">
        <f>IF(A35&gt;$B$3,"",(MIN(H35-$B$11,0)^2))</f>
        <v/>
      </c>
    </row>
    <row r="36" ht="18" customHeight="1">
      <c r="A36" s="86" t="n">
        <v>43707</v>
      </c>
      <c r="B36" s="33">
        <f>IF(A36&gt;$B$3,"",'Index Returns'!B21*'SAA with CME'!C$17)</f>
        <v/>
      </c>
      <c r="C36" s="33">
        <f>IF(B36&gt;$B$3,"",'Index Returns'!C21*'SAA with CME'!D$17)</f>
        <v/>
      </c>
      <c r="D36" s="33">
        <f>IF(C36&gt;$B$3,"",'Index Returns'!D21*'SAA with CME'!E$17)</f>
        <v/>
      </c>
      <c r="E36" s="33">
        <f>IF(D36&gt;$B$3,"",'Index Returns'!E21*'SAA with CME'!F$17)</f>
        <v/>
      </c>
      <c r="F36" s="33">
        <f>IF(E36&gt;$B$3,"",'Index Returns'!F21*'SAA with CME'!G$17)</f>
        <v/>
      </c>
      <c r="G36" s="33">
        <f>IF(F36&gt;$B$3,"",'Index Returns'!G21*'SAA with CME'!H$17)</f>
        <v/>
      </c>
      <c r="H36" s="33">
        <f>IF(A36&gt;$B$3,"",SUM(B36:G36))</f>
        <v/>
      </c>
      <c r="I36" s="38">
        <f>IF(A36&gt;$B$3,"",(MIN(H36-$B$11,0)^2))</f>
        <v/>
      </c>
    </row>
    <row r="37" ht="18" customHeight="1">
      <c r="A37" s="86" t="n">
        <v>43738</v>
      </c>
      <c r="B37" s="33">
        <f>IF(A37&gt;$B$3,"",'Index Returns'!B22*'SAA with CME'!C$17)</f>
        <v/>
      </c>
      <c r="C37" s="33">
        <f>IF(B37&gt;$B$3,"",'Index Returns'!C22*'SAA with CME'!D$17)</f>
        <v/>
      </c>
      <c r="D37" s="33">
        <f>IF(C37&gt;$B$3,"",'Index Returns'!D22*'SAA with CME'!E$17)</f>
        <v/>
      </c>
      <c r="E37" s="33">
        <f>IF(D37&gt;$B$3,"",'Index Returns'!E22*'SAA with CME'!F$17)</f>
        <v/>
      </c>
      <c r="F37" s="33">
        <f>IF(E37&gt;$B$3,"",'Index Returns'!F22*'SAA with CME'!G$17)</f>
        <v/>
      </c>
      <c r="G37" s="33">
        <f>IF(F37&gt;$B$3,"",'Index Returns'!G22*'SAA with CME'!H$17)</f>
        <v/>
      </c>
      <c r="H37" s="33">
        <f>IF(A37&gt;$B$3,"",SUM(B37:G37))</f>
        <v/>
      </c>
      <c r="I37" s="38">
        <f>IF(A37&gt;$B$3,"",(MIN(H37-$B$11,0)^2))</f>
        <v/>
      </c>
    </row>
    <row r="38" ht="18" customHeight="1">
      <c r="A38" s="86" t="n">
        <v>43769</v>
      </c>
      <c r="B38" s="33">
        <f>IF(A38&gt;$B$3,"",'Index Returns'!B23*'SAA with CME'!C$17)</f>
        <v/>
      </c>
      <c r="C38" s="33">
        <f>IF(B38&gt;$B$3,"",'Index Returns'!C23*'SAA with CME'!D$17)</f>
        <v/>
      </c>
      <c r="D38" s="33">
        <f>IF(C38&gt;$B$3,"",'Index Returns'!D23*'SAA with CME'!E$17)</f>
        <v/>
      </c>
      <c r="E38" s="33">
        <f>IF(D38&gt;$B$3,"",'Index Returns'!E23*'SAA with CME'!F$17)</f>
        <v/>
      </c>
      <c r="F38" s="33">
        <f>IF(E38&gt;$B$3,"",'Index Returns'!F23*'SAA with CME'!G$17)</f>
        <v/>
      </c>
      <c r="G38" s="33">
        <f>IF(F38&gt;$B$3,"",'Index Returns'!G23*'SAA with CME'!H$17)</f>
        <v/>
      </c>
      <c r="H38" s="33">
        <f>IF(A38&gt;$B$3,"",SUM(B38:G38))</f>
        <v/>
      </c>
      <c r="I38" s="38">
        <f>IF(A38&gt;$B$3,"",(MIN(H38-$B$11,0)^2))</f>
        <v/>
      </c>
    </row>
    <row r="39" ht="18" customHeight="1">
      <c r="A39" s="86" t="n">
        <v>43798</v>
      </c>
      <c r="B39" s="33">
        <f>IF(A39&gt;$B$3,"",'Index Returns'!B24*'SAA with CME'!C$17)</f>
        <v/>
      </c>
      <c r="C39" s="33">
        <f>IF(B39&gt;$B$3,"",'Index Returns'!C24*'SAA with CME'!D$17)</f>
        <v/>
      </c>
      <c r="D39" s="33">
        <f>IF(C39&gt;$B$3,"",'Index Returns'!D24*'SAA with CME'!E$17)</f>
        <v/>
      </c>
      <c r="E39" s="33">
        <f>IF(D39&gt;$B$3,"",'Index Returns'!E24*'SAA with CME'!F$17)</f>
        <v/>
      </c>
      <c r="F39" s="33">
        <f>IF(E39&gt;$B$3,"",'Index Returns'!F24*'SAA with CME'!G$17)</f>
        <v/>
      </c>
      <c r="G39" s="33">
        <f>IF(F39&gt;$B$3,"",'Index Returns'!G24*'SAA with CME'!H$17)</f>
        <v/>
      </c>
      <c r="H39" s="33">
        <f>IF(A39&gt;$B$3,"",SUM(B39:G39))</f>
        <v/>
      </c>
      <c r="I39" s="38">
        <f>IF(A39&gt;$B$3,"",(MIN(H39-$B$11,0)^2))</f>
        <v/>
      </c>
    </row>
    <row r="40" ht="18" customHeight="1">
      <c r="A40" s="86" t="n">
        <v>43830</v>
      </c>
      <c r="B40" s="33">
        <f>IF(A40&gt;$B$3,"",'Index Returns'!B25*'SAA with CME'!C$17)</f>
        <v/>
      </c>
      <c r="C40" s="33">
        <f>IF(B40&gt;$B$3,"",'Index Returns'!C25*'SAA with CME'!D$17)</f>
        <v/>
      </c>
      <c r="D40" s="33">
        <f>IF(C40&gt;$B$3,"",'Index Returns'!D25*'SAA with CME'!E$17)</f>
        <v/>
      </c>
      <c r="E40" s="33">
        <f>IF(D40&gt;$B$3,"",'Index Returns'!E25*'SAA with CME'!F$17)</f>
        <v/>
      </c>
      <c r="F40" s="33">
        <f>IF(E40&gt;$B$3,"",'Index Returns'!F25*'SAA with CME'!G$17)</f>
        <v/>
      </c>
      <c r="G40" s="33">
        <f>IF(F40&gt;$B$3,"",'Index Returns'!G25*'SAA with CME'!H$17)</f>
        <v/>
      </c>
      <c r="H40" s="33">
        <f>IF(A40&gt;$B$3,"",SUM(B40:G40))</f>
        <v/>
      </c>
      <c r="I40" s="38">
        <f>IF(A40&gt;$B$3,"",(MIN(H40-$B$11,0)^2))</f>
        <v/>
      </c>
    </row>
    <row r="41" ht="18" customHeight="1">
      <c r="A41" s="86" t="n">
        <v>43861</v>
      </c>
      <c r="B41" s="33">
        <f>IF(A41&gt;$B$3,"",'Index Returns'!B26*'SAA with CME'!C$17)</f>
        <v/>
      </c>
      <c r="C41" s="33">
        <f>IF(B41&gt;$B$3,"",'Index Returns'!C26*'SAA with CME'!D$17)</f>
        <v/>
      </c>
      <c r="D41" s="33">
        <f>IF(C41&gt;$B$3,"",'Index Returns'!D26*'SAA with CME'!E$17)</f>
        <v/>
      </c>
      <c r="E41" s="33">
        <f>IF(D41&gt;$B$3,"",'Index Returns'!E26*'SAA with CME'!F$17)</f>
        <v/>
      </c>
      <c r="F41" s="33">
        <f>IF(E41&gt;$B$3,"",'Index Returns'!F26*'SAA with CME'!G$17)</f>
        <v/>
      </c>
      <c r="G41" s="33">
        <f>IF(F41&gt;$B$3,"",'Index Returns'!G26*'SAA with CME'!H$17)</f>
        <v/>
      </c>
      <c r="H41" s="33">
        <f>IF(A41&gt;$B$3,"",SUM(B41:G41))</f>
        <v/>
      </c>
      <c r="I41" s="38">
        <f>IF(A41&gt;$B$3,"",(MIN(H41-$B$11,0)^2))</f>
        <v/>
      </c>
    </row>
    <row r="42" ht="18" customHeight="1">
      <c r="A42" s="86" t="n">
        <v>43889</v>
      </c>
      <c r="B42" s="33">
        <f>IF(A42&gt;$B$3,"",'Index Returns'!B27*'SAA with CME'!C$17)</f>
        <v/>
      </c>
      <c r="C42" s="33">
        <f>IF(B42&gt;$B$3,"",'Index Returns'!C27*'SAA with CME'!D$17)</f>
        <v/>
      </c>
      <c r="D42" s="33">
        <f>IF(C42&gt;$B$3,"",'Index Returns'!D27*'SAA with CME'!E$17)</f>
        <v/>
      </c>
      <c r="E42" s="33">
        <f>IF(D42&gt;$B$3,"",'Index Returns'!E27*'SAA with CME'!F$17)</f>
        <v/>
      </c>
      <c r="F42" s="33">
        <f>IF(E42&gt;$B$3,"",'Index Returns'!F27*'SAA with CME'!G$17)</f>
        <v/>
      </c>
      <c r="G42" s="33">
        <f>IF(F42&gt;$B$3,"",'Index Returns'!G27*'SAA with CME'!H$17)</f>
        <v/>
      </c>
      <c r="H42" s="33">
        <f>IF(A42&gt;$B$3,"",SUM(B42:G42))</f>
        <v/>
      </c>
      <c r="I42" s="38">
        <f>IF(A42&gt;$B$3,"",(MIN(H42-$B$11,0)^2))</f>
        <v/>
      </c>
    </row>
    <row r="43" ht="18" customHeight="1">
      <c r="A43" s="86" t="n">
        <v>43921</v>
      </c>
      <c r="B43" s="33">
        <f>IF(A43&gt;$B$3,"",'Index Returns'!B28*'SAA with CME'!C$17)</f>
        <v/>
      </c>
      <c r="C43" s="33">
        <f>IF(B43&gt;$B$3,"",'Index Returns'!C28*'SAA with CME'!D$17)</f>
        <v/>
      </c>
      <c r="D43" s="33">
        <f>IF(C43&gt;$B$3,"",'Index Returns'!D28*'SAA with CME'!E$17)</f>
        <v/>
      </c>
      <c r="E43" s="33">
        <f>IF(D43&gt;$B$3,"",'Index Returns'!E28*'SAA with CME'!F$17)</f>
        <v/>
      </c>
      <c r="F43" s="33">
        <f>IF(E43&gt;$B$3,"",'Index Returns'!F28*'SAA with CME'!G$17)</f>
        <v/>
      </c>
      <c r="G43" s="33">
        <f>IF(F43&gt;$B$3,"",'Index Returns'!G28*'SAA with CME'!H$17)</f>
        <v/>
      </c>
      <c r="H43" s="33">
        <f>IF(A43&gt;$B$3,"",SUM(B43:G43))</f>
        <v/>
      </c>
      <c r="I43" s="38">
        <f>IF(A43&gt;$B$3,"",(MIN(H43-$B$11,0)^2))</f>
        <v/>
      </c>
    </row>
    <row r="44" ht="18" customHeight="1">
      <c r="A44" s="86" t="n">
        <v>43951</v>
      </c>
      <c r="B44" s="33">
        <f>IF(A44&gt;$B$3,"",'Index Returns'!B29*'SAA with CME'!C$17)</f>
        <v/>
      </c>
      <c r="C44" s="33">
        <f>IF(B44&gt;$B$3,"",'Index Returns'!C29*'SAA with CME'!D$17)</f>
        <v/>
      </c>
      <c r="D44" s="33">
        <f>IF(C44&gt;$B$3,"",'Index Returns'!D29*'SAA with CME'!E$17)</f>
        <v/>
      </c>
      <c r="E44" s="33">
        <f>IF(D44&gt;$B$3,"",'Index Returns'!E29*'SAA with CME'!F$17)</f>
        <v/>
      </c>
      <c r="F44" s="33">
        <f>IF(E44&gt;$B$3,"",'Index Returns'!F29*'SAA with CME'!G$17)</f>
        <v/>
      </c>
      <c r="G44" s="33">
        <f>IF(F44&gt;$B$3,"",'Index Returns'!G29*'SAA with CME'!H$17)</f>
        <v/>
      </c>
      <c r="H44" s="33">
        <f>IF(A44&gt;$B$3,"",SUM(B44:G44))</f>
        <v/>
      </c>
      <c r="I44" s="38">
        <f>IF(A44&gt;$B$3,"",(MIN(H44-$B$11,0)^2))</f>
        <v/>
      </c>
    </row>
    <row r="45" ht="18" customHeight="1">
      <c r="A45" s="86" t="n">
        <v>43980</v>
      </c>
      <c r="B45" s="33">
        <f>IF(A45&gt;$B$3,"",'Index Returns'!B30*'SAA with CME'!C$17)</f>
        <v/>
      </c>
      <c r="C45" s="33">
        <f>IF(B45&gt;$B$3,"",'Index Returns'!C30*'SAA with CME'!D$17)</f>
        <v/>
      </c>
      <c r="D45" s="33">
        <f>IF(C45&gt;$B$3,"",'Index Returns'!D30*'SAA with CME'!E$17)</f>
        <v/>
      </c>
      <c r="E45" s="33">
        <f>IF(D45&gt;$B$3,"",'Index Returns'!E30*'SAA with CME'!F$17)</f>
        <v/>
      </c>
      <c r="F45" s="33">
        <f>IF(E45&gt;$B$3,"",'Index Returns'!F30*'SAA with CME'!G$17)</f>
        <v/>
      </c>
      <c r="G45" s="33">
        <f>IF(F45&gt;$B$3,"",'Index Returns'!G30*'SAA with CME'!H$17)</f>
        <v/>
      </c>
      <c r="H45" s="33">
        <f>IF(A45&gt;$B$3,"",SUM(B45:G45))</f>
        <v/>
      </c>
      <c r="I45" s="38">
        <f>IF(A45&gt;$B$3,"",(MIN(H45-$B$11,0)^2))</f>
        <v/>
      </c>
    </row>
    <row r="46" ht="18" customHeight="1">
      <c r="A46" s="86" t="n">
        <v>44012</v>
      </c>
      <c r="B46" s="33">
        <f>IF(A46&gt;$B$3,"",'Index Returns'!B31*'SAA with CME'!C$17)</f>
        <v/>
      </c>
      <c r="C46" s="33">
        <f>IF(B46&gt;$B$3,"",'Index Returns'!C31*'SAA with CME'!D$17)</f>
        <v/>
      </c>
      <c r="D46" s="33">
        <f>IF(C46&gt;$B$3,"",'Index Returns'!D31*'SAA with CME'!E$17)</f>
        <v/>
      </c>
      <c r="E46" s="33">
        <f>IF(D46&gt;$B$3,"",'Index Returns'!E31*'SAA with CME'!F$17)</f>
        <v/>
      </c>
      <c r="F46" s="33">
        <f>IF(E46&gt;$B$3,"",'Index Returns'!F31*'SAA with CME'!G$17)</f>
        <v/>
      </c>
      <c r="G46" s="33">
        <f>IF(F46&gt;$B$3,"",'Index Returns'!G31*'SAA with CME'!H$17)</f>
        <v/>
      </c>
      <c r="H46" s="33">
        <f>IF(A46&gt;$B$3,"",SUM(B46:G46))</f>
        <v/>
      </c>
      <c r="I46" s="38">
        <f>IF(A46&gt;$B$3,"",(MIN(H46-$B$11,0)^2))</f>
        <v/>
      </c>
    </row>
    <row r="47" ht="18" customHeight="1">
      <c r="A47" s="86" t="n">
        <v>44043</v>
      </c>
      <c r="B47" s="33">
        <f>IF(A47&gt;$B$3,"",'Index Returns'!B32*'SAA with CME'!C$17)</f>
        <v/>
      </c>
      <c r="C47" s="33">
        <f>IF(B47&gt;$B$3,"",'Index Returns'!C32*'SAA with CME'!D$17)</f>
        <v/>
      </c>
      <c r="D47" s="33">
        <f>IF(C47&gt;$B$3,"",'Index Returns'!D32*'SAA with CME'!E$17)</f>
        <v/>
      </c>
      <c r="E47" s="33">
        <f>IF(D47&gt;$B$3,"",'Index Returns'!E32*'SAA with CME'!F$17)</f>
        <v/>
      </c>
      <c r="F47" s="33">
        <f>IF(E47&gt;$B$3,"",'Index Returns'!F32*'SAA with CME'!G$17)</f>
        <v/>
      </c>
      <c r="G47" s="33">
        <f>IF(F47&gt;$B$3,"",'Index Returns'!G32*'SAA with CME'!H$17)</f>
        <v/>
      </c>
      <c r="H47" s="33">
        <f>IF(A47&gt;$B$3,"",SUM(B47:G47))</f>
        <v/>
      </c>
      <c r="I47" s="38">
        <f>IF(A47&gt;$B$3,"",(MIN(H47-$B$11,0)^2))</f>
        <v/>
      </c>
    </row>
    <row r="48" ht="18" customHeight="1">
      <c r="A48" s="86" t="n">
        <v>44074</v>
      </c>
      <c r="B48" s="33">
        <f>IF(A48&gt;$B$3,"",'Index Returns'!B33*'SAA with CME'!C$17)</f>
        <v/>
      </c>
      <c r="C48" s="33">
        <f>IF(B48&gt;$B$3,"",'Index Returns'!C33*'SAA with CME'!D$17)</f>
        <v/>
      </c>
      <c r="D48" s="33">
        <f>IF(C48&gt;$B$3,"",'Index Returns'!D33*'SAA with CME'!E$17)</f>
        <v/>
      </c>
      <c r="E48" s="33">
        <f>IF(D48&gt;$B$3,"",'Index Returns'!E33*'SAA with CME'!F$17)</f>
        <v/>
      </c>
      <c r="F48" s="33">
        <f>IF(E48&gt;$B$3,"",'Index Returns'!F33*'SAA with CME'!G$17)</f>
        <v/>
      </c>
      <c r="G48" s="33">
        <f>IF(F48&gt;$B$3,"",'Index Returns'!G33*'SAA with CME'!H$17)</f>
        <v/>
      </c>
      <c r="H48" s="33">
        <f>IF(A48&gt;$B$3,"",SUM(B48:G48))</f>
        <v/>
      </c>
      <c r="I48" s="38">
        <f>IF(A48&gt;$B$3,"",(MIN(H48-$B$11,0)^2))</f>
        <v/>
      </c>
    </row>
    <row r="49" ht="18" customHeight="1">
      <c r="A49" s="86" t="n">
        <v>44104</v>
      </c>
      <c r="B49" s="33">
        <f>IF(A49&gt;$B$3,"",'Index Returns'!B34*'SAA with CME'!C$17)</f>
        <v/>
      </c>
      <c r="C49" s="33">
        <f>IF(B49&gt;$B$3,"",'Index Returns'!C34*'SAA with CME'!D$17)</f>
        <v/>
      </c>
      <c r="D49" s="33">
        <f>IF(C49&gt;$B$3,"",'Index Returns'!D34*'SAA with CME'!E$17)</f>
        <v/>
      </c>
      <c r="E49" s="33">
        <f>IF(D49&gt;$B$3,"",'Index Returns'!E34*'SAA with CME'!F$17)</f>
        <v/>
      </c>
      <c r="F49" s="33">
        <f>IF(E49&gt;$B$3,"",'Index Returns'!F34*'SAA with CME'!G$17)</f>
        <v/>
      </c>
      <c r="G49" s="33">
        <f>IF(F49&gt;$B$3,"",'Index Returns'!G34*'SAA with CME'!H$17)</f>
        <v/>
      </c>
      <c r="H49" s="33">
        <f>IF(A49&gt;$B$3,"",SUM(B49:G49))</f>
        <v/>
      </c>
      <c r="I49" s="38">
        <f>IF(A49&gt;$B$3,"",(MIN(H49-$B$11,0)^2))</f>
        <v/>
      </c>
    </row>
    <row r="50" ht="18" customHeight="1">
      <c r="A50" s="86" t="n">
        <v>44134</v>
      </c>
      <c r="B50" s="33">
        <f>IF(A50&gt;$B$3,"",'Index Returns'!B35*'SAA with CME'!C$17)</f>
        <v/>
      </c>
      <c r="C50" s="33">
        <f>IF(B50&gt;$B$3,"",'Index Returns'!C35*'SAA with CME'!D$17)</f>
        <v/>
      </c>
      <c r="D50" s="33">
        <f>IF(C50&gt;$B$3,"",'Index Returns'!D35*'SAA with CME'!E$17)</f>
        <v/>
      </c>
      <c r="E50" s="33">
        <f>IF(D50&gt;$B$3,"",'Index Returns'!E35*'SAA with CME'!F$17)</f>
        <v/>
      </c>
      <c r="F50" s="33">
        <f>IF(E50&gt;$B$3,"",'Index Returns'!F35*'SAA with CME'!G$17)</f>
        <v/>
      </c>
      <c r="G50" s="33">
        <f>IF(F50&gt;$B$3,"",'Index Returns'!G35*'SAA with CME'!H$17)</f>
        <v/>
      </c>
      <c r="H50" s="33">
        <f>IF(A50&gt;$B$3,"",SUM(B50:G50))</f>
        <v/>
      </c>
      <c r="I50" s="38">
        <f>IF(A50&gt;$B$3,"",(MIN(H50-$B$11,0)^2))</f>
        <v/>
      </c>
    </row>
    <row r="51" ht="18" customHeight="1">
      <c r="A51" s="86" t="n">
        <v>44165</v>
      </c>
      <c r="B51" s="33">
        <f>IF(A51&gt;$B$3,"",'Index Returns'!B36*'SAA with CME'!C$17)</f>
        <v/>
      </c>
      <c r="C51" s="33">
        <f>IF(B51&gt;$B$3,"",'Index Returns'!C36*'SAA with CME'!D$17)</f>
        <v/>
      </c>
      <c r="D51" s="33">
        <f>IF(C51&gt;$B$3,"",'Index Returns'!D36*'SAA with CME'!E$17)</f>
        <v/>
      </c>
      <c r="E51" s="33">
        <f>IF(D51&gt;$B$3,"",'Index Returns'!E36*'SAA with CME'!F$17)</f>
        <v/>
      </c>
      <c r="F51" s="33">
        <f>IF(E51&gt;$B$3,"",'Index Returns'!F36*'SAA with CME'!G$17)</f>
        <v/>
      </c>
      <c r="G51" s="33">
        <f>IF(F51&gt;$B$3,"",'Index Returns'!G36*'SAA with CME'!H$17)</f>
        <v/>
      </c>
      <c r="H51" s="33">
        <f>IF(A51&gt;$B$3,"",SUM(B51:G51))</f>
        <v/>
      </c>
      <c r="I51" s="38">
        <f>IF(A51&gt;$B$3,"",(MIN(H51-$B$11,0)^2))</f>
        <v/>
      </c>
    </row>
    <row r="52" ht="18" customHeight="1">
      <c r="A52" s="86" t="n">
        <v>44196</v>
      </c>
      <c r="B52" s="33">
        <f>IF(A52&gt;$B$3,"",'Index Returns'!B37*'SAA with CME'!C$17)</f>
        <v/>
      </c>
      <c r="C52" s="33">
        <f>IF(B52&gt;$B$3,"",'Index Returns'!C37*'SAA with CME'!D$17)</f>
        <v/>
      </c>
      <c r="D52" s="33">
        <f>IF(C52&gt;$B$3,"",'Index Returns'!D37*'SAA with CME'!E$17)</f>
        <v/>
      </c>
      <c r="E52" s="33">
        <f>IF(D52&gt;$B$3,"",'Index Returns'!E37*'SAA with CME'!F$17)</f>
        <v/>
      </c>
      <c r="F52" s="33">
        <f>IF(E52&gt;$B$3,"",'Index Returns'!F37*'SAA with CME'!G$17)</f>
        <v/>
      </c>
      <c r="G52" s="33">
        <f>IF(F52&gt;$B$3,"",'Index Returns'!G37*'SAA with CME'!H$17)</f>
        <v/>
      </c>
      <c r="H52" s="33">
        <f>IF(A52&gt;$B$3,"",SUM(B52:G52))</f>
        <v/>
      </c>
      <c r="I52" s="38">
        <f>IF(A52&gt;$B$3,"",(MIN(H52-$B$11,0)^2))</f>
        <v/>
      </c>
    </row>
    <row r="53" ht="18" customHeight="1">
      <c r="A53" s="86" t="n">
        <v>44225</v>
      </c>
      <c r="B53" s="33">
        <f>IF(A53&gt;$B$3,"",'Index Returns'!B38*'SAA with CME'!C$17)</f>
        <v/>
      </c>
      <c r="C53" s="33">
        <f>IF(B53&gt;$B$3,"",'Index Returns'!C38*'SAA with CME'!D$17)</f>
        <v/>
      </c>
      <c r="D53" s="33">
        <f>IF(C53&gt;$B$3,"",'Index Returns'!D38*'SAA with CME'!E$17)</f>
        <v/>
      </c>
      <c r="E53" s="33">
        <f>IF(D53&gt;$B$3,"",'Index Returns'!E38*'SAA with CME'!F$17)</f>
        <v/>
      </c>
      <c r="F53" s="33">
        <f>IF(E53&gt;$B$3,"",'Index Returns'!F38*'SAA with CME'!G$17)</f>
        <v/>
      </c>
      <c r="G53" s="33">
        <f>IF(F53&gt;$B$3,"",'Index Returns'!G38*'SAA with CME'!H$17)</f>
        <v/>
      </c>
      <c r="H53" s="33">
        <f>IF(A53&gt;$B$3,"",SUM(B53:G53))</f>
        <v/>
      </c>
      <c r="I53" s="38">
        <f>IF(A53&gt;$B$3,"",(MIN(H53-$B$11,0)^2))</f>
        <v/>
      </c>
    </row>
    <row r="54" ht="18" customHeight="1">
      <c r="A54" s="86" t="n">
        <v>44253</v>
      </c>
      <c r="B54" s="33">
        <f>IF(A54&gt;$B$3,"",'Index Returns'!B39*'SAA with CME'!C$17)</f>
        <v/>
      </c>
      <c r="C54" s="33">
        <f>IF(B54&gt;$B$3,"",'Index Returns'!C39*'SAA with CME'!D$17)</f>
        <v/>
      </c>
      <c r="D54" s="33">
        <f>IF(C54&gt;$B$3,"",'Index Returns'!D39*'SAA with CME'!E$17)</f>
        <v/>
      </c>
      <c r="E54" s="33">
        <f>IF(D54&gt;$B$3,"",'Index Returns'!E39*'SAA with CME'!F$17)</f>
        <v/>
      </c>
      <c r="F54" s="33">
        <f>IF(E54&gt;$B$3,"",'Index Returns'!F39*'SAA with CME'!G$17)</f>
        <v/>
      </c>
      <c r="G54" s="33">
        <f>IF(F54&gt;$B$3,"",'Index Returns'!G39*'SAA with CME'!H$17)</f>
        <v/>
      </c>
      <c r="H54" s="33">
        <f>IF(A54&gt;$B$3,"",SUM(B54:G54))</f>
        <v/>
      </c>
      <c r="I54" s="38">
        <f>IF(A54&gt;$B$3,"",(MIN(H54-$B$11,0)^2))</f>
        <v/>
      </c>
    </row>
    <row r="55" ht="18" customHeight="1">
      <c r="A55" s="86" t="n">
        <v>44286</v>
      </c>
      <c r="B55" s="33">
        <f>IF(A55&gt;$B$3,"",'Index Returns'!B40*'SAA with CME'!C$17)</f>
        <v/>
      </c>
      <c r="C55" s="33">
        <f>IF(B55&gt;$B$3,"",'Index Returns'!C40*'SAA with CME'!D$17)</f>
        <v/>
      </c>
      <c r="D55" s="33">
        <f>IF(C55&gt;$B$3,"",'Index Returns'!D40*'SAA with CME'!E$17)</f>
        <v/>
      </c>
      <c r="E55" s="33">
        <f>IF(D55&gt;$B$3,"",'Index Returns'!E40*'SAA with CME'!F$17)</f>
        <v/>
      </c>
      <c r="F55" s="33">
        <f>IF(E55&gt;$B$3,"",'Index Returns'!F40*'SAA with CME'!G$17)</f>
        <v/>
      </c>
      <c r="G55" s="33">
        <f>IF(F55&gt;$B$3,"",'Index Returns'!G40*'SAA with CME'!H$17)</f>
        <v/>
      </c>
      <c r="H55" s="33">
        <f>IF(A55&gt;$B$3,"",SUM(B55:G55))</f>
        <v/>
      </c>
      <c r="I55" s="38">
        <f>IF(A55&gt;$B$3,"",(MIN(H55-$B$11,0)^2))</f>
        <v/>
      </c>
    </row>
    <row r="56" ht="18" customHeight="1">
      <c r="A56" s="86" t="n">
        <v>44316</v>
      </c>
      <c r="B56" s="33">
        <f>IF(A56&gt;$B$3,"",'Index Returns'!B41*'SAA with CME'!C$17)</f>
        <v/>
      </c>
      <c r="C56" s="33">
        <f>IF(B56&gt;$B$3,"",'Index Returns'!C41*'SAA with CME'!D$17)</f>
        <v/>
      </c>
      <c r="D56" s="33">
        <f>IF(C56&gt;$B$3,"",'Index Returns'!D41*'SAA with CME'!E$17)</f>
        <v/>
      </c>
      <c r="E56" s="33">
        <f>IF(D56&gt;$B$3,"",'Index Returns'!E41*'SAA with CME'!F$17)</f>
        <v/>
      </c>
      <c r="F56" s="33">
        <f>IF(E56&gt;$B$3,"",'Index Returns'!F41*'SAA with CME'!G$17)</f>
        <v/>
      </c>
      <c r="G56" s="33">
        <f>IF(F56&gt;$B$3,"",'Index Returns'!G41*'SAA with CME'!H$17)</f>
        <v/>
      </c>
      <c r="H56" s="33">
        <f>IF(A56&gt;$B$3,"",SUM(B56:G56))</f>
        <v/>
      </c>
      <c r="I56" s="38">
        <f>IF(A56&gt;$B$3,"",(MIN(H56-$B$11,0)^2))</f>
        <v/>
      </c>
    </row>
    <row r="57" ht="18" customHeight="1">
      <c r="A57" s="86" t="n">
        <v>44347</v>
      </c>
      <c r="B57" s="33">
        <f>IF(A57&gt;$B$3,"",'Index Returns'!B42*'SAA with CME'!C$17)</f>
        <v/>
      </c>
      <c r="C57" s="33">
        <f>IF(B57&gt;$B$3,"",'Index Returns'!C42*'SAA with CME'!D$17)</f>
        <v/>
      </c>
      <c r="D57" s="33">
        <f>IF(C57&gt;$B$3,"",'Index Returns'!D42*'SAA with CME'!E$17)</f>
        <v/>
      </c>
      <c r="E57" s="33">
        <f>IF(D57&gt;$B$3,"",'Index Returns'!E42*'SAA with CME'!F$17)</f>
        <v/>
      </c>
      <c r="F57" s="33">
        <f>IF(E57&gt;$B$3,"",'Index Returns'!F42*'SAA with CME'!G$17)</f>
        <v/>
      </c>
      <c r="G57" s="33">
        <f>IF(F57&gt;$B$3,"",'Index Returns'!G42*'SAA with CME'!H$17)</f>
        <v/>
      </c>
      <c r="H57" s="33">
        <f>IF(A57&gt;$B$3,"",SUM(B57:G57))</f>
        <v/>
      </c>
      <c r="I57" s="38">
        <f>IF(A57&gt;$B$3,"",(MIN(H57-$B$11,0)^2))</f>
        <v/>
      </c>
    </row>
    <row r="58" ht="18" customHeight="1">
      <c r="A58" s="86" t="n">
        <v>44377</v>
      </c>
      <c r="B58" s="33">
        <f>IF(A58&gt;$B$3,"",'Index Returns'!B43*'SAA with CME'!C$17)</f>
        <v/>
      </c>
      <c r="C58" s="33">
        <f>IF(B58&gt;$B$3,"",'Index Returns'!C43*'SAA with CME'!D$17)</f>
        <v/>
      </c>
      <c r="D58" s="33">
        <f>IF(C58&gt;$B$3,"",'Index Returns'!D43*'SAA with CME'!E$17)</f>
        <v/>
      </c>
      <c r="E58" s="33">
        <f>IF(D58&gt;$B$3,"",'Index Returns'!E43*'SAA with CME'!F$17)</f>
        <v/>
      </c>
      <c r="F58" s="33">
        <f>IF(E58&gt;$B$3,"",'Index Returns'!F43*'SAA with CME'!G$17)</f>
        <v/>
      </c>
      <c r="G58" s="33">
        <f>IF(F58&gt;$B$3,"",'Index Returns'!G43*'SAA with CME'!H$17)</f>
        <v/>
      </c>
      <c r="H58" s="33">
        <f>IF(A58&gt;$B$3,"",SUM(B58:G58))</f>
        <v/>
      </c>
      <c r="I58" s="38">
        <f>IF(A58&gt;$B$3,"",(MIN(H58-$B$11,0)^2))</f>
        <v/>
      </c>
    </row>
    <row r="59" ht="18" customHeight="1">
      <c r="A59" s="86" t="n">
        <v>44407</v>
      </c>
      <c r="B59" s="33">
        <f>IF(A59&gt;$B$3,"",'Index Returns'!B44*'SAA with CME'!C$17)</f>
        <v/>
      </c>
      <c r="C59" s="33">
        <f>IF(B59&gt;$B$3,"",'Index Returns'!C44*'SAA with CME'!D$17)</f>
        <v/>
      </c>
      <c r="D59" s="33">
        <f>IF(C59&gt;$B$3,"",'Index Returns'!D44*'SAA with CME'!E$17)</f>
        <v/>
      </c>
      <c r="E59" s="33">
        <f>IF(D59&gt;$B$3,"",'Index Returns'!E44*'SAA with CME'!F$17)</f>
        <v/>
      </c>
      <c r="F59" s="33">
        <f>IF(E59&gt;$B$3,"",'Index Returns'!F44*'SAA with CME'!G$17)</f>
        <v/>
      </c>
      <c r="G59" s="33">
        <f>IF(F59&gt;$B$3,"",'Index Returns'!G44*'SAA with CME'!H$17)</f>
        <v/>
      </c>
      <c r="H59" s="33">
        <f>IF(A59&gt;$B$3,"",SUM(B59:G59))</f>
        <v/>
      </c>
      <c r="I59" s="38">
        <f>IF(A59&gt;$B$3,"",(MIN(H59-$B$11,0)^2))</f>
        <v/>
      </c>
    </row>
    <row r="60" ht="18" customHeight="1">
      <c r="A60" s="86" t="n">
        <v>44439</v>
      </c>
      <c r="B60" s="33">
        <f>IF(A60&gt;$B$3,"",'Index Returns'!B45*'SAA with CME'!C$17)</f>
        <v/>
      </c>
      <c r="C60" s="33">
        <f>IF(B60&gt;$B$3,"",'Index Returns'!C45*'SAA with CME'!D$17)</f>
        <v/>
      </c>
      <c r="D60" s="33">
        <f>IF(C60&gt;$B$3,"",'Index Returns'!D45*'SAA with CME'!E$17)</f>
        <v/>
      </c>
      <c r="E60" s="33">
        <f>IF(D60&gt;$B$3,"",'Index Returns'!E45*'SAA with CME'!F$17)</f>
        <v/>
      </c>
      <c r="F60" s="33">
        <f>IF(E60&gt;$B$3,"",'Index Returns'!F45*'SAA with CME'!G$17)</f>
        <v/>
      </c>
      <c r="G60" s="33">
        <f>IF(F60&gt;$B$3,"",'Index Returns'!G45*'SAA with CME'!H$17)</f>
        <v/>
      </c>
      <c r="H60" s="33">
        <f>IF(A60&gt;$B$3,"",SUM(B60:G60))</f>
        <v/>
      </c>
      <c r="I60" s="38">
        <f>IF(A60&gt;$B$3,"",(MIN(H60-$B$11,0)^2))</f>
        <v/>
      </c>
    </row>
    <row r="61" ht="18" customHeight="1">
      <c r="A61" s="86" t="n">
        <v>44469</v>
      </c>
      <c r="B61" s="33">
        <f>IF(A61&gt;$B$3,"",'Index Returns'!B46*'SAA with CME'!C$17)</f>
        <v/>
      </c>
      <c r="C61" s="33">
        <f>IF(B61&gt;$B$3,"",'Index Returns'!C46*'SAA with CME'!D$17)</f>
        <v/>
      </c>
      <c r="D61" s="33">
        <f>IF(C61&gt;$B$3,"",'Index Returns'!D46*'SAA with CME'!E$17)</f>
        <v/>
      </c>
      <c r="E61" s="33">
        <f>IF(D61&gt;$B$3,"",'Index Returns'!E46*'SAA with CME'!F$17)</f>
        <v/>
      </c>
      <c r="F61" s="33">
        <f>IF(E61&gt;$B$3,"",'Index Returns'!F46*'SAA with CME'!G$17)</f>
        <v/>
      </c>
      <c r="G61" s="33">
        <f>IF(F61&gt;$B$3,"",'Index Returns'!G46*'SAA with CME'!H$17)</f>
        <v/>
      </c>
      <c r="H61" s="33">
        <f>IF(A61&gt;$B$3,"",SUM(B61:G61))</f>
        <v/>
      </c>
      <c r="I61" s="38">
        <f>IF(A61&gt;$B$3,"",(MIN(H61-$B$11,0)^2))</f>
        <v/>
      </c>
    </row>
    <row r="62" ht="18" customHeight="1">
      <c r="A62" s="86" t="n">
        <v>44498</v>
      </c>
      <c r="B62" s="33">
        <f>IF(A62&gt;$B$3,"",'Index Returns'!B47*'SAA with CME'!C$17)</f>
        <v/>
      </c>
      <c r="C62" s="33">
        <f>IF(B62&gt;$B$3,"",'Index Returns'!C47*'SAA with CME'!D$17)</f>
        <v/>
      </c>
      <c r="D62" s="33">
        <f>IF(C62&gt;$B$3,"",'Index Returns'!D47*'SAA with CME'!E$17)</f>
        <v/>
      </c>
      <c r="E62" s="33">
        <f>IF(D62&gt;$B$3,"",'Index Returns'!E47*'SAA with CME'!F$17)</f>
        <v/>
      </c>
      <c r="F62" s="33">
        <f>IF(E62&gt;$B$3,"",'Index Returns'!F47*'SAA with CME'!G$17)</f>
        <v/>
      </c>
      <c r="G62" s="33">
        <f>IF(F62&gt;$B$3,"",'Index Returns'!G47*'SAA with CME'!H$17)</f>
        <v/>
      </c>
      <c r="H62" s="33">
        <f>IF(A62&gt;$B$3,"",SUM(B62:G62))</f>
        <v/>
      </c>
      <c r="I62" s="38">
        <f>IF(A62&gt;$B$3,"",(MIN(H62-$B$11,0)^2))</f>
        <v/>
      </c>
    </row>
    <row r="63" ht="18" customHeight="1">
      <c r="A63" s="86" t="n">
        <v>44530</v>
      </c>
      <c r="B63" s="33">
        <f>IF(A63&gt;$B$3,"",'Index Returns'!B48*'SAA with CME'!C$17)</f>
        <v/>
      </c>
      <c r="C63" s="33">
        <f>IF(B63&gt;$B$3,"",'Index Returns'!C48*'SAA with CME'!D$17)</f>
        <v/>
      </c>
      <c r="D63" s="33">
        <f>IF(C63&gt;$B$3,"",'Index Returns'!D48*'SAA with CME'!E$17)</f>
        <v/>
      </c>
      <c r="E63" s="33">
        <f>IF(D63&gt;$B$3,"",'Index Returns'!E48*'SAA with CME'!F$17)</f>
        <v/>
      </c>
      <c r="F63" s="33">
        <f>IF(E63&gt;$B$3,"",'Index Returns'!F48*'SAA with CME'!G$17)</f>
        <v/>
      </c>
      <c r="G63" s="33">
        <f>IF(F63&gt;$B$3,"",'Index Returns'!G48*'SAA with CME'!H$17)</f>
        <v/>
      </c>
      <c r="H63" s="33">
        <f>IF(A63&gt;$B$3,"",SUM(B63:G63))</f>
        <v/>
      </c>
      <c r="I63" s="38">
        <f>IF(A63&gt;$B$3,"",(MIN(H63-$B$11,0)^2))</f>
        <v/>
      </c>
    </row>
    <row r="64" ht="18" customHeight="1">
      <c r="A64" s="86" t="n">
        <v>44561</v>
      </c>
      <c r="B64" s="33">
        <f>IF(A64&gt;$B$3,"",'Index Returns'!B49*'SAA with CME'!C$17)</f>
        <v/>
      </c>
      <c r="C64" s="33">
        <f>IF(B64&gt;$B$3,"",'Index Returns'!C49*'SAA with CME'!D$17)</f>
        <v/>
      </c>
      <c r="D64" s="33">
        <f>IF(C64&gt;$B$3,"",'Index Returns'!D49*'SAA with CME'!E$17)</f>
        <v/>
      </c>
      <c r="E64" s="33">
        <f>IF(D64&gt;$B$3,"",'Index Returns'!E49*'SAA with CME'!F$17)</f>
        <v/>
      </c>
      <c r="F64" s="33">
        <f>IF(E64&gt;$B$3,"",'Index Returns'!F49*'SAA with CME'!G$17)</f>
        <v/>
      </c>
      <c r="G64" s="33">
        <f>IF(F64&gt;$B$3,"",'Index Returns'!G49*'SAA with CME'!H$17)</f>
        <v/>
      </c>
      <c r="H64" s="33">
        <f>IF(A64&gt;$B$3,"",SUM(B64:G64))</f>
        <v/>
      </c>
      <c r="I64" s="38">
        <f>IF(A64&gt;$B$3,"",(MIN(H64-$B$11,0)^2))</f>
        <v/>
      </c>
    </row>
    <row r="65" ht="18" customHeight="1">
      <c r="A65" s="86" t="n">
        <v>44592</v>
      </c>
      <c r="B65" s="33">
        <f>IF(A65&gt;$B$3,"",'Index Returns'!B50*'SAA with CME'!C$17)</f>
        <v/>
      </c>
      <c r="C65" s="33">
        <f>IF(B65&gt;$B$3,"",'Index Returns'!C50*'SAA with CME'!D$17)</f>
        <v/>
      </c>
      <c r="D65" s="33">
        <f>IF(C65&gt;$B$3,"",'Index Returns'!D50*'SAA with CME'!E$17)</f>
        <v/>
      </c>
      <c r="E65" s="33">
        <f>IF(D65&gt;$B$3,"",'Index Returns'!E50*'SAA with CME'!F$17)</f>
        <v/>
      </c>
      <c r="F65" s="33">
        <f>IF(E65&gt;$B$3,"",'Index Returns'!F50*'SAA with CME'!G$17)</f>
        <v/>
      </c>
      <c r="G65" s="33">
        <f>IF(F65&gt;$B$3,"",'Index Returns'!G50*'SAA with CME'!H$17)</f>
        <v/>
      </c>
      <c r="H65" s="33">
        <f>IF(A65&gt;$B$3,"",SUM(B65:G65))</f>
        <v/>
      </c>
      <c r="I65" s="38">
        <f>IF(A65&gt;$B$3,"",(MIN(H65-$B$11,0)^2))</f>
        <v/>
      </c>
    </row>
    <row r="66" ht="18" customHeight="1">
      <c r="A66" s="86" t="n">
        <v>44620</v>
      </c>
      <c r="B66" s="33">
        <f>IF(A66&gt;$B$3,"",'Index Returns'!B51*'SAA with CME'!C$17)</f>
        <v/>
      </c>
      <c r="C66" s="33">
        <f>IF(B66&gt;$B$3,"",'Index Returns'!C51*'SAA with CME'!D$17)</f>
        <v/>
      </c>
      <c r="D66" s="33">
        <f>IF(C66&gt;$B$3,"",'Index Returns'!D51*'SAA with CME'!E$17)</f>
        <v/>
      </c>
      <c r="E66" s="33">
        <f>IF(D66&gt;$B$3,"",'Index Returns'!E51*'SAA with CME'!F$17)</f>
        <v/>
      </c>
      <c r="F66" s="33">
        <f>IF(E66&gt;$B$3,"",'Index Returns'!F51*'SAA with CME'!G$17)</f>
        <v/>
      </c>
      <c r="G66" s="33">
        <f>IF(F66&gt;$B$3,"",'Index Returns'!G51*'SAA with CME'!H$17)</f>
        <v/>
      </c>
      <c r="H66" s="33">
        <f>IF(A66&gt;$B$3,"",SUM(B66:G66))</f>
        <v/>
      </c>
      <c r="I66" s="38">
        <f>IF(A66&gt;$B$3,"",(MIN(H66-$B$11,0)^2))</f>
        <v/>
      </c>
    </row>
    <row r="67" ht="18" customHeight="1">
      <c r="A67" s="86" t="n">
        <v>44651</v>
      </c>
      <c r="B67" s="33">
        <f>IF(A67&gt;$B$3,"",'Index Returns'!B52*'SAA with CME'!C$17)</f>
        <v/>
      </c>
      <c r="C67" s="33">
        <f>IF(B67&gt;$B$3,"",'Index Returns'!C52*'SAA with CME'!D$17)</f>
        <v/>
      </c>
      <c r="D67" s="33">
        <f>IF(C67&gt;$B$3,"",'Index Returns'!D52*'SAA with CME'!E$17)</f>
        <v/>
      </c>
      <c r="E67" s="33">
        <f>IF(D67&gt;$B$3,"",'Index Returns'!E52*'SAA with CME'!F$17)</f>
        <v/>
      </c>
      <c r="F67" s="33">
        <f>IF(E67&gt;$B$3,"",'Index Returns'!F52*'SAA with CME'!G$17)</f>
        <v/>
      </c>
      <c r="G67" s="33">
        <f>IF(F67&gt;$B$3,"",'Index Returns'!G52*'SAA with CME'!H$17)</f>
        <v/>
      </c>
      <c r="H67" s="33">
        <f>IF(A67&gt;$B$3,"",SUM(B67:G67))</f>
        <v/>
      </c>
      <c r="I67" s="38">
        <f>IF(A67&gt;$B$3,"",(MIN(H67-$B$11,0)^2))</f>
        <v/>
      </c>
    </row>
    <row r="68" ht="18" customHeight="1">
      <c r="A68" s="86" t="n">
        <v>44680</v>
      </c>
      <c r="B68" s="33">
        <f>IF(A68&gt;$B$3,"",'Index Returns'!B53*'SAA with CME'!C$17)</f>
        <v/>
      </c>
      <c r="C68" s="33">
        <f>IF(B68&gt;$B$3,"",'Index Returns'!C53*'SAA with CME'!D$17)</f>
        <v/>
      </c>
      <c r="D68" s="33">
        <f>IF(C68&gt;$B$3,"",'Index Returns'!D53*'SAA with CME'!E$17)</f>
        <v/>
      </c>
      <c r="E68" s="33">
        <f>IF(D68&gt;$B$3,"",'Index Returns'!E53*'SAA with CME'!F$17)</f>
        <v/>
      </c>
      <c r="F68" s="33">
        <f>IF(E68&gt;$B$3,"",'Index Returns'!F53*'SAA with CME'!G$17)</f>
        <v/>
      </c>
      <c r="G68" s="33">
        <f>IF(F68&gt;$B$3,"",'Index Returns'!G53*'SAA with CME'!H$17)</f>
        <v/>
      </c>
      <c r="H68" s="33">
        <f>IF(A68&gt;$B$3,"",SUM(B68:G68))</f>
        <v/>
      </c>
      <c r="I68" s="38">
        <f>IF(A68&gt;$B$3,"",(MIN(H68-$B$11,0)^2))</f>
        <v/>
      </c>
    </row>
    <row r="69" ht="18" customHeight="1">
      <c r="A69" s="86" t="n">
        <v>44712</v>
      </c>
      <c r="B69" s="33">
        <f>IF(A69&gt;$B$3,"",'Index Returns'!B54*'SAA with CME'!C$17)</f>
        <v/>
      </c>
      <c r="C69" s="33">
        <f>IF(B69&gt;$B$3,"",'Index Returns'!C54*'SAA with CME'!D$17)</f>
        <v/>
      </c>
      <c r="D69" s="33">
        <f>IF(C69&gt;$B$3,"",'Index Returns'!D54*'SAA with CME'!E$17)</f>
        <v/>
      </c>
      <c r="E69" s="33">
        <f>IF(D69&gt;$B$3,"",'Index Returns'!E54*'SAA with CME'!F$17)</f>
        <v/>
      </c>
      <c r="F69" s="33">
        <f>IF(E69&gt;$B$3,"",'Index Returns'!F54*'SAA with CME'!G$17)</f>
        <v/>
      </c>
      <c r="G69" s="33">
        <f>IF(F69&gt;$B$3,"",'Index Returns'!G54*'SAA with CME'!H$17)</f>
        <v/>
      </c>
      <c r="H69" s="33">
        <f>IF(A69&gt;$B$3,"",SUM(B69:G69))</f>
        <v/>
      </c>
      <c r="I69" s="38">
        <f>IF(A69&gt;$B$3,"",(MIN(H69-$B$11,0)^2))</f>
        <v/>
      </c>
    </row>
    <row r="70" ht="18" customHeight="1">
      <c r="A70" s="86" t="n">
        <v>44742</v>
      </c>
      <c r="B70" s="33">
        <f>IF(A70&gt;$B$3,"",'Index Returns'!B55*'SAA with CME'!C$17)</f>
        <v/>
      </c>
      <c r="C70" s="33">
        <f>IF(B70&gt;$B$3,"",'Index Returns'!C55*'SAA with CME'!D$17)</f>
        <v/>
      </c>
      <c r="D70" s="33">
        <f>IF(C70&gt;$B$3,"",'Index Returns'!D55*'SAA with CME'!E$17)</f>
        <v/>
      </c>
      <c r="E70" s="33">
        <f>IF(D70&gt;$B$3,"",'Index Returns'!E55*'SAA with CME'!F$17)</f>
        <v/>
      </c>
      <c r="F70" s="33">
        <f>IF(E70&gt;$B$3,"",'Index Returns'!F55*'SAA with CME'!G$17)</f>
        <v/>
      </c>
      <c r="G70" s="33">
        <f>IF(F70&gt;$B$3,"",'Index Returns'!G55*'SAA with CME'!H$17)</f>
        <v/>
      </c>
      <c r="H70" s="33">
        <f>IF(A70&gt;$B$3,"",SUM(B70:G70))</f>
        <v/>
      </c>
      <c r="I70" s="38">
        <f>IF(A70&gt;$B$3,"",(MIN(H70-$B$11,0)^2))</f>
        <v/>
      </c>
    </row>
    <row r="71" ht="18" customHeight="1">
      <c r="A71" s="86" t="n">
        <v>44771</v>
      </c>
      <c r="B71" s="33">
        <f>IF(A71&gt;$B$3,"",'Index Returns'!B56*'SAA with CME'!C$17)</f>
        <v/>
      </c>
      <c r="C71" s="33">
        <f>IF(B71&gt;$B$3,"",'Index Returns'!C56*'SAA with CME'!D$17)</f>
        <v/>
      </c>
      <c r="D71" s="33">
        <f>IF(C71&gt;$B$3,"",'Index Returns'!D56*'SAA with CME'!E$17)</f>
        <v/>
      </c>
      <c r="E71" s="33">
        <f>IF(D71&gt;$B$3,"",'Index Returns'!E56*'SAA with CME'!F$17)</f>
        <v/>
      </c>
      <c r="F71" s="33">
        <f>IF(E71&gt;$B$3,"",'Index Returns'!F56*'SAA with CME'!G$17)</f>
        <v/>
      </c>
      <c r="G71" s="33">
        <f>IF(F71&gt;$B$3,"",'Index Returns'!G56*'SAA with CME'!H$17)</f>
        <v/>
      </c>
      <c r="H71" s="33">
        <f>IF(A71&gt;$B$3,"",SUM(B71:G71))</f>
        <v/>
      </c>
      <c r="I71" s="38">
        <f>IF(A71&gt;$B$3,"",(MIN(H71-$B$11,0)^2))</f>
        <v/>
      </c>
    </row>
    <row r="72" ht="18" customHeight="1">
      <c r="A72" s="86" t="n">
        <v>44804</v>
      </c>
      <c r="B72" s="33">
        <f>IF(A72&gt;$B$3,"",'Index Returns'!B57*'SAA with CME'!C$17)</f>
        <v/>
      </c>
      <c r="C72" s="33">
        <f>IF(B72&gt;$B$3,"",'Index Returns'!C57*'SAA with CME'!D$17)</f>
        <v/>
      </c>
      <c r="D72" s="33">
        <f>IF(C72&gt;$B$3,"",'Index Returns'!D57*'SAA with CME'!E$17)</f>
        <v/>
      </c>
      <c r="E72" s="33">
        <f>IF(D72&gt;$B$3,"",'Index Returns'!E57*'SAA with CME'!F$17)</f>
        <v/>
      </c>
      <c r="F72" s="33">
        <f>IF(E72&gt;$B$3,"",'Index Returns'!F57*'SAA with CME'!G$17)</f>
        <v/>
      </c>
      <c r="G72" s="33">
        <f>IF(F72&gt;$B$3,"",'Index Returns'!G57*'SAA with CME'!H$17)</f>
        <v/>
      </c>
      <c r="H72" s="33">
        <f>IF(A72&gt;$B$3,"",SUM(B72:G72))</f>
        <v/>
      </c>
      <c r="I72" s="38">
        <f>IF(A72&gt;$B$3,"",(MIN(H72-$B$11,0)^2))</f>
        <v/>
      </c>
    </row>
    <row r="73" ht="18" customHeight="1">
      <c r="A73" s="86" t="n">
        <v>44834</v>
      </c>
      <c r="B73" s="33">
        <f>IF(A73&gt;$B$3,"",'Index Returns'!B58*'SAA with CME'!C$17)</f>
        <v/>
      </c>
      <c r="C73" s="33">
        <f>IF(B73&gt;$B$3,"",'Index Returns'!C58*'SAA with CME'!D$17)</f>
        <v/>
      </c>
      <c r="D73" s="33">
        <f>IF(C73&gt;$B$3,"",'Index Returns'!D58*'SAA with CME'!E$17)</f>
        <v/>
      </c>
      <c r="E73" s="33">
        <f>IF(D73&gt;$B$3,"",'Index Returns'!E58*'SAA with CME'!F$17)</f>
        <v/>
      </c>
      <c r="F73" s="33">
        <f>IF(E73&gt;$B$3,"",'Index Returns'!F58*'SAA with CME'!G$17)</f>
        <v/>
      </c>
      <c r="G73" s="33">
        <f>IF(F73&gt;$B$3,"",'Index Returns'!G58*'SAA with CME'!H$17)</f>
        <v/>
      </c>
      <c r="H73" s="33">
        <f>IF(A73&gt;$B$3,"",SUM(B73:G73))</f>
        <v/>
      </c>
      <c r="I73" s="38">
        <f>IF(A73&gt;$B$3,"",(MIN(H73-$B$11,0)^2))</f>
        <v/>
      </c>
    </row>
    <row r="74" ht="18" customHeight="1">
      <c r="A74" s="86" t="n">
        <v>44865</v>
      </c>
      <c r="B74" s="33">
        <f>IF(A74&gt;$B$3,"",'Index Returns'!B59*'SAA with CME'!C$17)</f>
        <v/>
      </c>
      <c r="C74" s="33">
        <f>IF(B74&gt;$B$3,"",'Index Returns'!C59*'SAA with CME'!D$17)</f>
        <v/>
      </c>
      <c r="D74" s="33">
        <f>IF(C74&gt;$B$3,"",'Index Returns'!D59*'SAA with CME'!E$17)</f>
        <v/>
      </c>
      <c r="E74" s="33">
        <f>IF(D74&gt;$B$3,"",'Index Returns'!E59*'SAA with CME'!F$17)</f>
        <v/>
      </c>
      <c r="F74" s="33">
        <f>IF(E74&gt;$B$3,"",'Index Returns'!F59*'SAA with CME'!G$17)</f>
        <v/>
      </c>
      <c r="G74" s="33">
        <f>IF(F74&gt;$B$3,"",'Index Returns'!G59*'SAA with CME'!H$17)</f>
        <v/>
      </c>
      <c r="H74" s="33">
        <f>IF(A74&gt;$B$3,"",SUM(B74:G74))</f>
        <v/>
      </c>
      <c r="I74" s="38">
        <f>IF(A74&gt;$B$3,"",(MIN(H74-$B$11,0)^2))</f>
        <v/>
      </c>
    </row>
    <row r="75" ht="18" customHeight="1">
      <c r="A75" s="86" t="n">
        <v>44895</v>
      </c>
      <c r="B75" s="33">
        <f>IF(A75&gt;$B$3,"",'Index Returns'!B60*'SAA with CME'!C$17)</f>
        <v/>
      </c>
      <c r="C75" s="33">
        <f>IF(B75&gt;$B$3,"",'Index Returns'!C60*'SAA with CME'!D$17)</f>
        <v/>
      </c>
      <c r="D75" s="33">
        <f>IF(C75&gt;$B$3,"",'Index Returns'!D60*'SAA with CME'!E$17)</f>
        <v/>
      </c>
      <c r="E75" s="33">
        <f>IF(D75&gt;$B$3,"",'Index Returns'!E60*'SAA with CME'!F$17)</f>
        <v/>
      </c>
      <c r="F75" s="33">
        <f>IF(E75&gt;$B$3,"",'Index Returns'!F60*'SAA with CME'!G$17)</f>
        <v/>
      </c>
      <c r="G75" s="33">
        <f>IF(F75&gt;$B$3,"",'Index Returns'!G60*'SAA with CME'!H$17)</f>
        <v/>
      </c>
      <c r="H75" s="33">
        <f>IF(A75&gt;$B$3,"",SUM(B75:G75))</f>
        <v/>
      </c>
      <c r="I75" s="38">
        <f>IF(A75&gt;$B$3,"",(MIN(H75-$B$11,0)^2))</f>
        <v/>
      </c>
    </row>
    <row r="76" ht="18" customHeight="1">
      <c r="A76" s="86" t="n">
        <v>44925</v>
      </c>
      <c r="B76" s="33">
        <f>IF(A76&gt;$B$3,"",'Index Returns'!B61*'SAA with CME'!C$17)</f>
        <v/>
      </c>
      <c r="C76" s="33">
        <f>IF(B76&gt;$B$3,"",'Index Returns'!C61*'SAA with CME'!D$17)</f>
        <v/>
      </c>
      <c r="D76" s="33">
        <f>IF(C76&gt;$B$3,"",'Index Returns'!D61*'SAA with CME'!E$17)</f>
        <v/>
      </c>
      <c r="E76" s="33">
        <f>IF(D76&gt;$B$3,"",'Index Returns'!E61*'SAA with CME'!F$17)</f>
        <v/>
      </c>
      <c r="F76" s="33">
        <f>IF(E76&gt;$B$3,"",'Index Returns'!F61*'SAA with CME'!G$17)</f>
        <v/>
      </c>
      <c r="G76" s="33">
        <f>IF(F76&gt;$B$3,"",'Index Returns'!G61*'SAA with CME'!H$17)</f>
        <v/>
      </c>
      <c r="H76" s="33">
        <f>IF(A76&gt;$B$3,"",SUM(B76:G76))</f>
        <v/>
      </c>
      <c r="I76" s="38">
        <f>IF(A76&gt;$B$3,"",(MIN(H76-$B$11,0)^2))</f>
        <v/>
      </c>
    </row>
    <row r="77" ht="18" customHeight="1">
      <c r="A77" s="86" t="n">
        <v>44957</v>
      </c>
      <c r="B77" s="33">
        <f>IF(A77&gt;$B$3,"",'Index Returns'!B62*'SAA with CME'!C$17)</f>
        <v/>
      </c>
      <c r="C77" s="33">
        <f>IF(B77&gt;$B$3,"",'Index Returns'!C62*'SAA with CME'!D$17)</f>
        <v/>
      </c>
      <c r="D77" s="33">
        <f>IF(C77&gt;$B$3,"",'Index Returns'!D62*'SAA with CME'!E$17)</f>
        <v/>
      </c>
      <c r="E77" s="33">
        <f>IF(D77&gt;$B$3,"",'Index Returns'!E62*'SAA with CME'!F$17)</f>
        <v/>
      </c>
      <c r="F77" s="33">
        <f>IF(E77&gt;$B$3,"",'Index Returns'!F62*'SAA with CME'!G$17)</f>
        <v/>
      </c>
      <c r="G77" s="33">
        <f>IF(F77&gt;$B$3,"",'Index Returns'!G62*'SAA with CME'!H$17)</f>
        <v/>
      </c>
      <c r="H77" s="33">
        <f>IF(A77&gt;$B$3,"",SUM(B77:G77))</f>
        <v/>
      </c>
      <c r="I77" s="38">
        <f>IF(A77&gt;$B$3,"",(MIN(H77-$B$11,0)^2))</f>
        <v/>
      </c>
    </row>
    <row r="78" ht="18" customHeight="1">
      <c r="A78" s="86" t="n">
        <v>44985</v>
      </c>
      <c r="B78" s="33">
        <f>IF(A78&gt;$B$3,"",'Index Returns'!B63*'SAA with CME'!C$17)</f>
        <v/>
      </c>
      <c r="C78" s="33">
        <f>IF(B78&gt;$B$3,"",'Index Returns'!C63*'SAA with CME'!D$17)</f>
        <v/>
      </c>
      <c r="D78" s="33">
        <f>IF(C78&gt;$B$3,"",'Index Returns'!D63*'SAA with CME'!E$17)</f>
        <v/>
      </c>
      <c r="E78" s="33">
        <f>IF(D78&gt;$B$3,"",'Index Returns'!E63*'SAA with CME'!F$17)</f>
        <v/>
      </c>
      <c r="F78" s="33">
        <f>IF(E78&gt;$B$3,"",'Index Returns'!F63*'SAA with CME'!G$17)</f>
        <v/>
      </c>
      <c r="G78" s="33">
        <f>IF(F78&gt;$B$3,"",'Index Returns'!G63*'SAA with CME'!H$17)</f>
        <v/>
      </c>
      <c r="H78" s="33">
        <f>IF(A78&gt;$B$3,"",SUM(B78:G78))</f>
        <v/>
      </c>
      <c r="I78" s="38">
        <f>IF(A78&gt;$B$3,"",(MIN(H78-$B$11,0)^2))</f>
        <v/>
      </c>
    </row>
    <row r="79" ht="18" customHeight="1">
      <c r="A79" s="86" t="n">
        <v>45016</v>
      </c>
      <c r="B79" s="33">
        <f>IF(A79&gt;$B$3,"",'Index Returns'!B64*'SAA with CME'!C$17)</f>
        <v/>
      </c>
      <c r="C79" s="33">
        <f>IF(B79&gt;$B$3,"",'Index Returns'!C64*'SAA with CME'!D$17)</f>
        <v/>
      </c>
      <c r="D79" s="33">
        <f>IF(C79&gt;$B$3,"",'Index Returns'!D64*'SAA with CME'!E$17)</f>
        <v/>
      </c>
      <c r="E79" s="33">
        <f>IF(D79&gt;$B$3,"",'Index Returns'!E64*'SAA with CME'!F$17)</f>
        <v/>
      </c>
      <c r="F79" s="33">
        <f>IF(E79&gt;$B$3,"",'Index Returns'!F64*'SAA with CME'!G$17)</f>
        <v/>
      </c>
      <c r="G79" s="33">
        <f>IF(F79&gt;$B$3,"",'Index Returns'!G64*'SAA with CME'!H$17)</f>
        <v/>
      </c>
      <c r="H79" s="33">
        <f>IF(A79&gt;$B$3,"",SUM(B79:G79))</f>
        <v/>
      </c>
      <c r="I79" s="38">
        <f>IF(A79&gt;$B$3,"",(MIN(H79-$B$11,0)^2))</f>
        <v/>
      </c>
    </row>
    <row r="80" ht="18" customHeight="1">
      <c r="A80" s="86" t="n">
        <v>45044</v>
      </c>
      <c r="B80" s="33">
        <f>IF(A80&gt;$B$3,"",'Index Returns'!B65*'SAA with CME'!C$17)</f>
        <v/>
      </c>
      <c r="C80" s="33">
        <f>IF(B80&gt;$B$3,"",'Index Returns'!C65*'SAA with CME'!D$17)</f>
        <v/>
      </c>
      <c r="D80" s="33">
        <f>IF(C80&gt;$B$3,"",'Index Returns'!D65*'SAA with CME'!E$17)</f>
        <v/>
      </c>
      <c r="E80" s="33">
        <f>IF(D80&gt;$B$3,"",'Index Returns'!E65*'SAA with CME'!F$17)</f>
        <v/>
      </c>
      <c r="F80" s="33">
        <f>IF(E80&gt;$B$3,"",'Index Returns'!F65*'SAA with CME'!G$17)</f>
        <v/>
      </c>
      <c r="G80" s="33">
        <f>IF(F80&gt;$B$3,"",'Index Returns'!G65*'SAA with CME'!H$17)</f>
        <v/>
      </c>
      <c r="H80" s="33">
        <f>IF(A80&gt;$B$3,"",SUM(B80:G80))</f>
        <v/>
      </c>
      <c r="I80" s="38">
        <f>IF(A80&gt;$B$3,"",(MIN(H80-$B$11,0)^2))</f>
        <v/>
      </c>
    </row>
    <row r="81" ht="18" customHeight="1">
      <c r="A81" s="86" t="n">
        <v>45077</v>
      </c>
      <c r="B81" s="33">
        <f>IF(A81&gt;$B$3,"",'Index Returns'!B66*'SAA with CME'!C$17)</f>
        <v/>
      </c>
      <c r="C81" s="33">
        <f>IF(B81&gt;$B$3,"",'Index Returns'!C66*'SAA with CME'!D$17)</f>
        <v/>
      </c>
      <c r="D81" s="33">
        <f>IF(C81&gt;$B$3,"",'Index Returns'!D66*'SAA with CME'!E$17)</f>
        <v/>
      </c>
      <c r="E81" s="33">
        <f>IF(D81&gt;$B$3,"",'Index Returns'!E66*'SAA with CME'!F$17)</f>
        <v/>
      </c>
      <c r="F81" s="33">
        <f>IF(E81&gt;$B$3,"",'Index Returns'!F66*'SAA with CME'!G$17)</f>
        <v/>
      </c>
      <c r="G81" s="33">
        <f>IF(F81&gt;$B$3,"",'Index Returns'!G66*'SAA with CME'!H$17)</f>
        <v/>
      </c>
      <c r="H81" s="33">
        <f>IF(A81&gt;$B$3,"",SUM(B81:G81))</f>
        <v/>
      </c>
      <c r="I81" s="38">
        <f>IF(A81&gt;$B$3,"",(MIN(H81-$B$11,0)^2))</f>
        <v/>
      </c>
    </row>
    <row r="82" ht="18" customHeight="1">
      <c r="A82" s="86" t="n">
        <v>45107</v>
      </c>
      <c r="B82" s="33">
        <f>IF(A82&gt;$B$3,"",'Index Returns'!B67*'SAA with CME'!C$17)</f>
        <v/>
      </c>
      <c r="C82" s="33">
        <f>IF(B82&gt;$B$3,"",'Index Returns'!C67*'SAA with CME'!D$17)</f>
        <v/>
      </c>
      <c r="D82" s="33">
        <f>IF(C82&gt;$B$3,"",'Index Returns'!D67*'SAA with CME'!E$17)</f>
        <v/>
      </c>
      <c r="E82" s="33">
        <f>IF(D82&gt;$B$3,"",'Index Returns'!E67*'SAA with CME'!F$17)</f>
        <v/>
      </c>
      <c r="F82" s="33">
        <f>IF(E82&gt;$B$3,"",'Index Returns'!F67*'SAA with CME'!G$17)</f>
        <v/>
      </c>
      <c r="G82" s="33">
        <f>IF(F82&gt;$B$3,"",'Index Returns'!G67*'SAA with CME'!H$17)</f>
        <v/>
      </c>
      <c r="H82" s="33">
        <f>IF(A82&gt;$B$3,"",SUM(B82:G82))</f>
        <v/>
      </c>
      <c r="I82" s="38">
        <f>IF(A82&gt;$B$3,"",(MIN(H82-$B$11,0)^2))</f>
        <v/>
      </c>
    </row>
    <row r="83" ht="18" customHeight="1">
      <c r="A83" s="86" t="n">
        <v>45138</v>
      </c>
      <c r="B83" s="33">
        <f>IF(A83&gt;$B$3,"",'Index Returns'!B68*'SAA with CME'!C$17)</f>
        <v/>
      </c>
      <c r="C83" s="33">
        <f>IF(B83&gt;$B$3,"",'Index Returns'!C68*'SAA with CME'!D$17)</f>
        <v/>
      </c>
      <c r="D83" s="33">
        <f>IF(C83&gt;$B$3,"",'Index Returns'!D68*'SAA with CME'!E$17)</f>
        <v/>
      </c>
      <c r="E83" s="33">
        <f>IF(D83&gt;$B$3,"",'Index Returns'!E68*'SAA with CME'!F$17)</f>
        <v/>
      </c>
      <c r="F83" s="33">
        <f>IF(E83&gt;$B$3,"",'Index Returns'!F68*'SAA with CME'!G$17)</f>
        <v/>
      </c>
      <c r="G83" s="33">
        <f>IF(F83&gt;$B$3,"",'Index Returns'!G68*'SAA with CME'!H$17)</f>
        <v/>
      </c>
      <c r="H83" s="33">
        <f>IF(A83&gt;$B$3,"",SUM(B83:G83))</f>
        <v/>
      </c>
      <c r="I83" s="38">
        <f>IF(A83&gt;$B$3,"",(MIN(H83-$B$11,0)^2))</f>
        <v/>
      </c>
    </row>
    <row r="84" ht="18" customHeight="1">
      <c r="A84" s="86" t="n">
        <v>45169</v>
      </c>
      <c r="B84" s="33">
        <f>IF(A84&gt;$B$3,"",'Index Returns'!B69*'SAA with CME'!C$17)</f>
        <v/>
      </c>
      <c r="C84" s="33">
        <f>IF(B84&gt;$B$3,"",'Index Returns'!C69*'SAA with CME'!D$17)</f>
        <v/>
      </c>
      <c r="D84" s="33">
        <f>IF(C84&gt;$B$3,"",'Index Returns'!D69*'SAA with CME'!E$17)</f>
        <v/>
      </c>
      <c r="E84" s="33">
        <f>IF(D84&gt;$B$3,"",'Index Returns'!E69*'SAA with CME'!F$17)</f>
        <v/>
      </c>
      <c r="F84" s="33">
        <f>IF(E84&gt;$B$3,"",'Index Returns'!F69*'SAA with CME'!G$17)</f>
        <v/>
      </c>
      <c r="G84" s="33">
        <f>IF(F84&gt;$B$3,"",'Index Returns'!G69*'SAA with CME'!H$17)</f>
        <v/>
      </c>
      <c r="H84" s="33">
        <f>IF(A84&gt;$B$3,"",SUM(B84:G84))</f>
        <v/>
      </c>
      <c r="I84" s="38">
        <f>IF(A84&gt;$B$3,"",(MIN(H84-$B$11,0)^2))</f>
        <v/>
      </c>
    </row>
    <row r="85" ht="18" customHeight="1">
      <c r="A85" s="86" t="n">
        <v>45198</v>
      </c>
      <c r="B85" s="33">
        <f>IF(A85&gt;$B$3,"",'Index Returns'!B70*'SAA with CME'!C$17)</f>
        <v/>
      </c>
      <c r="C85" s="33">
        <f>IF(B85&gt;$B$3,"",'Index Returns'!C70*'SAA with CME'!D$17)</f>
        <v/>
      </c>
      <c r="D85" s="33">
        <f>IF(C85&gt;$B$3,"",'Index Returns'!D70*'SAA with CME'!E$17)</f>
        <v/>
      </c>
      <c r="E85" s="33">
        <f>IF(D85&gt;$B$3,"",'Index Returns'!E70*'SAA with CME'!F$17)</f>
        <v/>
      </c>
      <c r="F85" s="33">
        <f>IF(E85&gt;$B$3,"",'Index Returns'!F70*'SAA with CME'!G$17)</f>
        <v/>
      </c>
      <c r="G85" s="33">
        <f>IF(F85&gt;$B$3,"",'Index Returns'!G70*'SAA with CME'!H$17)</f>
        <v/>
      </c>
      <c r="H85" s="33">
        <f>IF(A85&gt;$B$3,"",SUM(B85:G85))</f>
        <v/>
      </c>
      <c r="I85" s="38">
        <f>IF(A85&gt;$B$3,"",(MIN(H85-$B$11,0)^2))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6005A"/>
    <outlinePr summaryBelow="1" summaryRight="1"/>
    <pageSetUpPr/>
  </sheetPr>
  <dimension ref="A1:T32"/>
  <sheetViews>
    <sheetView zoomScaleNormal="100" workbookViewId="0">
      <selection activeCell="A1" sqref="A1"/>
    </sheetView>
  </sheetViews>
  <sheetFormatPr baseColWidth="8" defaultColWidth="8.7265625" defaultRowHeight="17.5"/>
  <cols>
    <col width="38.81640625" bestFit="1" customWidth="1" style="2" min="1" max="1"/>
    <col width="24" bestFit="1" customWidth="1" style="2" min="2" max="2"/>
    <col width="19.81640625" bestFit="1" customWidth="1" style="2" min="3" max="3"/>
    <col width="15" bestFit="1" customWidth="1" style="2" min="4" max="4"/>
    <col width="14.7265625" bestFit="1" customWidth="1" style="2" min="5" max="5"/>
    <col width="14.81640625" bestFit="1" customWidth="1" style="2" min="6" max="6"/>
    <col width="24.26953125" bestFit="1" customWidth="1" style="2" min="7" max="7"/>
    <col width="20.81640625" bestFit="1" customWidth="1" style="2" min="8" max="8"/>
    <col width="14.1796875" bestFit="1" customWidth="1" style="2" min="9" max="9"/>
    <col width="59" bestFit="1" customWidth="1" style="2" min="10" max="10"/>
    <col width="7" bestFit="1" customWidth="1" style="2" min="11" max="11"/>
    <col width="12.54296875" bestFit="1" customWidth="1" style="2" min="12" max="12"/>
    <col width="9.7265625" bestFit="1" customWidth="1" style="2" min="13" max="14"/>
    <col width="14.81640625" bestFit="1" customWidth="1" style="2" min="15" max="15"/>
    <col width="9.7265625" bestFit="1" customWidth="1" style="2" min="16" max="16"/>
    <col width="9.81640625" bestFit="1" customWidth="1" style="2" min="17" max="17"/>
    <col width="22.54296875" customWidth="1" style="2" min="18" max="18"/>
    <col width="8.7265625" customWidth="1" style="2" min="19" max="16384"/>
  </cols>
  <sheetData>
    <row r="1" ht="18" customHeight="1">
      <c r="A1" s="1" t="inlineStr">
        <is>
          <t>Strategic vs Tactical Weight</t>
        </is>
      </c>
      <c r="B1" s="1" t="n"/>
      <c r="C1" s="1" t="n"/>
      <c r="D1" s="1" t="n"/>
      <c r="E1" s="1" t="n"/>
    </row>
    <row r="2">
      <c r="C2" s="29" t="inlineStr">
        <is>
          <t>Row #</t>
        </is>
      </c>
    </row>
    <row r="3">
      <c r="A3" s="2" t="inlineStr">
        <is>
          <t>Select a Historic Starting Date</t>
        </is>
      </c>
      <c r="B3" s="84" t="n">
        <v>43371</v>
      </c>
      <c r="C3" s="2">
        <f>MATCH(B3,'Index Returns'!A:A,1)</f>
        <v/>
      </c>
    </row>
    <row r="4">
      <c r="A4" s="2" t="inlineStr">
        <is>
          <t>Select a Historic Ending Date</t>
        </is>
      </c>
      <c r="B4" s="84" t="n">
        <v>43465</v>
      </c>
      <c r="C4" s="2">
        <f>MATCH(B4,'Index Returns'!A:A,1)</f>
        <v/>
      </c>
    </row>
    <row r="6" ht="18" customHeight="1">
      <c r="C6" s="6" t="inlineStr">
        <is>
          <t>US Large Cap</t>
        </is>
      </c>
      <c r="D6" s="6" t="inlineStr">
        <is>
          <t>Dev ex US</t>
        </is>
      </c>
      <c r="E6" s="6" t="inlineStr">
        <is>
          <t>EM</t>
        </is>
      </c>
      <c r="F6" s="6" t="inlineStr">
        <is>
          <t>UST</t>
        </is>
      </c>
      <c r="G6" s="6" t="inlineStr">
        <is>
          <t>US IG Corp Bond</t>
        </is>
      </c>
      <c r="H6" s="6" t="inlineStr">
        <is>
          <t>REITs</t>
        </is>
      </c>
    </row>
    <row r="7" ht="18" customHeight="1">
      <c r="B7" s="39" t="inlineStr">
        <is>
          <t>Correl</t>
        </is>
      </c>
      <c r="C7" s="9">
        <f>MATCH(C6,'Index Returns'!$B$1:$G$1,0)</f>
        <v/>
      </c>
      <c r="D7" s="9">
        <f>MATCH(D6,'Index Returns'!$B$1:$G$1,0)</f>
        <v/>
      </c>
      <c r="E7" s="9">
        <f>MATCH(E6,'Index Returns'!$B$1:$G$1,0)</f>
        <v/>
      </c>
      <c r="F7" s="9">
        <f>MATCH(F6,'Index Returns'!$B$1:$G$1,0)</f>
        <v/>
      </c>
      <c r="G7" s="9">
        <f>MATCH(G6,'Index Returns'!$B$1:$G$1,0)</f>
        <v/>
      </c>
      <c r="H7" s="9">
        <f>MATCH(H6,'Index Returns'!$B$1:$G$1,0)</f>
        <v/>
      </c>
    </row>
    <row r="8" ht="18" customHeight="1">
      <c r="A8" s="40" t="inlineStr">
        <is>
          <t>US Large Cap</t>
        </is>
      </c>
      <c r="B8" s="9">
        <f>MATCH(A8,'Index Returns'!$B$1:$G$1,0)</f>
        <v/>
      </c>
      <c r="C8" s="7">
        <f>CORREL(OFFSET(INDIRECT("'Index Returns'!$A$"&amp;TAA!$C$3&amp;":$A$"&amp;TAA!$C$4),0,TAA!C$7),OFFSET(INDIRECT("'Index Returns'!$A$"&amp;TAA!$C$3&amp;":$A$"&amp;TAA!$C$4),0,TAA!$B8))</f>
        <v/>
      </c>
      <c r="D8" s="7">
        <f>CORREL(OFFSET(INDIRECT("'Index Returns'!$A$"&amp;TAA!$C$3&amp;":$A$"&amp;TAA!$C$4),0,TAA!D$7),OFFSET(INDIRECT("'Index Returns'!$A$"&amp;TAA!$C$3&amp;":$A$"&amp;TAA!$C$4),0,TAA!$B8))</f>
        <v/>
      </c>
      <c r="E8" s="7">
        <f>CORREL(OFFSET(INDIRECT("'Index Returns'!$A$"&amp;TAA!$C$3&amp;":$A$"&amp;TAA!$C$4),0,TAA!E$7),OFFSET(INDIRECT("'Index Returns'!$A$"&amp;TAA!$C$3&amp;":$A$"&amp;TAA!$C$4),0,TAA!$B8))</f>
        <v/>
      </c>
      <c r="F8" s="7">
        <f>CORREL(OFFSET(INDIRECT("'Index Returns'!$A$"&amp;TAA!$C$3&amp;":$A$"&amp;TAA!$C$4),0,TAA!F$7),OFFSET(INDIRECT("'Index Returns'!$A$"&amp;TAA!$C$3&amp;":$A$"&amp;TAA!$C$4),0,TAA!$B8))</f>
        <v/>
      </c>
      <c r="G8" s="7">
        <f>CORREL(OFFSET(INDIRECT("'Index Returns'!$A$"&amp;TAA!$C$3&amp;":$A$"&amp;TAA!$C$4),0,TAA!G$7),OFFSET(INDIRECT("'Index Returns'!$A$"&amp;TAA!$C$3&amp;":$A$"&amp;TAA!$C$4),0,TAA!$B8))</f>
        <v/>
      </c>
      <c r="H8" s="7">
        <f>CORREL(OFFSET(INDIRECT("'Index Returns'!$A$"&amp;TAA!$C$3&amp;":$A$"&amp;TAA!$C$4),0,TAA!H$7),OFFSET(INDIRECT("'Index Returns'!$A$"&amp;TAA!$C$3&amp;":$A$"&amp;TAA!$C$4),0,TAA!$B8))</f>
        <v/>
      </c>
    </row>
    <row r="9" ht="18" customHeight="1">
      <c r="A9" s="40" t="inlineStr">
        <is>
          <t>Dev ex US</t>
        </is>
      </c>
      <c r="B9" s="9">
        <f>MATCH(A9,'Index Returns'!$B$1:$G$1,0)</f>
        <v/>
      </c>
      <c r="C9" s="7">
        <f>CORREL(OFFSET(INDIRECT("'Index Returns'!$A$"&amp;TAA!$C$3&amp;":$A$"&amp;TAA!$C$4),0,TAA!C$7),OFFSET(INDIRECT("'Index Returns'!$A$"&amp;TAA!$C$3&amp;":$A$"&amp;TAA!$C$4),0,TAA!$B9))</f>
        <v/>
      </c>
      <c r="D9" s="7">
        <f>CORREL(OFFSET(INDIRECT("'Index Returns'!$A$"&amp;TAA!$C$3&amp;":$A$"&amp;TAA!$C$4),0,TAA!D$7),OFFSET(INDIRECT("'Index Returns'!$A$"&amp;TAA!$C$3&amp;":$A$"&amp;TAA!$C$4),0,TAA!$B9))</f>
        <v/>
      </c>
      <c r="E9" s="7">
        <f>CORREL(OFFSET(INDIRECT("'Index Returns'!$A$"&amp;TAA!$C$3&amp;":$A$"&amp;TAA!$C$4),0,TAA!E$7),OFFSET(INDIRECT("'Index Returns'!$A$"&amp;TAA!$C$3&amp;":$A$"&amp;TAA!$C$4),0,TAA!$B9))</f>
        <v/>
      </c>
      <c r="F9" s="7">
        <f>CORREL(OFFSET(INDIRECT("'Index Returns'!$A$"&amp;TAA!$C$3&amp;":$A$"&amp;TAA!$C$4),0,TAA!F$7),OFFSET(INDIRECT("'Index Returns'!$A$"&amp;TAA!$C$3&amp;":$A$"&amp;TAA!$C$4),0,TAA!$B9))</f>
        <v/>
      </c>
      <c r="G9" s="7">
        <f>CORREL(OFFSET(INDIRECT("'Index Returns'!$A$"&amp;TAA!$C$3&amp;":$A$"&amp;TAA!$C$4),0,TAA!G$7),OFFSET(INDIRECT("'Index Returns'!$A$"&amp;TAA!$C$3&amp;":$A$"&amp;TAA!$C$4),0,TAA!$B9))</f>
        <v/>
      </c>
      <c r="H9" s="7">
        <f>CORREL(OFFSET(INDIRECT("'Index Returns'!$A$"&amp;TAA!$C$3&amp;":$A$"&amp;TAA!$C$4),0,TAA!H$7),OFFSET(INDIRECT("'Index Returns'!$A$"&amp;TAA!$C$3&amp;":$A$"&amp;TAA!$C$4),0,TAA!$B9))</f>
        <v/>
      </c>
    </row>
    <row r="10" ht="18" customHeight="1">
      <c r="A10" s="40" t="inlineStr">
        <is>
          <t>EM</t>
        </is>
      </c>
      <c r="B10" s="9">
        <f>MATCH(A10,'Index Returns'!$B$1:$G$1,0)</f>
        <v/>
      </c>
      <c r="C10" s="7">
        <f>CORREL(OFFSET(INDIRECT("'Index Returns'!$A$"&amp;TAA!$C$3&amp;":$A$"&amp;TAA!$C$4),0,TAA!C$7),OFFSET(INDIRECT("'Index Returns'!$A$"&amp;TAA!$C$3&amp;":$A$"&amp;TAA!$C$4),0,TAA!$B10))</f>
        <v/>
      </c>
      <c r="D10" s="7">
        <f>CORREL(OFFSET(INDIRECT("'Index Returns'!$A$"&amp;TAA!$C$3&amp;":$A$"&amp;TAA!$C$4),0,TAA!D$7),OFFSET(INDIRECT("'Index Returns'!$A$"&amp;TAA!$C$3&amp;":$A$"&amp;TAA!$C$4),0,TAA!$B10))</f>
        <v/>
      </c>
      <c r="E10" s="7">
        <f>CORREL(OFFSET(INDIRECT("'Index Returns'!$A$"&amp;TAA!$C$3&amp;":$A$"&amp;TAA!$C$4),0,TAA!E$7),OFFSET(INDIRECT("'Index Returns'!$A$"&amp;TAA!$C$3&amp;":$A$"&amp;TAA!$C$4),0,TAA!$B10))</f>
        <v/>
      </c>
      <c r="F10" s="7">
        <f>CORREL(OFFSET(INDIRECT("'Index Returns'!$A$"&amp;TAA!$C$3&amp;":$A$"&amp;TAA!$C$4),0,TAA!F$7),OFFSET(INDIRECT("'Index Returns'!$A$"&amp;TAA!$C$3&amp;":$A$"&amp;TAA!$C$4),0,TAA!$B10))</f>
        <v/>
      </c>
      <c r="G10" s="7">
        <f>CORREL(OFFSET(INDIRECT("'Index Returns'!$A$"&amp;TAA!$C$3&amp;":$A$"&amp;TAA!$C$4),0,TAA!G$7),OFFSET(INDIRECT("'Index Returns'!$A$"&amp;TAA!$C$3&amp;":$A$"&amp;TAA!$C$4),0,TAA!$B10))</f>
        <v/>
      </c>
      <c r="H10" s="7">
        <f>CORREL(OFFSET(INDIRECT("'Index Returns'!$A$"&amp;TAA!$C$3&amp;":$A$"&amp;TAA!$C$4),0,TAA!H$7),OFFSET(INDIRECT("'Index Returns'!$A$"&amp;TAA!$C$3&amp;":$A$"&amp;TAA!$C$4),0,TAA!$B10))</f>
        <v/>
      </c>
    </row>
    <row r="11" ht="18" customHeight="1">
      <c r="A11" s="40" t="inlineStr">
        <is>
          <t>UST</t>
        </is>
      </c>
      <c r="B11" s="9">
        <f>MATCH(A11,'Index Returns'!$B$1:$G$1,0)</f>
        <v/>
      </c>
      <c r="C11" s="7">
        <f>CORREL(OFFSET(INDIRECT("'Index Returns'!$A$"&amp;TAA!$C$3&amp;":$A$"&amp;TAA!$C$4),0,TAA!C$7),OFFSET(INDIRECT("'Index Returns'!$A$"&amp;TAA!$C$3&amp;":$A$"&amp;TAA!$C$4),0,TAA!$B11))</f>
        <v/>
      </c>
      <c r="D11" s="7">
        <f>CORREL(OFFSET(INDIRECT("'Index Returns'!$A$"&amp;TAA!$C$3&amp;":$A$"&amp;TAA!$C$4),0,TAA!D$7),OFFSET(INDIRECT("'Index Returns'!$A$"&amp;TAA!$C$3&amp;":$A$"&amp;TAA!$C$4),0,TAA!$B11))</f>
        <v/>
      </c>
      <c r="E11" s="7">
        <f>CORREL(OFFSET(INDIRECT("'Index Returns'!$A$"&amp;TAA!$C$3&amp;":$A$"&amp;TAA!$C$4),0,TAA!E$7),OFFSET(INDIRECT("'Index Returns'!$A$"&amp;TAA!$C$3&amp;":$A$"&amp;TAA!$C$4),0,TAA!$B11))</f>
        <v/>
      </c>
      <c r="F11" s="7">
        <f>CORREL(OFFSET(INDIRECT("'Index Returns'!$A$"&amp;TAA!$C$3&amp;":$A$"&amp;TAA!$C$4),0,TAA!F$7),OFFSET(INDIRECT("'Index Returns'!$A$"&amp;TAA!$C$3&amp;":$A$"&amp;TAA!$C$4),0,TAA!$B11))</f>
        <v/>
      </c>
      <c r="G11" s="7">
        <f>CORREL(OFFSET(INDIRECT("'Index Returns'!$A$"&amp;TAA!$C$3&amp;":$A$"&amp;TAA!$C$4),0,TAA!G$7),OFFSET(INDIRECT("'Index Returns'!$A$"&amp;TAA!$C$3&amp;":$A$"&amp;TAA!$C$4),0,TAA!$B11))</f>
        <v/>
      </c>
      <c r="H11" s="7">
        <f>CORREL(OFFSET(INDIRECT("'Index Returns'!$A$"&amp;TAA!$C$3&amp;":$A$"&amp;TAA!$C$4),0,TAA!H$7),OFFSET(INDIRECT("'Index Returns'!$A$"&amp;TAA!$C$3&amp;":$A$"&amp;TAA!$C$4),0,TAA!$B11))</f>
        <v/>
      </c>
    </row>
    <row r="12" ht="18" customHeight="1">
      <c r="A12" s="40" t="inlineStr">
        <is>
          <t>US IG Corp Bond</t>
        </is>
      </c>
      <c r="B12" s="9">
        <f>MATCH(A12,'Index Returns'!$B$1:$G$1,0)</f>
        <v/>
      </c>
      <c r="C12" s="7">
        <f>CORREL(OFFSET(INDIRECT("'Index Returns'!$A$"&amp;TAA!$C$3&amp;":$A$"&amp;TAA!$C$4),0,TAA!C$7),OFFSET(INDIRECT("'Index Returns'!$A$"&amp;TAA!$C$3&amp;":$A$"&amp;TAA!$C$4),0,TAA!$B12))</f>
        <v/>
      </c>
      <c r="D12" s="7">
        <f>CORREL(OFFSET(INDIRECT("'Index Returns'!$A$"&amp;TAA!$C$3&amp;":$A$"&amp;TAA!$C$4),0,TAA!D$7),OFFSET(INDIRECT("'Index Returns'!$A$"&amp;TAA!$C$3&amp;":$A$"&amp;TAA!$C$4),0,TAA!$B12))</f>
        <v/>
      </c>
      <c r="E12" s="7">
        <f>CORREL(OFFSET(INDIRECT("'Index Returns'!$A$"&amp;TAA!$C$3&amp;":$A$"&amp;TAA!$C$4),0,TAA!E$7),OFFSET(INDIRECT("'Index Returns'!$A$"&amp;TAA!$C$3&amp;":$A$"&amp;TAA!$C$4),0,TAA!$B12))</f>
        <v/>
      </c>
      <c r="F12" s="7">
        <f>CORREL(OFFSET(INDIRECT("'Index Returns'!$A$"&amp;TAA!$C$3&amp;":$A$"&amp;TAA!$C$4),0,TAA!F$7),OFFSET(INDIRECT("'Index Returns'!$A$"&amp;TAA!$C$3&amp;":$A$"&amp;TAA!$C$4),0,TAA!$B12))</f>
        <v/>
      </c>
      <c r="G12" s="7">
        <f>CORREL(OFFSET(INDIRECT("'Index Returns'!$A$"&amp;TAA!$C$3&amp;":$A$"&amp;TAA!$C$4),0,TAA!G$7),OFFSET(INDIRECT("'Index Returns'!$A$"&amp;TAA!$C$3&amp;":$A$"&amp;TAA!$C$4),0,TAA!$B12))</f>
        <v/>
      </c>
      <c r="H12" s="7">
        <f>CORREL(OFFSET(INDIRECT("'Index Returns'!$A$"&amp;TAA!$C$3&amp;":$A$"&amp;TAA!$C$4),0,TAA!H$7),OFFSET(INDIRECT("'Index Returns'!$A$"&amp;TAA!$C$3&amp;":$A$"&amp;TAA!$C$4),0,TAA!$B12))</f>
        <v/>
      </c>
    </row>
    <row r="13" ht="18" customHeight="1">
      <c r="A13" s="40" t="inlineStr">
        <is>
          <t>REITs</t>
        </is>
      </c>
      <c r="B13" s="9">
        <f>MATCH(A13,'Index Returns'!$B$1:$G$1,0)</f>
        <v/>
      </c>
      <c r="C13" s="7">
        <f>CORREL(OFFSET(INDIRECT("'Index Returns'!$A$"&amp;TAA!$C$3&amp;":$A$"&amp;TAA!$C$4),0,TAA!C$7),OFFSET(INDIRECT("'Index Returns'!$A$"&amp;TAA!$C$3&amp;":$A$"&amp;TAA!$C$4),0,TAA!$B13))</f>
        <v/>
      </c>
      <c r="D13" s="7">
        <f>CORREL(OFFSET(INDIRECT("'Index Returns'!$A$"&amp;TAA!$C$3&amp;":$A$"&amp;TAA!$C$4),0,TAA!D$7),OFFSET(INDIRECT("'Index Returns'!$A$"&amp;TAA!$C$3&amp;":$A$"&amp;TAA!$C$4),0,TAA!$B13))</f>
        <v/>
      </c>
      <c r="E13" s="7">
        <f>CORREL(OFFSET(INDIRECT("'Index Returns'!$A$"&amp;TAA!$C$3&amp;":$A$"&amp;TAA!$C$4),0,TAA!E$7),OFFSET(INDIRECT("'Index Returns'!$A$"&amp;TAA!$C$3&amp;":$A$"&amp;TAA!$C$4),0,TAA!$B13))</f>
        <v/>
      </c>
      <c r="F13" s="7">
        <f>CORREL(OFFSET(INDIRECT("'Index Returns'!$A$"&amp;TAA!$C$3&amp;":$A$"&amp;TAA!$C$4),0,TAA!F$7),OFFSET(INDIRECT("'Index Returns'!$A$"&amp;TAA!$C$3&amp;":$A$"&amp;TAA!$C$4),0,TAA!$B13))</f>
        <v/>
      </c>
      <c r="G13" s="7">
        <f>CORREL(OFFSET(INDIRECT("'Index Returns'!$A$"&amp;TAA!$C$3&amp;":$A$"&amp;TAA!$C$4),0,TAA!G$7),OFFSET(INDIRECT("'Index Returns'!$A$"&amp;TAA!$C$3&amp;":$A$"&amp;TAA!$C$4),0,TAA!$B13))</f>
        <v/>
      </c>
      <c r="H13" s="7">
        <f>CORREL(OFFSET(INDIRECT("'Index Returns'!$A$"&amp;TAA!$C$3&amp;":$A$"&amp;TAA!$C$4),0,TAA!H$7),OFFSET(INDIRECT("'Index Returns'!$A$"&amp;TAA!$C$3&amp;":$A$"&amp;TAA!$C$4),0,TAA!$B13))</f>
        <v/>
      </c>
    </row>
    <row r="15" ht="18" customHeight="1">
      <c r="B15" s="8" t="inlineStr">
        <is>
          <t>E Return</t>
        </is>
      </c>
      <c r="C15" s="10">
        <f>(1+AVERAGEIFS('Index Returns'!B2:B70,'Index Returns'!$A$2:$A$70,"&gt;="&amp;$B$3,'Index Returns'!$A$2:$A$70,"&lt;="&amp;$B$4))^12-1</f>
        <v/>
      </c>
      <c r="D15" s="10">
        <f>(1+AVERAGEIFS('Index Returns'!C2:C70,'Index Returns'!$A$2:$A$70,"&gt;="&amp;$B$3,'Index Returns'!$A$2:$A$70,"&lt;="&amp;$B$4))^12-1</f>
        <v/>
      </c>
      <c r="E15" s="10">
        <f>(1+AVERAGEIFS('Index Returns'!D2:D70,'Index Returns'!$A$2:$A$70,"&gt;="&amp;$B$3,'Index Returns'!$A$2:$A$70,"&lt;="&amp;$B$4))^12-1</f>
        <v/>
      </c>
      <c r="F15" s="10">
        <f>(1+AVERAGEIFS('Index Returns'!E2:E70,'Index Returns'!$A$2:$A$70,"&gt;="&amp;$B$3,'Index Returns'!$A$2:$A$70,"&lt;="&amp;$B$4))^12-1</f>
        <v/>
      </c>
      <c r="G15" s="10">
        <f>(1+AVERAGEIFS('Index Returns'!F2:F70,'Index Returns'!$A$2:$A$70,"&gt;="&amp;$B$3,'Index Returns'!$A$2:$A$70,"&lt;="&amp;$B$4))^12-1</f>
        <v/>
      </c>
      <c r="H15" s="10">
        <f>(1+AVERAGEIFS('Index Returns'!G2:G70,'Index Returns'!$A$2:$A$70,"&gt;="&amp;$B$3,'Index Returns'!$A$2:$A$70,"&lt;="&amp;$B$4))^12-1</f>
        <v/>
      </c>
      <c r="I15" s="8" t="n"/>
      <c r="J15" s="11" t="n"/>
      <c r="K15" s="11" t="n"/>
      <c r="L15" s="11" t="n"/>
    </row>
    <row r="16" ht="18" customHeight="1">
      <c r="B16" s="8" t="inlineStr">
        <is>
          <t>Volatility</t>
        </is>
      </c>
      <c r="C16" s="10">
        <f t="array" ref="C16">_xlfn.STDEV.S(IF(('Index Returns'!$A$2:$A$70&gt;=$B$3)*('Index Returns'!$A$2:$A70&lt;=$B$4),'Index Returns'!B2:B70))*SQRT(12)</f>
        <v/>
      </c>
      <c r="D16" s="10">
        <f t="array" ref="D16">_xlfn.STDEV.S(IF(('Index Returns'!$A$2:$A$70&gt;=$B$3)*('Index Returns'!$A$2:$A70&lt;=$B$4),'Index Returns'!C2:C70))*SQRT(12)</f>
        <v/>
      </c>
      <c r="E16" s="10">
        <f t="array" ref="E16">_xlfn.STDEV.S(IF(('Index Returns'!$A$2:$A$70&gt;=$B$3)*('Index Returns'!$A$2:$A70&lt;=$B$4),'Index Returns'!D2:D70))*SQRT(12)</f>
        <v/>
      </c>
      <c r="F16" s="10">
        <f t="array" ref="F16">_xlfn.STDEV.S(IF(('Index Returns'!$A$2:$A$70&gt;=$B$3)*('Index Returns'!$A$2:$A70&lt;=$B$4),'Index Returns'!E2:E70))*SQRT(12)</f>
        <v/>
      </c>
      <c r="G16" s="10">
        <f t="array" ref="G16">_xlfn.STDEV.S(IF(('Index Returns'!$A$2:$A$70&gt;=$B$3)*('Index Returns'!$A$2:$A70&lt;=$B$4),'Index Returns'!F2:F70))*SQRT(12)</f>
        <v/>
      </c>
      <c r="H16" s="10">
        <f t="array" ref="H16">_xlfn.STDEV.S(IF(('Index Returns'!$A$2:$A$70&gt;=$B$3)*('Index Returns'!$A$2:$A70&lt;=$B$4),'Index Returns'!G2:G70))*SQRT(12)</f>
        <v/>
      </c>
      <c r="I16" s="8" t="n"/>
      <c r="J16" s="11" t="n"/>
      <c r="K16" s="11" t="n"/>
      <c r="L16" s="11" t="n"/>
    </row>
    <row r="17">
      <c r="B17" s="10" t="n"/>
      <c r="C17" s="10" t="n"/>
      <c r="D17" s="10" t="n"/>
    </row>
    <row r="18" ht="18" customHeight="1">
      <c r="B18" s="10" t="n"/>
      <c r="C18" s="41" t="inlineStr">
        <is>
          <t>Strategic Weights</t>
        </is>
      </c>
      <c r="D18" s="41" t="n"/>
      <c r="E18" s="42" t="n"/>
      <c r="F18" s="42" t="n"/>
      <c r="G18" s="42" t="n"/>
      <c r="H18" s="42" t="n"/>
    </row>
    <row r="19" ht="18" customHeight="1">
      <c r="B19" s="13" t="n"/>
      <c r="C19" s="14">
        <f>C6</f>
        <v/>
      </c>
      <c r="D19" s="14">
        <f>D6</f>
        <v/>
      </c>
      <c r="E19" s="14">
        <f>E6</f>
        <v/>
      </c>
      <c r="F19" s="14">
        <f>F6</f>
        <v/>
      </c>
      <c r="G19" s="14">
        <f>G6</f>
        <v/>
      </c>
      <c r="H19" s="14">
        <f>H6</f>
        <v/>
      </c>
    </row>
    <row r="20" ht="18" customHeight="1">
      <c r="B20" s="6" t="inlineStr">
        <is>
          <t>Weights</t>
        </is>
      </c>
      <c r="C20" s="15">
        <f>'SAA with CME'!C17</f>
        <v/>
      </c>
      <c r="D20" s="15">
        <f>'SAA with CME'!D17</f>
        <v/>
      </c>
      <c r="E20" s="15">
        <f>'SAA with CME'!E17</f>
        <v/>
      </c>
      <c r="F20" s="15">
        <f>'SAA with CME'!F17</f>
        <v/>
      </c>
      <c r="G20" s="15">
        <f>'SAA with CME'!G17</f>
        <v/>
      </c>
      <c r="H20" s="15">
        <f>'SAA with CME'!H17</f>
        <v/>
      </c>
    </row>
    <row r="21">
      <c r="B21" s="10" t="n"/>
      <c r="C21" s="10" t="n"/>
      <c r="D21" s="10" t="n"/>
    </row>
    <row r="22" ht="18" customHeight="1">
      <c r="B22" s="10" t="n"/>
      <c r="C22" s="41" t="inlineStr">
        <is>
          <t>Tactical Weights</t>
        </is>
      </c>
      <c r="D22" s="41" t="n"/>
      <c r="E22" s="42" t="n"/>
      <c r="F22" s="42" t="n"/>
      <c r="G22" s="42" t="n"/>
      <c r="H22" s="42" t="n"/>
      <c r="J22" s="12" t="inlineStr">
        <is>
          <t>Define portfolio objectives and constraints</t>
        </is>
      </c>
    </row>
    <row r="23" ht="18" customHeight="1">
      <c r="B23" s="13" t="n"/>
      <c r="C23" s="14">
        <f>C6</f>
        <v/>
      </c>
      <c r="D23" s="14">
        <f>D6</f>
        <v/>
      </c>
      <c r="E23" s="14">
        <f>E6</f>
        <v/>
      </c>
      <c r="F23" s="14">
        <f>F6</f>
        <v/>
      </c>
      <c r="G23" s="14">
        <f>G6</f>
        <v/>
      </c>
      <c r="H23" s="14">
        <f>H6</f>
        <v/>
      </c>
    </row>
    <row r="24" ht="18" customHeight="1">
      <c r="B24" s="6" t="inlineStr">
        <is>
          <t>Weights</t>
        </is>
      </c>
      <c r="C24" s="15" t="n">
        <v>0.129575964998287</v>
      </c>
      <c r="D24" s="15" t="n">
        <v>0.1</v>
      </c>
      <c r="E24" s="15" t="n">
        <v>0.1</v>
      </c>
      <c r="F24" s="15" t="n">
        <v>0.2704240235717962</v>
      </c>
      <c r="G24" s="15" t="n">
        <v>0.3</v>
      </c>
      <c r="H24" s="15" t="n">
        <v>0.1</v>
      </c>
      <c r="I24" s="16">
        <f>SUM(C24:H24)</f>
        <v/>
      </c>
      <c r="J24" s="17" t="inlineStr">
        <is>
          <t>Constraint</t>
        </is>
      </c>
      <c r="K24" s="82" t="n">
        <v>0.1</v>
      </c>
      <c r="L24" s="17" t="inlineStr">
        <is>
          <t>per asset</t>
        </is>
      </c>
      <c r="M24" s="11" t="n"/>
      <c r="N24" s="11" t="n"/>
      <c r="O24" s="11" t="n"/>
      <c r="P24" s="11" t="n"/>
      <c r="R24" s="11" t="n"/>
      <c r="S24" s="11" t="n"/>
      <c r="T24" s="11" t="n"/>
    </row>
    <row r="25" ht="18" customHeight="1">
      <c r="B25" s="6" t="inlineStr">
        <is>
          <t>E Return</t>
        </is>
      </c>
      <c r="C25" s="10">
        <f>C15*C24</f>
        <v/>
      </c>
      <c r="D25" s="10">
        <f>D15*D24</f>
        <v/>
      </c>
      <c r="E25" s="10">
        <f>E15*E24</f>
        <v/>
      </c>
      <c r="F25" s="10">
        <f>F15*F24</f>
        <v/>
      </c>
      <c r="G25" s="10">
        <f>G15*G24</f>
        <v/>
      </c>
      <c r="H25" s="10">
        <f>H15*H24</f>
        <v/>
      </c>
      <c r="I25" s="18">
        <f>SUM(C25:H25)</f>
        <v/>
      </c>
      <c r="J25" s="19" t="inlineStr">
        <is>
          <t>Objective: Max Return</t>
        </is>
      </c>
      <c r="M25" s="11" t="n"/>
      <c r="N25" s="11" t="n"/>
      <c r="O25" s="11" t="n"/>
      <c r="P25" s="11" t="n"/>
      <c r="R25" s="11" t="n"/>
      <c r="S25" s="11" t="n"/>
      <c r="T25" s="11" t="n"/>
    </row>
    <row r="26">
      <c r="H26" s="67" t="inlineStr">
        <is>
          <t>Variance</t>
        </is>
      </c>
      <c r="I26" s="69">
        <f t="array" ref="I26">MMULT(MMULT(C24:H24*$C$16:$H$16,$C$8:$H$13),TRANSPOSE(C24:H24*$C$16:$H$16))</f>
        <v/>
      </c>
      <c r="M26" s="11" t="n"/>
      <c r="N26" s="11" t="n"/>
      <c r="O26" s="11" t="n"/>
      <c r="P26" s="11" t="n"/>
      <c r="R26" s="11" t="n"/>
      <c r="S26" s="11" t="n"/>
      <c r="T26" s="11" t="n"/>
    </row>
    <row r="27" ht="18" customHeight="1">
      <c r="H27" s="68" t="inlineStr">
        <is>
          <t>Volatility</t>
        </is>
      </c>
      <c r="I27" s="23">
        <f>SQRT(I26)</f>
        <v/>
      </c>
      <c r="J27" s="24" t="inlineStr">
        <is>
          <t>For Risk Level: Medium</t>
        </is>
      </c>
      <c r="K27" s="25" t="n">
        <v>0.15</v>
      </c>
      <c r="M27" s="11" t="n"/>
      <c r="N27" s="11" t="n"/>
      <c r="O27" s="11" t="n"/>
      <c r="P27" s="11" t="n"/>
      <c r="R27" s="11" t="n"/>
      <c r="S27" s="11" t="n"/>
      <c r="T27" s="11" t="n"/>
    </row>
    <row r="28" ht="18" customHeight="1">
      <c r="H28" s="26" t="inlineStr">
        <is>
          <t>Risk-Free Rate</t>
        </is>
      </c>
      <c r="I28" s="27" t="n">
        <v>0.0165</v>
      </c>
      <c r="M28" s="11" t="n"/>
      <c r="N28" s="11" t="n"/>
      <c r="O28" s="11" t="n"/>
      <c r="P28" s="11" t="n"/>
      <c r="R28" s="11" t="n"/>
      <c r="S28" s="11" t="n"/>
      <c r="T28" s="11" t="n"/>
    </row>
    <row r="29" ht="18" customHeight="1">
      <c r="H29" s="26" t="inlineStr">
        <is>
          <t>Sharpe Ratio</t>
        </is>
      </c>
      <c r="I29" s="28">
        <f>(I25-I28)/I27</f>
        <v/>
      </c>
      <c r="M29" s="11" t="n"/>
      <c r="N29" s="11" t="n"/>
      <c r="O29" s="11" t="n"/>
      <c r="P29" s="11" t="n"/>
      <c r="R29" s="11" t="n"/>
      <c r="S29" s="11" t="n"/>
      <c r="T29" s="11" t="n"/>
    </row>
    <row r="30" ht="18" customHeight="1">
      <c r="A30" s="30" t="n"/>
      <c r="B30" s="30" t="n"/>
      <c r="C30" s="30" t="n"/>
      <c r="D30" s="30" t="n"/>
      <c r="E30" s="30" t="n"/>
      <c r="F30" s="30" t="n"/>
      <c r="G30" s="30" t="n"/>
      <c r="H30" s="30" t="n"/>
      <c r="J30" s="11" t="n"/>
      <c r="K30" s="11" t="n"/>
      <c r="L30" s="11" t="n"/>
      <c r="M30" s="11" t="n"/>
      <c r="N30" s="11" t="n"/>
      <c r="O30" s="11" t="n"/>
      <c r="P30" s="11" t="n"/>
      <c r="R30" s="11" t="n"/>
      <c r="S30" s="11" t="n"/>
      <c r="T30" s="11" t="n"/>
    </row>
    <row r="31" ht="18" customHeight="1">
      <c r="A31" s="30" t="n"/>
      <c r="B31" s="30" t="inlineStr">
        <is>
          <t>Weight Deviation</t>
        </is>
      </c>
      <c r="C31" s="43">
        <f>C24-C20</f>
        <v/>
      </c>
      <c r="D31" s="43">
        <f>D24-D20</f>
        <v/>
      </c>
      <c r="E31" s="43">
        <f>E24-E20</f>
        <v/>
      </c>
      <c r="F31" s="43">
        <f>F24-F20</f>
        <v/>
      </c>
      <c r="G31" s="43">
        <f>G24-G20</f>
        <v/>
      </c>
      <c r="H31" s="43">
        <f>H24-H20</f>
        <v/>
      </c>
      <c r="J31" s="11" t="n"/>
      <c r="K31" s="11" t="n"/>
      <c r="L31" s="11" t="n"/>
      <c r="M31" s="11" t="n"/>
      <c r="N31" s="11" t="n"/>
      <c r="O31" s="11" t="n"/>
      <c r="P31" s="11" t="n"/>
      <c r="R31" s="11" t="n"/>
      <c r="S31" s="11" t="n"/>
      <c r="T31" s="11" t="n"/>
    </row>
    <row r="32" ht="18" customHeight="1">
      <c r="A32" s="30" t="n"/>
      <c r="B32" s="30" t="n"/>
      <c r="C32" s="30" t="n"/>
      <c r="D32" s="30" t="n"/>
      <c r="E32" s="30" t="n"/>
      <c r="F32" s="30" t="n"/>
      <c r="G32" s="30" t="n"/>
      <c r="H32" s="30" t="n"/>
      <c r="J32" s="11" t="n"/>
      <c r="K32" s="11" t="n"/>
      <c r="L32" s="11" t="n"/>
      <c r="M32" s="11" t="n"/>
      <c r="N32" s="11" t="n"/>
      <c r="O32" s="11" t="n"/>
      <c r="P32" s="11" t="n"/>
      <c r="R32" s="11" t="n"/>
      <c r="S32" s="11" t="n"/>
      <c r="T32" s="11" t="n"/>
    </row>
  </sheetData>
  <dataValidations count="1">
    <dataValidation sqref="B3:B4" showDropDown="0" showInputMessage="0" showErrorMessage="0" allowBlank="1" type="list">
      <formula1>'Index Returns'!$A$2:$A$70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6005A"/>
    <outlinePr summaryBelow="1" summaryRight="1"/>
    <pageSetUpPr/>
  </sheetPr>
  <dimension ref="A1:P86"/>
  <sheetViews>
    <sheetView tabSelected="1" topLeftCell="A105" zoomScaleNormal="100" workbookViewId="0">
      <selection activeCell="A1" sqref="A1"/>
    </sheetView>
  </sheetViews>
  <sheetFormatPr baseColWidth="8" defaultColWidth="8.7265625" defaultRowHeight="17.5"/>
  <cols>
    <col width="77.7265625" bestFit="1" customWidth="1" style="2" min="1" max="1"/>
    <col width="19.81640625" bestFit="1" customWidth="1" style="2" min="2" max="2"/>
    <col width="15" bestFit="1" customWidth="1" style="2" min="3" max="3"/>
    <col width="10" bestFit="1" customWidth="1" style="2" min="4" max="5"/>
    <col width="13" customWidth="1" min="5" max="5"/>
    <col width="24.1796875" bestFit="1" customWidth="1" style="2" min="6" max="6"/>
    <col width="10" bestFit="1" customWidth="1" style="2" min="7" max="7"/>
    <col width="22.54296875" bestFit="1" customWidth="1" style="2" min="8" max="8"/>
    <col width="21" bestFit="1" customWidth="1" style="2" min="9" max="9"/>
    <col width="9.7265625" bestFit="1" customWidth="1" style="2" min="10" max="11"/>
    <col width="12.1796875" bestFit="1" customWidth="1" style="2" min="12" max="12"/>
    <col width="9.7265625" bestFit="1" customWidth="1" style="2" min="13" max="13"/>
    <col width="8.7265625" customWidth="1" style="2" min="14" max="15"/>
    <col width="9.81640625" bestFit="1" customWidth="1" style="2" min="16" max="16"/>
    <col width="19" bestFit="1" customWidth="1" style="2" min="17" max="17"/>
    <col width="8.7265625" customWidth="1" style="2" min="18" max="16384"/>
  </cols>
  <sheetData>
    <row r="1" ht="18" customHeight="1">
      <c r="A1" s="1" t="inlineStr">
        <is>
          <t>Risk Assessment and Performance Metrics with TAA Tilt</t>
        </is>
      </c>
      <c r="B1" s="1" t="n"/>
      <c r="C1" s="1" t="n"/>
      <c r="D1" s="1" t="n"/>
      <c r="E1" s="1" t="n"/>
      <c r="I1" s="11" t="n"/>
      <c r="J1" s="11" t="n"/>
      <c r="K1" s="11" t="n"/>
      <c r="L1" s="11" t="n"/>
      <c r="M1" s="11" t="n"/>
    </row>
    <row r="2">
      <c r="C2" s="29" t="n"/>
      <c r="I2" s="11" t="n"/>
      <c r="J2" s="11" t="n"/>
      <c r="K2" s="11" t="n"/>
      <c r="L2" s="11" t="n"/>
      <c r="M2" s="11" t="n"/>
    </row>
    <row r="3" ht="18" customHeight="1">
      <c r="A3" s="8" t="inlineStr">
        <is>
          <t>TAA Tilt Effects Starting Date</t>
        </is>
      </c>
      <c r="B3" s="87">
        <f>TAA!B4</f>
        <v/>
      </c>
      <c r="C3" s="29" t="n"/>
      <c r="E3" s="88" t="inlineStr">
        <is>
          <t>Skewness</t>
        </is>
      </c>
      <c r="F3" s="89">
        <f>SKEW(H18:H32)</f>
        <v/>
      </c>
      <c r="I3" s="11" t="n"/>
      <c r="J3" s="11" t="n"/>
      <c r="K3" s="11" t="n"/>
      <c r="L3" s="11" t="n"/>
      <c r="M3" s="11" t="n"/>
    </row>
    <row r="4" ht="18" customHeight="1">
      <c r="A4" s="8" t="inlineStr">
        <is>
          <t>Ending Date 1 Quarter Out</t>
        </is>
      </c>
      <c r="B4" s="87">
        <f>EOMONTH(B3,3)</f>
        <v/>
      </c>
      <c r="C4" s="29" t="n"/>
      <c r="E4" s="88" t="inlineStr">
        <is>
          <t>Kurtosis</t>
        </is>
      </c>
      <c r="F4" s="89">
        <f>KURT(H18:H32)</f>
        <v/>
      </c>
      <c r="I4" s="11" t="n"/>
      <c r="J4" s="11" t="n"/>
      <c r="K4" s="11" t="n"/>
      <c r="L4" s="11" t="n"/>
      <c r="M4" s="11" t="n"/>
    </row>
    <row r="5">
      <c r="C5" s="29" t="n"/>
      <c r="I5" s="11" t="n"/>
      <c r="J5" s="11" t="n"/>
      <c r="K5" s="11" t="n"/>
      <c r="L5" s="11" t="n"/>
      <c r="M5" s="11" t="n"/>
    </row>
    <row r="6" ht="18" customHeight="1">
      <c r="A6" s="30" t="inlineStr">
        <is>
          <t>Annual Portfolio Return</t>
        </is>
      </c>
      <c r="B6" s="31">
        <f>(1+AVERAGEIFS(H18:H86,A18:A86,"&lt;="&amp;B4))^12-1</f>
        <v/>
      </c>
      <c r="G6" s="8" t="n"/>
      <c r="H6" s="32" t="n"/>
      <c r="I6" s="11" t="n"/>
      <c r="J6" s="11" t="n"/>
      <c r="K6" s="11" t="n"/>
      <c r="L6" s="11" t="n"/>
      <c r="M6" s="11" t="n"/>
    </row>
    <row r="7" ht="18" customHeight="1">
      <c r="A7" s="30" t="inlineStr">
        <is>
          <t>Compounded Annual Portfolio Return</t>
        </is>
      </c>
      <c r="B7" s="31">
        <f t="array" ref="B7">GEOMEAN(IF((A18:A86&lt;=B4), (1+H18:H86)))^12-1</f>
        <v/>
      </c>
      <c r="G7" s="8" t="n"/>
      <c r="H7" s="32" t="n"/>
      <c r="I7" s="11" t="n"/>
      <c r="J7" s="11" t="n"/>
      <c r="K7" s="11" t="n"/>
      <c r="L7" s="11" t="n"/>
      <c r="M7" s="11" t="n"/>
    </row>
    <row r="8" ht="18" customHeight="1">
      <c r="A8" s="8" t="inlineStr">
        <is>
          <t>Annual Volatility of Portfolio</t>
        </is>
      </c>
      <c r="B8" s="31">
        <f t="array" ref="B8">_xlfn.STDEV.S(IF((A18:A86&lt;=B4),H18:H86))*SQRT(12)</f>
        <v/>
      </c>
      <c r="G8" s="33" t="n"/>
      <c r="I8" s="11" t="n"/>
      <c r="J8" s="11" t="n"/>
      <c r="K8" s="11" t="n"/>
      <c r="L8" s="11" t="n"/>
      <c r="M8" s="11" t="n"/>
    </row>
    <row r="9" ht="18" customHeight="1">
      <c r="A9" s="8" t="inlineStr">
        <is>
          <t>Risk-Free Rate</t>
        </is>
      </c>
      <c r="B9" s="34" t="n">
        <v>0.0235</v>
      </c>
      <c r="I9" s="11" t="n"/>
      <c r="J9" s="11" t="n"/>
      <c r="K9" s="11" t="n"/>
      <c r="L9" s="11" t="n"/>
      <c r="M9" s="11" t="n"/>
    </row>
    <row r="10" ht="18" customHeight="1">
      <c r="A10" s="8" t="inlineStr">
        <is>
          <t>Sharpe Ratio</t>
        </is>
      </c>
      <c r="B10" s="35">
        <f>(B6-B9)/B8</f>
        <v/>
      </c>
      <c r="J10" s="11" t="n"/>
      <c r="K10" s="11" t="n"/>
      <c r="L10" s="11" t="n"/>
      <c r="M10" s="11" t="n"/>
      <c r="O10" s="11" t="n"/>
      <c r="P10" s="11" t="n"/>
    </row>
    <row r="11" ht="18" customHeight="1">
      <c r="A11" s="8" t="n"/>
      <c r="B11" s="35" t="n"/>
      <c r="J11" s="11" t="n"/>
      <c r="K11" s="11" t="n"/>
      <c r="L11" s="11" t="n"/>
      <c r="M11" s="11" t="n"/>
      <c r="O11" s="11" t="n"/>
      <c r="P11" s="11" t="n"/>
    </row>
    <row r="12" ht="18" customHeight="1">
      <c r="A12" s="8" t="inlineStr">
        <is>
          <t>Minimum Acceptable Return (MAR)</t>
        </is>
      </c>
      <c r="B12" s="36">
        <f>B9</f>
        <v/>
      </c>
      <c r="J12" s="11" t="n"/>
      <c r="K12" s="11" t="n"/>
      <c r="L12" s="11" t="n"/>
      <c r="M12" s="11" t="n"/>
      <c r="O12" s="11" t="n"/>
      <c r="P12" s="11" t="n"/>
    </row>
    <row r="13" ht="18" customHeight="1">
      <c r="A13" s="8" t="inlineStr">
        <is>
          <t>Target Semi-Standard Deviation</t>
        </is>
      </c>
      <c r="B13" s="35">
        <f>SQRT(SUMIFS(I18:I86,A18:A86,"&lt;="&amp;B4)/COUNTIFS(A18:A86,"&lt;="&amp;B4))</f>
        <v/>
      </c>
      <c r="J13" s="11" t="n"/>
      <c r="K13" s="11" t="n"/>
      <c r="L13" s="11" t="n"/>
      <c r="M13" s="11" t="n"/>
      <c r="O13" s="11" t="n"/>
      <c r="P13" s="11" t="n"/>
    </row>
    <row r="14" ht="18" customHeight="1">
      <c r="A14" s="8" t="inlineStr">
        <is>
          <t>Sortino Ratio</t>
        </is>
      </c>
      <c r="B14" s="35">
        <f>(B6-B12)/B13</f>
        <v/>
      </c>
      <c r="J14" s="11" t="n"/>
      <c r="K14" s="11" t="n"/>
      <c r="L14" s="11" t="n"/>
      <c r="M14" s="11" t="n"/>
      <c r="O14" s="11" t="n"/>
      <c r="P14" s="11" t="n"/>
    </row>
    <row r="15" ht="18" customHeight="1">
      <c r="A15" s="8" t="n"/>
      <c r="B15" s="44" t="n"/>
    </row>
    <row r="16" ht="18" customHeight="1">
      <c r="I16" s="6" t="inlineStr">
        <is>
          <t>Sortino Ratio</t>
        </is>
      </c>
    </row>
    <row r="17" ht="18" customHeight="1">
      <c r="A17" s="37" t="inlineStr">
        <is>
          <t>Index</t>
        </is>
      </c>
      <c r="B17" s="37" t="inlineStr">
        <is>
          <t>US Large Cap</t>
        </is>
      </c>
      <c r="C17" s="37" t="inlineStr">
        <is>
          <t>Dev ex US</t>
        </is>
      </c>
      <c r="D17" s="37" t="inlineStr">
        <is>
          <t>EM</t>
        </is>
      </c>
      <c r="E17" s="37" t="inlineStr">
        <is>
          <t>UST</t>
        </is>
      </c>
      <c r="F17" s="37" t="inlineStr">
        <is>
          <t>US IG Corp Bond</t>
        </is>
      </c>
      <c r="G17" s="37" t="inlineStr">
        <is>
          <t>REITs</t>
        </is>
      </c>
      <c r="H17" s="37" t="inlineStr">
        <is>
          <t>Portfolio Return</t>
        </is>
      </c>
      <c r="I17" s="37" t="inlineStr">
        <is>
          <t>min(rp-rT, 0)^2</t>
        </is>
      </c>
    </row>
    <row r="18" ht="18" customHeight="1">
      <c r="A18" s="86" t="n">
        <v>43131</v>
      </c>
      <c r="B18" s="33">
        <f>IF(A18&lt;=$B$3,'Index Returns'!B2*'SAA with CME'!C$17,IF(TAAPortfolioPerformance!A18&gt;TAAPortfolioPerformance!$B$4,"",'Index Returns'!B2*TAA!C$24))</f>
        <v/>
      </c>
      <c r="C18" s="33">
        <f>IF(B18&lt;=$B$3,'Index Returns'!C2*'SAA with CME'!D$17,IF(TAAPortfolioPerformance!B18&gt;TAAPortfolioPerformance!$B$4,"",'Index Returns'!C2*TAA!D$24))</f>
        <v/>
      </c>
      <c r="D18" s="33">
        <f>IF(C18&lt;=$B$3,'Index Returns'!D2*'SAA with CME'!E$17,IF(TAAPortfolioPerformance!C18&gt;TAAPortfolioPerformance!$B$4,"",'Index Returns'!D2*TAA!E$24))</f>
        <v/>
      </c>
      <c r="E18" s="33">
        <f>IF(D18&lt;=$B$3,'Index Returns'!E2*'SAA with CME'!F$17,IF(TAAPortfolioPerformance!D18&gt;TAAPortfolioPerformance!$B$4,"",'Index Returns'!E2*TAA!F$24))</f>
        <v/>
      </c>
      <c r="F18" s="33">
        <f>IF(E18&lt;=$B$3,'Index Returns'!F2*'SAA with CME'!G$17,IF(TAAPortfolioPerformance!E18&gt;TAAPortfolioPerformance!$B$4,"",'Index Returns'!F2*TAA!G$24))</f>
        <v/>
      </c>
      <c r="G18" s="33">
        <f>IF(F18&lt;=$B$3,'Index Returns'!G2*'SAA with CME'!H$17,IF(TAAPortfolioPerformance!F18&gt;TAAPortfolioPerformance!$B$4,"",'Index Returns'!G2*TAA!H$24))</f>
        <v/>
      </c>
      <c r="H18" s="33">
        <f>IF(G18="","",SUM(B18:G18))</f>
        <v/>
      </c>
      <c r="I18" s="38">
        <f>IF(G18="","",(MIN(H18-$B$12,0)^2))</f>
        <v/>
      </c>
    </row>
    <row r="19" ht="18" customHeight="1">
      <c r="A19" s="86" t="n">
        <v>43159</v>
      </c>
      <c r="B19" s="33">
        <f>IF(A19&lt;=$B$3,'Index Returns'!B3*'SAA with CME'!C$17,IF(TAAPortfolioPerformance!A19&gt;TAAPortfolioPerformance!$B$4,"",'Index Returns'!B3*TAA!C$24))</f>
        <v/>
      </c>
      <c r="C19" s="33">
        <f>IF(B19&lt;=$B$3,'Index Returns'!C3*'SAA with CME'!D$17,IF(TAAPortfolioPerformance!B19&gt;TAAPortfolioPerformance!$B$4,"",'Index Returns'!C3*TAA!D$24))</f>
        <v/>
      </c>
      <c r="D19" s="33">
        <f>IF(C19&lt;=$B$3,'Index Returns'!D3*'SAA with CME'!E$17,IF(TAAPortfolioPerformance!C19&gt;TAAPortfolioPerformance!$B$4,"",'Index Returns'!D3*TAA!E$24))</f>
        <v/>
      </c>
      <c r="E19" s="33">
        <f>IF(D19&lt;=$B$3,'Index Returns'!E3*'SAA with CME'!F$17,IF(TAAPortfolioPerformance!D19&gt;TAAPortfolioPerformance!$B$4,"",'Index Returns'!E3*TAA!F$24))</f>
        <v/>
      </c>
      <c r="F19" s="33">
        <f>IF(E19&lt;=$B$3,'Index Returns'!F3*'SAA with CME'!G$17,IF(TAAPortfolioPerformance!E19&gt;TAAPortfolioPerformance!$B$4,"",'Index Returns'!F3*TAA!G$24))</f>
        <v/>
      </c>
      <c r="G19" s="33">
        <f>IF(F19&lt;=$B$3,'Index Returns'!G3*'SAA with CME'!H$17,IF(TAAPortfolioPerformance!F19&gt;TAAPortfolioPerformance!$B$4,"",'Index Returns'!G3*TAA!H$24))</f>
        <v/>
      </c>
      <c r="H19" s="33">
        <f>IF(G19="","",SUM(B19:G19))</f>
        <v/>
      </c>
      <c r="I19" s="38">
        <f>IF(G19="","",(MIN(H19-$B$12,0)^2))</f>
        <v/>
      </c>
    </row>
    <row r="20" ht="18" customHeight="1">
      <c r="A20" s="86" t="n">
        <v>43189</v>
      </c>
      <c r="B20" s="33">
        <f>IF(A20&lt;=$B$3,'Index Returns'!B4*'SAA with CME'!C$17,IF(TAAPortfolioPerformance!A20&gt;TAAPortfolioPerformance!$B$4,"",'Index Returns'!B4*TAA!C$24))</f>
        <v/>
      </c>
      <c r="C20" s="33">
        <f>IF(B20&lt;=$B$3,'Index Returns'!C4*'SAA with CME'!D$17,IF(TAAPortfolioPerformance!B20&gt;TAAPortfolioPerformance!$B$4,"",'Index Returns'!C4*TAA!D$24))</f>
        <v/>
      </c>
      <c r="D20" s="33">
        <f>IF(C20&lt;=$B$3,'Index Returns'!D4*'SAA with CME'!E$17,IF(TAAPortfolioPerformance!C20&gt;TAAPortfolioPerformance!$B$4,"",'Index Returns'!D4*TAA!E$24))</f>
        <v/>
      </c>
      <c r="E20" s="33">
        <f>IF(D20&lt;=$B$3,'Index Returns'!E4*'SAA with CME'!F$17,IF(TAAPortfolioPerformance!D20&gt;TAAPortfolioPerformance!$B$4,"",'Index Returns'!E4*TAA!F$24))</f>
        <v/>
      </c>
      <c r="F20" s="33">
        <f>IF(E20&lt;=$B$3,'Index Returns'!F4*'SAA with CME'!G$17,IF(TAAPortfolioPerformance!E20&gt;TAAPortfolioPerformance!$B$4,"",'Index Returns'!F4*TAA!G$24))</f>
        <v/>
      </c>
      <c r="G20" s="33">
        <f>IF(F20&lt;=$B$3,'Index Returns'!G4*'SAA with CME'!H$17,IF(TAAPortfolioPerformance!F20&gt;TAAPortfolioPerformance!$B$4,"",'Index Returns'!G4*TAA!H$24))</f>
        <v/>
      </c>
      <c r="H20" s="33">
        <f>IF(G20="","",SUM(B20:G20))</f>
        <v/>
      </c>
      <c r="I20" s="38">
        <f>IF(G20="","",(MIN(H20-$B$12,0)^2))</f>
        <v/>
      </c>
    </row>
    <row r="21" ht="18" customHeight="1">
      <c r="A21" s="86" t="n">
        <v>43220</v>
      </c>
      <c r="B21" s="33">
        <f>IF(A21&lt;=$B$3,'Index Returns'!B5*'SAA with CME'!C$17,IF(TAAPortfolioPerformance!A21&gt;TAAPortfolioPerformance!$B$4,"",'Index Returns'!B5*TAA!C$24))</f>
        <v/>
      </c>
      <c r="C21" s="33">
        <f>IF(B21&lt;=$B$3,'Index Returns'!C5*'SAA with CME'!D$17,IF(TAAPortfolioPerformance!B21&gt;TAAPortfolioPerformance!$B$4,"",'Index Returns'!C5*TAA!D$24))</f>
        <v/>
      </c>
      <c r="D21" s="33">
        <f>IF(C21&lt;=$B$3,'Index Returns'!D5*'SAA with CME'!E$17,IF(TAAPortfolioPerformance!C21&gt;TAAPortfolioPerformance!$B$4,"",'Index Returns'!D5*TAA!E$24))</f>
        <v/>
      </c>
      <c r="E21" s="33">
        <f>IF(D21&lt;=$B$3,'Index Returns'!E5*'SAA with CME'!F$17,IF(TAAPortfolioPerformance!D21&gt;TAAPortfolioPerformance!$B$4,"",'Index Returns'!E5*TAA!F$24))</f>
        <v/>
      </c>
      <c r="F21" s="33">
        <f>IF(E21&lt;=$B$3,'Index Returns'!F5*'SAA with CME'!G$17,IF(TAAPortfolioPerformance!E21&gt;TAAPortfolioPerformance!$B$4,"",'Index Returns'!F5*TAA!G$24))</f>
        <v/>
      </c>
      <c r="G21" s="33">
        <f>IF(F21&lt;=$B$3,'Index Returns'!G5*'SAA with CME'!H$17,IF(TAAPortfolioPerformance!F21&gt;TAAPortfolioPerformance!$B$4,"",'Index Returns'!G5*TAA!H$24))</f>
        <v/>
      </c>
      <c r="H21" s="33">
        <f>IF(G21="","",SUM(B21:G21))</f>
        <v/>
      </c>
      <c r="I21" s="38">
        <f>IF(G21="","",(MIN(H21-$B$12,0)^2))</f>
        <v/>
      </c>
    </row>
    <row r="22" ht="18" customHeight="1">
      <c r="A22" s="86" t="n">
        <v>43251</v>
      </c>
      <c r="B22" s="33">
        <f>IF(A22&lt;=$B$3,'Index Returns'!B6*'SAA with CME'!C$17,IF(TAAPortfolioPerformance!A22&gt;TAAPortfolioPerformance!$B$4,"",'Index Returns'!B6*TAA!C$24))</f>
        <v/>
      </c>
      <c r="C22" s="33">
        <f>IF(B22&lt;=$B$3,'Index Returns'!C6*'SAA with CME'!D$17,IF(TAAPortfolioPerformance!B22&gt;TAAPortfolioPerformance!$B$4,"",'Index Returns'!C6*TAA!D$24))</f>
        <v/>
      </c>
      <c r="D22" s="33">
        <f>IF(C22&lt;=$B$3,'Index Returns'!D6*'SAA with CME'!E$17,IF(TAAPortfolioPerformance!C22&gt;TAAPortfolioPerformance!$B$4,"",'Index Returns'!D6*TAA!E$24))</f>
        <v/>
      </c>
      <c r="E22" s="33">
        <f>IF(D22&lt;=$B$3,'Index Returns'!E6*'SAA with CME'!F$17,IF(TAAPortfolioPerformance!D22&gt;TAAPortfolioPerformance!$B$4,"",'Index Returns'!E6*TAA!F$24))</f>
        <v/>
      </c>
      <c r="F22" s="33">
        <f>IF(E22&lt;=$B$3,'Index Returns'!F6*'SAA with CME'!G$17,IF(TAAPortfolioPerformance!E22&gt;TAAPortfolioPerformance!$B$4,"",'Index Returns'!F6*TAA!G$24))</f>
        <v/>
      </c>
      <c r="G22" s="33">
        <f>IF(F22&lt;=$B$3,'Index Returns'!G6*'SAA with CME'!H$17,IF(TAAPortfolioPerformance!F22&gt;TAAPortfolioPerformance!$B$4,"",'Index Returns'!G6*TAA!H$24))</f>
        <v/>
      </c>
      <c r="H22" s="33">
        <f>IF(G22="","",SUM(B22:G22))</f>
        <v/>
      </c>
      <c r="I22" s="38">
        <f>IF(G22="","",(MIN(H22-$B$12,0)^2))</f>
        <v/>
      </c>
    </row>
    <row r="23" ht="18" customHeight="1">
      <c r="A23" s="86" t="n">
        <v>43280</v>
      </c>
      <c r="B23" s="33">
        <f>IF(A23&lt;=$B$3,'Index Returns'!B7*'SAA with CME'!C$17,IF(TAAPortfolioPerformance!A23&gt;TAAPortfolioPerformance!$B$4,"",'Index Returns'!B7*TAA!C$24))</f>
        <v/>
      </c>
      <c r="C23" s="33">
        <f>IF(B23&lt;=$B$3,'Index Returns'!C7*'SAA with CME'!D$17,IF(TAAPortfolioPerformance!B23&gt;TAAPortfolioPerformance!$B$4,"",'Index Returns'!C7*TAA!D$24))</f>
        <v/>
      </c>
      <c r="D23" s="33">
        <f>IF(C23&lt;=$B$3,'Index Returns'!D7*'SAA with CME'!E$17,IF(TAAPortfolioPerformance!C23&gt;TAAPortfolioPerformance!$B$4,"",'Index Returns'!D7*TAA!E$24))</f>
        <v/>
      </c>
      <c r="E23" s="33">
        <f>IF(D23&lt;=$B$3,'Index Returns'!E7*'SAA with CME'!F$17,IF(TAAPortfolioPerformance!D23&gt;TAAPortfolioPerformance!$B$4,"",'Index Returns'!E7*TAA!F$24))</f>
        <v/>
      </c>
      <c r="F23" s="33">
        <f>IF(E23&lt;=$B$3,'Index Returns'!F7*'SAA with CME'!G$17,IF(TAAPortfolioPerformance!E23&gt;TAAPortfolioPerformance!$B$4,"",'Index Returns'!F7*TAA!G$24))</f>
        <v/>
      </c>
      <c r="G23" s="33">
        <f>IF(F23&lt;=$B$3,'Index Returns'!G7*'SAA with CME'!H$17,IF(TAAPortfolioPerformance!F23&gt;TAAPortfolioPerformance!$B$4,"",'Index Returns'!G7*TAA!H$24))</f>
        <v/>
      </c>
      <c r="H23" s="33">
        <f>IF(G23="","",SUM(B23:G23))</f>
        <v/>
      </c>
      <c r="I23" s="38">
        <f>IF(G23="","",(MIN(H23-$B$12,0)^2))</f>
        <v/>
      </c>
    </row>
    <row r="24" ht="18" customHeight="1">
      <c r="A24" s="86" t="n">
        <v>43312</v>
      </c>
      <c r="B24" s="33">
        <f>IF(A24&lt;=$B$3,'Index Returns'!B8*'SAA with CME'!C$17,IF(TAAPortfolioPerformance!A24&gt;TAAPortfolioPerformance!$B$4,"",'Index Returns'!B8*TAA!C$24))</f>
        <v/>
      </c>
      <c r="C24" s="33">
        <f>IF(B24&lt;=$B$3,'Index Returns'!C8*'SAA with CME'!D$17,IF(TAAPortfolioPerformance!B24&gt;TAAPortfolioPerformance!$B$4,"",'Index Returns'!C8*TAA!D$24))</f>
        <v/>
      </c>
      <c r="D24" s="33">
        <f>IF(C24&lt;=$B$3,'Index Returns'!D8*'SAA with CME'!E$17,IF(TAAPortfolioPerformance!C24&gt;TAAPortfolioPerformance!$B$4,"",'Index Returns'!D8*TAA!E$24))</f>
        <v/>
      </c>
      <c r="E24" s="33">
        <f>IF(D24&lt;=$B$3,'Index Returns'!E8*'SAA with CME'!F$17,IF(TAAPortfolioPerformance!D24&gt;TAAPortfolioPerformance!$B$4,"",'Index Returns'!E8*TAA!F$24))</f>
        <v/>
      </c>
      <c r="F24" s="33">
        <f>IF(E24&lt;=$B$3,'Index Returns'!F8*'SAA with CME'!G$17,IF(TAAPortfolioPerformance!E24&gt;TAAPortfolioPerformance!$B$4,"",'Index Returns'!F8*TAA!G$24))</f>
        <v/>
      </c>
      <c r="G24" s="33">
        <f>IF(F24&lt;=$B$3,'Index Returns'!G8*'SAA with CME'!H$17,IF(TAAPortfolioPerformance!F24&gt;TAAPortfolioPerformance!$B$4,"",'Index Returns'!G8*TAA!H$24))</f>
        <v/>
      </c>
      <c r="H24" s="33">
        <f>IF(G24="","",SUM(B24:G24))</f>
        <v/>
      </c>
      <c r="I24" s="38">
        <f>IF(G24="","",(MIN(H24-$B$12,0)^2))</f>
        <v/>
      </c>
    </row>
    <row r="25" ht="18" customHeight="1">
      <c r="A25" s="86" t="n">
        <v>43343</v>
      </c>
      <c r="B25" s="33">
        <f>IF(A25&lt;=$B$3,'Index Returns'!B9*'SAA with CME'!C$17,IF(TAAPortfolioPerformance!A25&gt;TAAPortfolioPerformance!$B$4,"",'Index Returns'!B9*TAA!C$24))</f>
        <v/>
      </c>
      <c r="C25" s="33">
        <f>IF(B25&lt;=$B$3,'Index Returns'!C9*'SAA with CME'!D$17,IF(TAAPortfolioPerformance!B25&gt;TAAPortfolioPerformance!$B$4,"",'Index Returns'!C9*TAA!D$24))</f>
        <v/>
      </c>
      <c r="D25" s="33">
        <f>IF(C25&lt;=$B$3,'Index Returns'!D9*'SAA with CME'!E$17,IF(TAAPortfolioPerformance!C25&gt;TAAPortfolioPerformance!$B$4,"",'Index Returns'!D9*TAA!E$24))</f>
        <v/>
      </c>
      <c r="E25" s="33">
        <f>IF(D25&lt;=$B$3,'Index Returns'!E9*'SAA with CME'!F$17,IF(TAAPortfolioPerformance!D25&gt;TAAPortfolioPerformance!$B$4,"",'Index Returns'!E9*TAA!F$24))</f>
        <v/>
      </c>
      <c r="F25" s="33">
        <f>IF(E25&lt;=$B$3,'Index Returns'!F9*'SAA with CME'!G$17,IF(TAAPortfolioPerformance!E25&gt;TAAPortfolioPerformance!$B$4,"",'Index Returns'!F9*TAA!G$24))</f>
        <v/>
      </c>
      <c r="G25" s="33">
        <f>IF(F25&lt;=$B$3,'Index Returns'!G9*'SAA with CME'!H$17,IF(TAAPortfolioPerformance!F25&gt;TAAPortfolioPerformance!$B$4,"",'Index Returns'!G9*TAA!H$24))</f>
        <v/>
      </c>
      <c r="H25" s="33">
        <f>IF(G25="","",SUM(B25:G25))</f>
        <v/>
      </c>
      <c r="I25" s="38">
        <f>IF(G25="","",(MIN(H25-$B$12,0)^2))</f>
        <v/>
      </c>
    </row>
    <row r="26" ht="18" customHeight="1">
      <c r="A26" s="86" t="n">
        <v>43371</v>
      </c>
      <c r="B26" s="33">
        <f>IF(A26&lt;=$B$3,'Index Returns'!B10*'SAA with CME'!C$17,IF(TAAPortfolioPerformance!A26&gt;TAAPortfolioPerformance!$B$4,"",'Index Returns'!B10*TAA!C$24))</f>
        <v/>
      </c>
      <c r="C26" s="33">
        <f>IF(B26&lt;=$B$3,'Index Returns'!C10*'SAA with CME'!D$17,IF(TAAPortfolioPerformance!B26&gt;TAAPortfolioPerformance!$B$4,"",'Index Returns'!C10*TAA!D$24))</f>
        <v/>
      </c>
      <c r="D26" s="33">
        <f>IF(C26&lt;=$B$3,'Index Returns'!D10*'SAA with CME'!E$17,IF(TAAPortfolioPerformance!C26&gt;TAAPortfolioPerformance!$B$4,"",'Index Returns'!D10*TAA!E$24))</f>
        <v/>
      </c>
      <c r="E26" s="33">
        <f>IF(D26&lt;=$B$3,'Index Returns'!E10*'SAA with CME'!F$17,IF(TAAPortfolioPerformance!D26&gt;TAAPortfolioPerformance!$B$4,"",'Index Returns'!E10*TAA!F$24))</f>
        <v/>
      </c>
      <c r="F26" s="33">
        <f>IF(E26&lt;=$B$3,'Index Returns'!F10*'SAA with CME'!G$17,IF(TAAPortfolioPerformance!E26&gt;TAAPortfolioPerformance!$B$4,"",'Index Returns'!F10*TAA!G$24))</f>
        <v/>
      </c>
      <c r="G26" s="33">
        <f>IF(F26&lt;=$B$3,'Index Returns'!G10*'SAA with CME'!H$17,IF(TAAPortfolioPerformance!F26&gt;TAAPortfolioPerformance!$B$4,"",'Index Returns'!G10*TAA!H$24))</f>
        <v/>
      </c>
      <c r="H26" s="33">
        <f>IF(G26="","",SUM(B26:G26))</f>
        <v/>
      </c>
      <c r="I26" s="38">
        <f>IF(G26="","",(MIN(H26-$B$12,0)^2))</f>
        <v/>
      </c>
    </row>
    <row r="27" ht="18" customHeight="1">
      <c r="A27" s="86" t="n">
        <v>43404</v>
      </c>
      <c r="B27" s="33">
        <f>IF(A27&lt;=$B$3,'Index Returns'!B11*'SAA with CME'!C$17,IF(TAAPortfolioPerformance!A27&gt;TAAPortfolioPerformance!$B$4,"",'Index Returns'!B11*TAA!C$24))</f>
        <v/>
      </c>
      <c r="C27" s="33">
        <f>IF(B27&lt;=$B$3,'Index Returns'!C11*'SAA with CME'!D$17,IF(TAAPortfolioPerformance!B27&gt;TAAPortfolioPerformance!$B$4,"",'Index Returns'!C11*TAA!D$24))</f>
        <v/>
      </c>
      <c r="D27" s="33">
        <f>IF(C27&lt;=$B$3,'Index Returns'!D11*'SAA with CME'!E$17,IF(TAAPortfolioPerformance!C27&gt;TAAPortfolioPerformance!$B$4,"",'Index Returns'!D11*TAA!E$24))</f>
        <v/>
      </c>
      <c r="E27" s="33">
        <f>IF(D27&lt;=$B$3,'Index Returns'!E11*'SAA with CME'!F$17,IF(TAAPortfolioPerformance!D27&gt;TAAPortfolioPerformance!$B$4,"",'Index Returns'!E11*TAA!F$24))</f>
        <v/>
      </c>
      <c r="F27" s="33">
        <f>IF(E27&lt;=$B$3,'Index Returns'!F11*'SAA with CME'!G$17,IF(TAAPortfolioPerformance!E27&gt;TAAPortfolioPerformance!$B$4,"",'Index Returns'!F11*TAA!G$24))</f>
        <v/>
      </c>
      <c r="G27" s="33">
        <f>IF(F27&lt;=$B$3,'Index Returns'!G11*'SAA with CME'!H$17,IF(TAAPortfolioPerformance!F27&gt;TAAPortfolioPerformance!$B$4,"",'Index Returns'!G11*TAA!H$24))</f>
        <v/>
      </c>
      <c r="H27" s="33">
        <f>IF(G27="","",SUM(B27:G27))</f>
        <v/>
      </c>
      <c r="I27" s="38">
        <f>IF(G27="","",(MIN(H27-$B$12,0)^2))</f>
        <v/>
      </c>
    </row>
    <row r="28" ht="18" customHeight="1">
      <c r="A28" s="86" t="n">
        <v>43434</v>
      </c>
      <c r="B28" s="33">
        <f>IF(A28&lt;=$B$3,'Index Returns'!B12*'SAA with CME'!C$17,IF(TAAPortfolioPerformance!A28&gt;TAAPortfolioPerformance!$B$4,"",'Index Returns'!B12*TAA!C$24))</f>
        <v/>
      </c>
      <c r="C28" s="33">
        <f>IF(B28&lt;=$B$3,'Index Returns'!C12*'SAA with CME'!D$17,IF(TAAPortfolioPerformance!B28&gt;TAAPortfolioPerformance!$B$4,"",'Index Returns'!C12*TAA!D$24))</f>
        <v/>
      </c>
      <c r="D28" s="33">
        <f>IF(C28&lt;=$B$3,'Index Returns'!D12*'SAA with CME'!E$17,IF(TAAPortfolioPerformance!C28&gt;TAAPortfolioPerformance!$B$4,"",'Index Returns'!D12*TAA!E$24))</f>
        <v/>
      </c>
      <c r="E28" s="33">
        <f>IF(D28&lt;=$B$3,'Index Returns'!E12*'SAA with CME'!F$17,IF(TAAPortfolioPerformance!D28&gt;TAAPortfolioPerformance!$B$4,"",'Index Returns'!E12*TAA!F$24))</f>
        <v/>
      </c>
      <c r="F28" s="33">
        <f>IF(E28&lt;=$B$3,'Index Returns'!F12*'SAA with CME'!G$17,IF(TAAPortfolioPerformance!E28&gt;TAAPortfolioPerformance!$B$4,"",'Index Returns'!F12*TAA!G$24))</f>
        <v/>
      </c>
      <c r="G28" s="33">
        <f>IF(F28&lt;=$B$3,'Index Returns'!G12*'SAA with CME'!H$17,IF(TAAPortfolioPerformance!F28&gt;TAAPortfolioPerformance!$B$4,"",'Index Returns'!G12*TAA!H$24))</f>
        <v/>
      </c>
      <c r="H28" s="33">
        <f>IF(G28="","",SUM(B28:G28))</f>
        <v/>
      </c>
      <c r="I28" s="38">
        <f>IF(G28="","",(MIN(H28-$B$12,0)^2))</f>
        <v/>
      </c>
    </row>
    <row r="29" ht="18" customHeight="1">
      <c r="A29" s="86" t="n">
        <v>43465</v>
      </c>
      <c r="B29" s="33">
        <f>IF(A29&lt;=$B$3,'Index Returns'!B13*'SAA with CME'!C$17,IF(TAAPortfolioPerformance!A29&gt;TAAPortfolioPerformance!$B$4,"",'Index Returns'!B13*TAA!C$24))</f>
        <v/>
      </c>
      <c r="C29" s="33">
        <f>IF(B29&lt;=$B$3,'Index Returns'!C13*'SAA with CME'!D$17,IF(TAAPortfolioPerformance!B29&gt;TAAPortfolioPerformance!$B$4,"",'Index Returns'!C13*TAA!D$24))</f>
        <v/>
      </c>
      <c r="D29" s="33">
        <f>IF(C29&lt;=$B$3,'Index Returns'!D13*'SAA with CME'!E$17,IF(TAAPortfolioPerformance!C29&gt;TAAPortfolioPerformance!$B$4,"",'Index Returns'!D13*TAA!E$24))</f>
        <v/>
      </c>
      <c r="E29" s="33">
        <f>IF(D29&lt;=$B$3,'Index Returns'!E13*'SAA with CME'!F$17,IF(TAAPortfolioPerformance!D29&gt;TAAPortfolioPerformance!$B$4,"",'Index Returns'!E13*TAA!F$24))</f>
        <v/>
      </c>
      <c r="F29" s="33">
        <f>IF(E29&lt;=$B$3,'Index Returns'!F13*'SAA with CME'!G$17,IF(TAAPortfolioPerformance!E29&gt;TAAPortfolioPerformance!$B$4,"",'Index Returns'!F13*TAA!G$24))</f>
        <v/>
      </c>
      <c r="G29" s="33">
        <f>IF(F29&lt;=$B$3,'Index Returns'!G13*'SAA with CME'!H$17,IF(TAAPortfolioPerformance!F29&gt;TAAPortfolioPerformance!$B$4,"",'Index Returns'!G13*TAA!H$24))</f>
        <v/>
      </c>
      <c r="H29" s="33">
        <f>IF(G29="","",SUM(B29:G29))</f>
        <v/>
      </c>
      <c r="I29" s="38">
        <f>IF(G29="","",(MIN(H29-$B$12,0)^2))</f>
        <v/>
      </c>
    </row>
    <row r="30" ht="18" customHeight="1">
      <c r="A30" s="86" t="n">
        <v>43496</v>
      </c>
      <c r="B30" s="33">
        <f>IF(A30&lt;=$B$3,'Index Returns'!B14*'SAA with CME'!C$17,IF(TAAPortfolioPerformance!A30&gt;TAAPortfolioPerformance!$B$4,"",'Index Returns'!B14*TAA!C$24))</f>
        <v/>
      </c>
      <c r="C30" s="33">
        <f>IF(B30&lt;=$B$3,'Index Returns'!C14*'SAA with CME'!D$17,IF(TAAPortfolioPerformance!B30&gt;TAAPortfolioPerformance!$B$4,"",'Index Returns'!C14*TAA!D$24))</f>
        <v/>
      </c>
      <c r="D30" s="33">
        <f>IF(C30&lt;=$B$3,'Index Returns'!D14*'SAA with CME'!E$17,IF(TAAPortfolioPerformance!C30&gt;TAAPortfolioPerformance!$B$4,"",'Index Returns'!D14*TAA!E$24))</f>
        <v/>
      </c>
      <c r="E30" s="33">
        <f>IF(D30&lt;=$B$3,'Index Returns'!E14*'SAA with CME'!F$17,IF(TAAPortfolioPerformance!D30&gt;TAAPortfolioPerformance!$B$4,"",'Index Returns'!E14*TAA!F$24))</f>
        <v/>
      </c>
      <c r="F30" s="33">
        <f>IF(E30&lt;=$B$3,'Index Returns'!F14*'SAA with CME'!G$17,IF(TAAPortfolioPerformance!E30&gt;TAAPortfolioPerformance!$B$4,"",'Index Returns'!F14*TAA!G$24))</f>
        <v/>
      </c>
      <c r="G30" s="33">
        <f>IF(F30&lt;=$B$3,'Index Returns'!G14*'SAA with CME'!H$17,IF(TAAPortfolioPerformance!F30&gt;TAAPortfolioPerformance!$B$4,"",'Index Returns'!G14*TAA!H$24))</f>
        <v/>
      </c>
      <c r="H30" s="33">
        <f>IF(G30="","",SUM(B30:G30))</f>
        <v/>
      </c>
      <c r="I30" s="38">
        <f>IF(G30="","",(MIN(H30-$B$12,0)^2))</f>
        <v/>
      </c>
    </row>
    <row r="31" ht="18" customHeight="1">
      <c r="A31" s="86" t="n">
        <v>43524</v>
      </c>
      <c r="B31" s="33">
        <f>IF(A31&lt;=$B$3,'Index Returns'!B15*'SAA with CME'!C$17,IF(TAAPortfolioPerformance!A31&gt;TAAPortfolioPerformance!$B$4,"",'Index Returns'!B15*TAA!C$24))</f>
        <v/>
      </c>
      <c r="C31" s="33">
        <f>IF(B31&lt;=$B$3,'Index Returns'!C15*'SAA with CME'!D$17,IF(TAAPortfolioPerformance!B31&gt;TAAPortfolioPerformance!$B$4,"",'Index Returns'!C15*TAA!D$24))</f>
        <v/>
      </c>
      <c r="D31" s="33">
        <f>IF(C31&lt;=$B$3,'Index Returns'!D15*'SAA with CME'!E$17,IF(TAAPortfolioPerformance!C31&gt;TAAPortfolioPerformance!$B$4,"",'Index Returns'!D15*TAA!E$24))</f>
        <v/>
      </c>
      <c r="E31" s="33">
        <f>IF(D31&lt;=$B$3,'Index Returns'!E15*'SAA with CME'!F$17,IF(TAAPortfolioPerformance!D31&gt;TAAPortfolioPerformance!$B$4,"",'Index Returns'!E15*TAA!F$24))</f>
        <v/>
      </c>
      <c r="F31" s="33">
        <f>IF(E31&lt;=$B$3,'Index Returns'!F15*'SAA with CME'!G$17,IF(TAAPortfolioPerformance!E31&gt;TAAPortfolioPerformance!$B$4,"",'Index Returns'!F15*TAA!G$24))</f>
        <v/>
      </c>
      <c r="G31" s="33">
        <f>IF(F31&lt;=$B$3,'Index Returns'!G15*'SAA with CME'!H$17,IF(TAAPortfolioPerformance!F31&gt;TAAPortfolioPerformance!$B$4,"",'Index Returns'!G15*TAA!H$24))</f>
        <v/>
      </c>
      <c r="H31" s="33">
        <f>IF(G31="","",SUM(B31:G31))</f>
        <v/>
      </c>
      <c r="I31" s="38">
        <f>IF(G31="","",(MIN(H31-$B$12,0)^2))</f>
        <v/>
      </c>
    </row>
    <row r="32" ht="18" customHeight="1">
      <c r="A32" s="86" t="n">
        <v>43553</v>
      </c>
      <c r="B32" s="33">
        <f>IF(A32&lt;=$B$3,'Index Returns'!B16*'SAA with CME'!C$17,IF(TAAPortfolioPerformance!A32&gt;TAAPortfolioPerformance!$B$4,"",'Index Returns'!B16*TAA!C$24))</f>
        <v/>
      </c>
      <c r="C32" s="33">
        <f>IF(B32&lt;=$B$3,'Index Returns'!C16*'SAA with CME'!D$17,IF(TAAPortfolioPerformance!B32&gt;TAAPortfolioPerformance!$B$4,"",'Index Returns'!C16*TAA!D$24))</f>
        <v/>
      </c>
      <c r="D32" s="33">
        <f>IF(C32&lt;=$B$3,'Index Returns'!D16*'SAA with CME'!E$17,IF(TAAPortfolioPerformance!C32&gt;TAAPortfolioPerformance!$B$4,"",'Index Returns'!D16*TAA!E$24))</f>
        <v/>
      </c>
      <c r="E32" s="33">
        <f>IF(D32&lt;=$B$3,'Index Returns'!E16*'SAA with CME'!F$17,IF(TAAPortfolioPerformance!D32&gt;TAAPortfolioPerformance!$B$4,"",'Index Returns'!E16*TAA!F$24))</f>
        <v/>
      </c>
      <c r="F32" s="33">
        <f>IF(E32&lt;=$B$3,'Index Returns'!F16*'SAA with CME'!G$17,IF(TAAPortfolioPerformance!E32&gt;TAAPortfolioPerformance!$B$4,"",'Index Returns'!F16*TAA!G$24))</f>
        <v/>
      </c>
      <c r="G32" s="33">
        <f>IF(F32&lt;=$B$3,'Index Returns'!G16*'SAA with CME'!H$17,IF(TAAPortfolioPerformance!F32&gt;TAAPortfolioPerformance!$B$4,"",'Index Returns'!G16*TAA!H$24))</f>
        <v/>
      </c>
      <c r="H32" s="33">
        <f>IF(G32="","",SUM(B32:G32))</f>
        <v/>
      </c>
      <c r="I32" s="38">
        <f>IF(G32="","",(MIN(H32-$B$12,0)^2))</f>
        <v/>
      </c>
    </row>
    <row r="33" ht="18" customHeight="1">
      <c r="A33" s="86" t="n">
        <v>43585</v>
      </c>
      <c r="B33" s="33">
        <f>IF(A33&lt;=$B$3,'Index Returns'!B17*'SAA with CME'!C$17,IF(TAAPortfolioPerformance!A33&gt;TAAPortfolioPerformance!$B$4,"",'Index Returns'!B17*TAA!C$24))</f>
        <v/>
      </c>
      <c r="C33" s="33">
        <f>IF(B33&lt;=$B$3,'Index Returns'!C17*'SAA with CME'!D$17,IF(TAAPortfolioPerformance!B33&gt;TAAPortfolioPerformance!$B$4,"",'Index Returns'!C17*TAA!D$24))</f>
        <v/>
      </c>
      <c r="D33" s="33">
        <f>IF(C33&lt;=$B$3,'Index Returns'!D17*'SAA with CME'!E$17,IF(TAAPortfolioPerformance!C33&gt;TAAPortfolioPerformance!$B$4,"",'Index Returns'!D17*TAA!E$24))</f>
        <v/>
      </c>
      <c r="E33" s="33">
        <f>IF(D33&lt;=$B$3,'Index Returns'!E17*'SAA with CME'!F$17,IF(TAAPortfolioPerformance!D33&gt;TAAPortfolioPerformance!$B$4,"",'Index Returns'!E17*TAA!F$24))</f>
        <v/>
      </c>
      <c r="F33" s="33">
        <f>IF(E33&lt;=$B$3,'Index Returns'!F17*'SAA with CME'!G$17,IF(TAAPortfolioPerformance!E33&gt;TAAPortfolioPerformance!$B$4,"",'Index Returns'!F17*TAA!G$24))</f>
        <v/>
      </c>
      <c r="G33" s="33">
        <f>IF(F33&lt;=$B$3,'Index Returns'!G17*'SAA with CME'!H$17,IF(TAAPortfolioPerformance!F33&gt;TAAPortfolioPerformance!$B$4,"",'Index Returns'!G17*TAA!H$24))</f>
        <v/>
      </c>
      <c r="H33" s="33">
        <f>IF(G33="","",SUM(B33:G33))</f>
        <v/>
      </c>
      <c r="I33" s="38">
        <f>IF(G33="","",(MIN(H33-$B$12,0)^2))</f>
        <v/>
      </c>
    </row>
    <row r="34" ht="18" customHeight="1">
      <c r="A34" s="86" t="n">
        <v>43616</v>
      </c>
      <c r="B34" s="33">
        <f>IF(A34&lt;=$B$3,'Index Returns'!B18*'SAA with CME'!C$17,IF(TAAPortfolioPerformance!A34&gt;TAAPortfolioPerformance!$B$4,"",'Index Returns'!B18*TAA!C$24))</f>
        <v/>
      </c>
      <c r="C34" s="33">
        <f>IF(B34&lt;=$B$3,'Index Returns'!C18*'SAA with CME'!D$17,IF(TAAPortfolioPerformance!B34&gt;TAAPortfolioPerformance!$B$4,"",'Index Returns'!C18*TAA!D$24))</f>
        <v/>
      </c>
      <c r="D34" s="33">
        <f>IF(C34&lt;=$B$3,'Index Returns'!D18*'SAA with CME'!E$17,IF(TAAPortfolioPerformance!C34&gt;TAAPortfolioPerformance!$B$4,"",'Index Returns'!D18*TAA!E$24))</f>
        <v/>
      </c>
      <c r="E34" s="33">
        <f>IF(D34&lt;=$B$3,'Index Returns'!E18*'SAA with CME'!F$17,IF(TAAPortfolioPerformance!D34&gt;TAAPortfolioPerformance!$B$4,"",'Index Returns'!E18*TAA!F$24))</f>
        <v/>
      </c>
      <c r="F34" s="33">
        <f>IF(E34&lt;=$B$3,'Index Returns'!F18*'SAA with CME'!G$17,IF(TAAPortfolioPerformance!E34&gt;TAAPortfolioPerformance!$B$4,"",'Index Returns'!F18*TAA!G$24))</f>
        <v/>
      </c>
      <c r="G34" s="33">
        <f>IF(F34&lt;=$B$3,'Index Returns'!G18*'SAA with CME'!H$17,IF(TAAPortfolioPerformance!F34&gt;TAAPortfolioPerformance!$B$4,"",'Index Returns'!G18*TAA!H$24))</f>
        <v/>
      </c>
      <c r="H34" s="33">
        <f>IF(G34="","",SUM(B34:G34))</f>
        <v/>
      </c>
      <c r="I34" s="38">
        <f>IF(G34="","",(MIN(H34-$B$12,0)^2))</f>
        <v/>
      </c>
    </row>
    <row r="35" ht="18" customHeight="1">
      <c r="A35" s="86" t="n">
        <v>43644</v>
      </c>
      <c r="B35" s="33">
        <f>IF(A35&lt;=$B$3,'Index Returns'!B19*'SAA with CME'!C$17,IF(TAAPortfolioPerformance!A35&gt;TAAPortfolioPerformance!$B$4,"",'Index Returns'!B19*TAA!C$24))</f>
        <v/>
      </c>
      <c r="C35" s="33">
        <f>IF(B35&lt;=$B$3,'Index Returns'!C19*'SAA with CME'!D$17,IF(TAAPortfolioPerformance!B35&gt;TAAPortfolioPerformance!$B$4,"",'Index Returns'!C19*TAA!D$24))</f>
        <v/>
      </c>
      <c r="D35" s="33">
        <f>IF(C35&lt;=$B$3,'Index Returns'!D19*'SAA with CME'!E$17,IF(TAAPortfolioPerformance!C35&gt;TAAPortfolioPerformance!$B$4,"",'Index Returns'!D19*TAA!E$24))</f>
        <v/>
      </c>
      <c r="E35" s="33">
        <f>IF(D35&lt;=$B$3,'Index Returns'!E19*'SAA with CME'!F$17,IF(TAAPortfolioPerformance!D35&gt;TAAPortfolioPerformance!$B$4,"",'Index Returns'!E19*TAA!F$24))</f>
        <v/>
      </c>
      <c r="F35" s="33">
        <f>IF(E35&lt;=$B$3,'Index Returns'!F19*'SAA with CME'!G$17,IF(TAAPortfolioPerformance!E35&gt;TAAPortfolioPerformance!$B$4,"",'Index Returns'!F19*TAA!G$24))</f>
        <v/>
      </c>
      <c r="G35" s="33">
        <f>IF(F35&lt;=$B$3,'Index Returns'!G19*'SAA with CME'!H$17,IF(TAAPortfolioPerformance!F35&gt;TAAPortfolioPerformance!$B$4,"",'Index Returns'!G19*TAA!H$24))</f>
        <v/>
      </c>
      <c r="H35" s="33">
        <f>IF(G35="","",SUM(B35:G35))</f>
        <v/>
      </c>
      <c r="I35" s="38">
        <f>IF(G35="","",(MIN(H35-$B$12,0)^2))</f>
        <v/>
      </c>
    </row>
    <row r="36" ht="18" customHeight="1">
      <c r="A36" s="86" t="n">
        <v>43677</v>
      </c>
      <c r="B36" s="33">
        <f>IF(A36&lt;=$B$3,'Index Returns'!B20*'SAA with CME'!C$17,IF(TAAPortfolioPerformance!A36&gt;TAAPortfolioPerformance!$B$4,"",'Index Returns'!B20*TAA!C$24))</f>
        <v/>
      </c>
      <c r="C36" s="33">
        <f>IF(B36&lt;=$B$3,'Index Returns'!C20*'SAA with CME'!D$17,IF(TAAPortfolioPerformance!B36&gt;TAAPortfolioPerformance!$B$4,"",'Index Returns'!C20*TAA!D$24))</f>
        <v/>
      </c>
      <c r="D36" s="33">
        <f>IF(C36&lt;=$B$3,'Index Returns'!D20*'SAA with CME'!E$17,IF(TAAPortfolioPerformance!C36&gt;TAAPortfolioPerformance!$B$4,"",'Index Returns'!D20*TAA!E$24))</f>
        <v/>
      </c>
      <c r="E36" s="33">
        <f>IF(D36&lt;=$B$3,'Index Returns'!E20*'SAA with CME'!F$17,IF(TAAPortfolioPerformance!D36&gt;TAAPortfolioPerformance!$B$4,"",'Index Returns'!E20*TAA!F$24))</f>
        <v/>
      </c>
      <c r="F36" s="33">
        <f>IF(E36&lt;=$B$3,'Index Returns'!F20*'SAA with CME'!G$17,IF(TAAPortfolioPerformance!E36&gt;TAAPortfolioPerformance!$B$4,"",'Index Returns'!F20*TAA!G$24))</f>
        <v/>
      </c>
      <c r="G36" s="33">
        <f>IF(F36&lt;=$B$3,'Index Returns'!G20*'SAA with CME'!H$17,IF(TAAPortfolioPerformance!F36&gt;TAAPortfolioPerformance!$B$4,"",'Index Returns'!G20*TAA!H$24))</f>
        <v/>
      </c>
      <c r="H36" s="33">
        <f>IF(G36="","",SUM(B36:G36))</f>
        <v/>
      </c>
      <c r="I36" s="38">
        <f>IF(G36="","",(MIN(H36-$B$12,0)^2))</f>
        <v/>
      </c>
    </row>
    <row r="37" ht="18" customHeight="1">
      <c r="A37" s="86" t="n">
        <v>43707</v>
      </c>
      <c r="B37" s="33">
        <f>IF(A37&lt;=$B$3,'Index Returns'!B21*'SAA with CME'!C$17,IF(TAAPortfolioPerformance!A37&gt;TAAPortfolioPerformance!$B$4,"",'Index Returns'!B21*TAA!C$24))</f>
        <v/>
      </c>
      <c r="C37" s="33">
        <f>IF(B37&lt;=$B$3,'Index Returns'!C21*'SAA with CME'!D$17,IF(TAAPortfolioPerformance!B37&gt;TAAPortfolioPerformance!$B$4,"",'Index Returns'!C21*TAA!D$24))</f>
        <v/>
      </c>
      <c r="D37" s="33">
        <f>IF(C37&lt;=$B$3,'Index Returns'!D21*'SAA with CME'!E$17,IF(TAAPortfolioPerformance!C37&gt;TAAPortfolioPerformance!$B$4,"",'Index Returns'!D21*TAA!E$24))</f>
        <v/>
      </c>
      <c r="E37" s="33">
        <f>IF(D37&lt;=$B$3,'Index Returns'!E21*'SAA with CME'!F$17,IF(TAAPortfolioPerformance!D37&gt;TAAPortfolioPerformance!$B$4,"",'Index Returns'!E21*TAA!F$24))</f>
        <v/>
      </c>
      <c r="F37" s="33">
        <f>IF(E37&lt;=$B$3,'Index Returns'!F21*'SAA with CME'!G$17,IF(TAAPortfolioPerformance!E37&gt;TAAPortfolioPerformance!$B$4,"",'Index Returns'!F21*TAA!G$24))</f>
        <v/>
      </c>
      <c r="G37" s="33">
        <f>IF(F37&lt;=$B$3,'Index Returns'!G21*'SAA with CME'!H$17,IF(TAAPortfolioPerformance!F37&gt;TAAPortfolioPerformance!$B$4,"",'Index Returns'!G21*TAA!H$24))</f>
        <v/>
      </c>
      <c r="H37" s="33">
        <f>IF(G37="","",SUM(B37:G37))</f>
        <v/>
      </c>
      <c r="I37" s="38">
        <f>IF(G37="","",(MIN(H37-$B$12,0)^2))</f>
        <v/>
      </c>
    </row>
    <row r="38" ht="18" customHeight="1">
      <c r="A38" s="86" t="n">
        <v>43738</v>
      </c>
      <c r="B38" s="33">
        <f>IF(A38&lt;=$B$3,'Index Returns'!B22*'SAA with CME'!C$17,IF(TAAPortfolioPerformance!A38&gt;TAAPortfolioPerformance!$B$4,"",'Index Returns'!B22*TAA!C$24))</f>
        <v/>
      </c>
      <c r="C38" s="33">
        <f>IF(B38&lt;=$B$3,'Index Returns'!C22*'SAA with CME'!D$17,IF(TAAPortfolioPerformance!B38&gt;TAAPortfolioPerformance!$B$4,"",'Index Returns'!C22*TAA!D$24))</f>
        <v/>
      </c>
      <c r="D38" s="33">
        <f>IF(C38&lt;=$B$3,'Index Returns'!D22*'SAA with CME'!E$17,IF(TAAPortfolioPerformance!C38&gt;TAAPortfolioPerformance!$B$4,"",'Index Returns'!D22*TAA!E$24))</f>
        <v/>
      </c>
      <c r="E38" s="33">
        <f>IF(D38&lt;=$B$3,'Index Returns'!E22*'SAA with CME'!F$17,IF(TAAPortfolioPerformance!D38&gt;TAAPortfolioPerformance!$B$4,"",'Index Returns'!E22*TAA!F$24))</f>
        <v/>
      </c>
      <c r="F38" s="33">
        <f>IF(E38&lt;=$B$3,'Index Returns'!F22*'SAA with CME'!G$17,IF(TAAPortfolioPerformance!E38&gt;TAAPortfolioPerformance!$B$4,"",'Index Returns'!F22*TAA!G$24))</f>
        <v/>
      </c>
      <c r="G38" s="33">
        <f>IF(F38&lt;=$B$3,'Index Returns'!G22*'SAA with CME'!H$17,IF(TAAPortfolioPerformance!F38&gt;TAAPortfolioPerformance!$B$4,"",'Index Returns'!G22*TAA!H$24))</f>
        <v/>
      </c>
      <c r="H38" s="33">
        <f>IF(G38="","",SUM(B38:G38))</f>
        <v/>
      </c>
      <c r="I38" s="38">
        <f>IF(G38="","",(MIN(H38-$B$12,0)^2))</f>
        <v/>
      </c>
    </row>
    <row r="39" ht="18" customHeight="1">
      <c r="A39" s="86" t="n">
        <v>43769</v>
      </c>
      <c r="B39" s="33">
        <f>IF(A39&lt;=$B$3,'Index Returns'!B23*'SAA with CME'!C$17,IF(TAAPortfolioPerformance!A39&gt;TAAPortfolioPerformance!$B$4,"",'Index Returns'!B23*TAA!C$24))</f>
        <v/>
      </c>
      <c r="C39" s="33">
        <f>IF(B39&lt;=$B$3,'Index Returns'!C23*'SAA with CME'!D$17,IF(TAAPortfolioPerformance!B39&gt;TAAPortfolioPerformance!$B$4,"",'Index Returns'!C23*TAA!D$24))</f>
        <v/>
      </c>
      <c r="D39" s="33">
        <f>IF(C39&lt;=$B$3,'Index Returns'!D23*'SAA with CME'!E$17,IF(TAAPortfolioPerformance!C39&gt;TAAPortfolioPerformance!$B$4,"",'Index Returns'!D23*TAA!E$24))</f>
        <v/>
      </c>
      <c r="E39" s="33">
        <f>IF(D39&lt;=$B$3,'Index Returns'!E23*'SAA with CME'!F$17,IF(TAAPortfolioPerformance!D39&gt;TAAPortfolioPerformance!$B$4,"",'Index Returns'!E23*TAA!F$24))</f>
        <v/>
      </c>
      <c r="F39" s="33">
        <f>IF(E39&lt;=$B$3,'Index Returns'!F23*'SAA with CME'!G$17,IF(TAAPortfolioPerformance!E39&gt;TAAPortfolioPerformance!$B$4,"",'Index Returns'!F23*TAA!G$24))</f>
        <v/>
      </c>
      <c r="G39" s="33">
        <f>IF(F39&lt;=$B$3,'Index Returns'!G23*'SAA with CME'!H$17,IF(TAAPortfolioPerformance!F39&gt;TAAPortfolioPerformance!$B$4,"",'Index Returns'!G23*TAA!H$24))</f>
        <v/>
      </c>
      <c r="H39" s="33">
        <f>IF(G39="","",SUM(B39:G39))</f>
        <v/>
      </c>
      <c r="I39" s="38">
        <f>IF(G39="","",(MIN(H39-$B$12,0)^2))</f>
        <v/>
      </c>
    </row>
    <row r="40" ht="18" customHeight="1">
      <c r="A40" s="86" t="n">
        <v>43798</v>
      </c>
      <c r="B40" s="33">
        <f>IF(A40&lt;=$B$3,'Index Returns'!B24*'SAA with CME'!C$17,IF(TAAPortfolioPerformance!A40&gt;TAAPortfolioPerformance!$B$4,"",'Index Returns'!B24*TAA!C$24))</f>
        <v/>
      </c>
      <c r="C40" s="33">
        <f>IF(B40&lt;=$B$3,'Index Returns'!C24*'SAA with CME'!D$17,IF(TAAPortfolioPerformance!B40&gt;TAAPortfolioPerformance!$B$4,"",'Index Returns'!C24*TAA!D$24))</f>
        <v/>
      </c>
      <c r="D40" s="33">
        <f>IF(C40&lt;=$B$3,'Index Returns'!D24*'SAA with CME'!E$17,IF(TAAPortfolioPerformance!C40&gt;TAAPortfolioPerformance!$B$4,"",'Index Returns'!D24*TAA!E$24))</f>
        <v/>
      </c>
      <c r="E40" s="33">
        <f>IF(D40&lt;=$B$3,'Index Returns'!E24*'SAA with CME'!F$17,IF(TAAPortfolioPerformance!D40&gt;TAAPortfolioPerformance!$B$4,"",'Index Returns'!E24*TAA!F$24))</f>
        <v/>
      </c>
      <c r="F40" s="33">
        <f>IF(E40&lt;=$B$3,'Index Returns'!F24*'SAA with CME'!G$17,IF(TAAPortfolioPerformance!E40&gt;TAAPortfolioPerformance!$B$4,"",'Index Returns'!F24*TAA!G$24))</f>
        <v/>
      </c>
      <c r="G40" s="33">
        <f>IF(F40&lt;=$B$3,'Index Returns'!G24*'SAA with CME'!H$17,IF(TAAPortfolioPerformance!F40&gt;TAAPortfolioPerformance!$B$4,"",'Index Returns'!G24*TAA!H$24))</f>
        <v/>
      </c>
      <c r="H40" s="33">
        <f>IF(G40="","",SUM(B40:G40))</f>
        <v/>
      </c>
      <c r="I40" s="38">
        <f>IF(G40="","",(MIN(H40-$B$12,0)^2))</f>
        <v/>
      </c>
    </row>
    <row r="41" ht="18" customHeight="1">
      <c r="A41" s="86" t="n">
        <v>43830</v>
      </c>
      <c r="B41" s="33">
        <f>IF(A41&lt;=$B$3,'Index Returns'!B25*'SAA with CME'!C$17,IF(TAAPortfolioPerformance!A41&gt;TAAPortfolioPerformance!$B$4,"",'Index Returns'!B25*TAA!C$24))</f>
        <v/>
      </c>
      <c r="C41" s="33">
        <f>IF(B41&lt;=$B$3,'Index Returns'!C25*'SAA with CME'!D$17,IF(TAAPortfolioPerformance!B41&gt;TAAPortfolioPerformance!$B$4,"",'Index Returns'!C25*TAA!D$24))</f>
        <v/>
      </c>
      <c r="D41" s="33">
        <f>IF(C41&lt;=$B$3,'Index Returns'!D25*'SAA with CME'!E$17,IF(TAAPortfolioPerformance!C41&gt;TAAPortfolioPerformance!$B$4,"",'Index Returns'!D25*TAA!E$24))</f>
        <v/>
      </c>
      <c r="E41" s="33">
        <f>IF(D41&lt;=$B$3,'Index Returns'!E25*'SAA with CME'!F$17,IF(TAAPortfolioPerformance!D41&gt;TAAPortfolioPerformance!$B$4,"",'Index Returns'!E25*TAA!F$24))</f>
        <v/>
      </c>
      <c r="F41" s="33">
        <f>IF(E41&lt;=$B$3,'Index Returns'!F25*'SAA with CME'!G$17,IF(TAAPortfolioPerformance!E41&gt;TAAPortfolioPerformance!$B$4,"",'Index Returns'!F25*TAA!G$24))</f>
        <v/>
      </c>
      <c r="G41" s="33">
        <f>IF(F41&lt;=$B$3,'Index Returns'!G25*'SAA with CME'!H$17,IF(TAAPortfolioPerformance!F41&gt;TAAPortfolioPerformance!$B$4,"",'Index Returns'!G25*TAA!H$24))</f>
        <v/>
      </c>
      <c r="H41" s="33">
        <f>IF(G41="","",SUM(B41:G41))</f>
        <v/>
      </c>
      <c r="I41" s="38">
        <f>IF(G41="","",(MIN(H41-$B$12,0)^2))</f>
        <v/>
      </c>
    </row>
    <row r="42" ht="18" customHeight="1">
      <c r="A42" s="86" t="n">
        <v>43861</v>
      </c>
      <c r="B42" s="33">
        <f>IF(A42&lt;=$B$3,'Index Returns'!B26*'SAA with CME'!C$17,IF(TAAPortfolioPerformance!A42&gt;TAAPortfolioPerformance!$B$4,"",'Index Returns'!B26*TAA!C$24))</f>
        <v/>
      </c>
      <c r="C42" s="33">
        <f>IF(B42&lt;=$B$3,'Index Returns'!C26*'SAA with CME'!D$17,IF(TAAPortfolioPerformance!B42&gt;TAAPortfolioPerformance!$B$4,"",'Index Returns'!C26*TAA!D$24))</f>
        <v/>
      </c>
      <c r="D42" s="33">
        <f>IF(C42&lt;=$B$3,'Index Returns'!D26*'SAA with CME'!E$17,IF(TAAPortfolioPerformance!C42&gt;TAAPortfolioPerformance!$B$4,"",'Index Returns'!D26*TAA!E$24))</f>
        <v/>
      </c>
      <c r="E42" s="33">
        <f>IF(D42&lt;=$B$3,'Index Returns'!E26*'SAA with CME'!F$17,IF(TAAPortfolioPerformance!D42&gt;TAAPortfolioPerformance!$B$4,"",'Index Returns'!E26*TAA!F$24))</f>
        <v/>
      </c>
      <c r="F42" s="33">
        <f>IF(E42&lt;=$B$3,'Index Returns'!F26*'SAA with CME'!G$17,IF(TAAPortfolioPerformance!E42&gt;TAAPortfolioPerformance!$B$4,"",'Index Returns'!F26*TAA!G$24))</f>
        <v/>
      </c>
      <c r="G42" s="33">
        <f>IF(F42&lt;=$B$3,'Index Returns'!G26*'SAA with CME'!H$17,IF(TAAPortfolioPerformance!F42&gt;TAAPortfolioPerformance!$B$4,"",'Index Returns'!G26*TAA!H$24))</f>
        <v/>
      </c>
      <c r="H42" s="33">
        <f>IF(G42="","",SUM(B42:G42))</f>
        <v/>
      </c>
      <c r="I42" s="38">
        <f>IF(G42="","",(MIN(H42-$B$12,0)^2))</f>
        <v/>
      </c>
    </row>
    <row r="43" ht="18" customHeight="1">
      <c r="A43" s="86" t="n">
        <v>43889</v>
      </c>
      <c r="B43" s="33">
        <f>IF(A43&lt;=$B$3,'Index Returns'!B27*'SAA with CME'!C$17,IF(TAAPortfolioPerformance!A43&gt;TAAPortfolioPerformance!$B$4,"",'Index Returns'!B27*TAA!C$24))</f>
        <v/>
      </c>
      <c r="C43" s="33">
        <f>IF(B43&lt;=$B$3,'Index Returns'!C27*'SAA with CME'!D$17,IF(TAAPortfolioPerformance!B43&gt;TAAPortfolioPerformance!$B$4,"",'Index Returns'!C27*TAA!D$24))</f>
        <v/>
      </c>
      <c r="D43" s="33">
        <f>IF(C43&lt;=$B$3,'Index Returns'!D27*'SAA with CME'!E$17,IF(TAAPortfolioPerformance!C43&gt;TAAPortfolioPerformance!$B$4,"",'Index Returns'!D27*TAA!E$24))</f>
        <v/>
      </c>
      <c r="E43" s="33">
        <f>IF(D43&lt;=$B$3,'Index Returns'!E27*'SAA with CME'!F$17,IF(TAAPortfolioPerformance!D43&gt;TAAPortfolioPerformance!$B$4,"",'Index Returns'!E27*TAA!F$24))</f>
        <v/>
      </c>
      <c r="F43" s="33">
        <f>IF(E43&lt;=$B$3,'Index Returns'!F27*'SAA with CME'!G$17,IF(TAAPortfolioPerformance!E43&gt;TAAPortfolioPerformance!$B$4,"",'Index Returns'!F27*TAA!G$24))</f>
        <v/>
      </c>
      <c r="G43" s="33">
        <f>IF(F43&lt;=$B$3,'Index Returns'!G27*'SAA with CME'!H$17,IF(TAAPortfolioPerformance!F43&gt;TAAPortfolioPerformance!$B$4,"",'Index Returns'!G27*TAA!H$24))</f>
        <v/>
      </c>
      <c r="H43" s="33">
        <f>IF(G43="","",SUM(B43:G43))</f>
        <v/>
      </c>
      <c r="I43" s="38">
        <f>IF(G43="","",(MIN(H43-$B$12,0)^2))</f>
        <v/>
      </c>
    </row>
    <row r="44" ht="18" customHeight="1">
      <c r="A44" s="86" t="n">
        <v>43921</v>
      </c>
      <c r="B44" s="33">
        <f>IF(A44&lt;=$B$3,'Index Returns'!B28*'SAA with CME'!C$17,IF(TAAPortfolioPerformance!A44&gt;TAAPortfolioPerformance!$B$4,"",'Index Returns'!B28*TAA!C$24))</f>
        <v/>
      </c>
      <c r="C44" s="33">
        <f>IF(B44&lt;=$B$3,'Index Returns'!C28*'SAA with CME'!D$17,IF(TAAPortfolioPerformance!B44&gt;TAAPortfolioPerformance!$B$4,"",'Index Returns'!C28*TAA!D$24))</f>
        <v/>
      </c>
      <c r="D44" s="33">
        <f>IF(C44&lt;=$B$3,'Index Returns'!D28*'SAA with CME'!E$17,IF(TAAPortfolioPerformance!C44&gt;TAAPortfolioPerformance!$B$4,"",'Index Returns'!D28*TAA!E$24))</f>
        <v/>
      </c>
      <c r="E44" s="33">
        <f>IF(D44&lt;=$B$3,'Index Returns'!E28*'SAA with CME'!F$17,IF(TAAPortfolioPerformance!D44&gt;TAAPortfolioPerformance!$B$4,"",'Index Returns'!E28*TAA!F$24))</f>
        <v/>
      </c>
      <c r="F44" s="33">
        <f>IF(E44&lt;=$B$3,'Index Returns'!F28*'SAA with CME'!G$17,IF(TAAPortfolioPerformance!E44&gt;TAAPortfolioPerformance!$B$4,"",'Index Returns'!F28*TAA!G$24))</f>
        <v/>
      </c>
      <c r="G44" s="33">
        <f>IF(F44&lt;=$B$3,'Index Returns'!G28*'SAA with CME'!H$17,IF(TAAPortfolioPerformance!F44&gt;TAAPortfolioPerformance!$B$4,"",'Index Returns'!G28*TAA!H$24))</f>
        <v/>
      </c>
      <c r="H44" s="33">
        <f>IF(G44="","",SUM(B44:G44))</f>
        <v/>
      </c>
      <c r="I44" s="38">
        <f>IF(G44="","",(MIN(H44-$B$12,0)^2))</f>
        <v/>
      </c>
    </row>
    <row r="45" ht="18" customHeight="1">
      <c r="A45" s="86" t="n">
        <v>43951</v>
      </c>
      <c r="B45" s="33">
        <f>IF(A45&lt;=$B$3,'Index Returns'!B29*'SAA with CME'!C$17,IF(TAAPortfolioPerformance!A45&gt;TAAPortfolioPerformance!$B$4,"",'Index Returns'!B29*TAA!C$24))</f>
        <v/>
      </c>
      <c r="C45" s="33">
        <f>IF(B45&lt;=$B$3,'Index Returns'!C29*'SAA with CME'!D$17,IF(TAAPortfolioPerformance!B45&gt;TAAPortfolioPerformance!$B$4,"",'Index Returns'!C29*TAA!D$24))</f>
        <v/>
      </c>
      <c r="D45" s="33">
        <f>IF(C45&lt;=$B$3,'Index Returns'!D29*'SAA with CME'!E$17,IF(TAAPortfolioPerformance!C45&gt;TAAPortfolioPerformance!$B$4,"",'Index Returns'!D29*TAA!E$24))</f>
        <v/>
      </c>
      <c r="E45" s="33">
        <f>IF(D45&lt;=$B$3,'Index Returns'!E29*'SAA with CME'!F$17,IF(TAAPortfolioPerformance!D45&gt;TAAPortfolioPerformance!$B$4,"",'Index Returns'!E29*TAA!F$24))</f>
        <v/>
      </c>
      <c r="F45" s="33">
        <f>IF(E45&lt;=$B$3,'Index Returns'!F29*'SAA with CME'!G$17,IF(TAAPortfolioPerformance!E45&gt;TAAPortfolioPerformance!$B$4,"",'Index Returns'!F29*TAA!G$24))</f>
        <v/>
      </c>
      <c r="G45" s="33">
        <f>IF(F45&lt;=$B$3,'Index Returns'!G29*'SAA with CME'!H$17,IF(TAAPortfolioPerformance!F45&gt;TAAPortfolioPerformance!$B$4,"",'Index Returns'!G29*TAA!H$24))</f>
        <v/>
      </c>
      <c r="H45" s="33">
        <f>IF(G45="","",SUM(B45:G45))</f>
        <v/>
      </c>
      <c r="I45" s="38">
        <f>IF(G45="","",(MIN(H45-$B$12,0)^2))</f>
        <v/>
      </c>
    </row>
    <row r="46" ht="18" customHeight="1">
      <c r="A46" s="86" t="n">
        <v>43980</v>
      </c>
      <c r="B46" s="33">
        <f>IF(A46&lt;=$B$3,'Index Returns'!B30*'SAA with CME'!C$17,IF(TAAPortfolioPerformance!A46&gt;TAAPortfolioPerformance!$B$4,"",'Index Returns'!B30*TAA!C$24))</f>
        <v/>
      </c>
      <c r="C46" s="33">
        <f>IF(B46&lt;=$B$3,'Index Returns'!C30*'SAA with CME'!D$17,IF(TAAPortfolioPerformance!B46&gt;TAAPortfolioPerformance!$B$4,"",'Index Returns'!C30*TAA!D$24))</f>
        <v/>
      </c>
      <c r="D46" s="33">
        <f>IF(C46&lt;=$B$3,'Index Returns'!D30*'SAA with CME'!E$17,IF(TAAPortfolioPerformance!C46&gt;TAAPortfolioPerformance!$B$4,"",'Index Returns'!D30*TAA!E$24))</f>
        <v/>
      </c>
      <c r="E46" s="33">
        <f>IF(D46&lt;=$B$3,'Index Returns'!E30*'SAA with CME'!F$17,IF(TAAPortfolioPerformance!D46&gt;TAAPortfolioPerformance!$B$4,"",'Index Returns'!E30*TAA!F$24))</f>
        <v/>
      </c>
      <c r="F46" s="33">
        <f>IF(E46&lt;=$B$3,'Index Returns'!F30*'SAA with CME'!G$17,IF(TAAPortfolioPerformance!E46&gt;TAAPortfolioPerformance!$B$4,"",'Index Returns'!F30*TAA!G$24))</f>
        <v/>
      </c>
      <c r="G46" s="33">
        <f>IF(F46&lt;=$B$3,'Index Returns'!G30*'SAA with CME'!H$17,IF(TAAPortfolioPerformance!F46&gt;TAAPortfolioPerformance!$B$4,"",'Index Returns'!G30*TAA!H$24))</f>
        <v/>
      </c>
      <c r="H46" s="33">
        <f>IF(G46="","",SUM(B46:G46))</f>
        <v/>
      </c>
      <c r="I46" s="38">
        <f>IF(G46="","",(MIN(H46-$B$12,0)^2))</f>
        <v/>
      </c>
    </row>
    <row r="47" ht="18" customHeight="1">
      <c r="A47" s="86" t="n">
        <v>44012</v>
      </c>
      <c r="B47" s="33">
        <f>IF(A47&lt;=$B$3,'Index Returns'!B31*'SAA with CME'!C$17,IF(TAAPortfolioPerformance!A47&gt;TAAPortfolioPerformance!$B$4,"",'Index Returns'!B31*TAA!C$24))</f>
        <v/>
      </c>
      <c r="C47" s="33">
        <f>IF(B47&lt;=$B$3,'Index Returns'!C31*'SAA with CME'!D$17,IF(TAAPortfolioPerformance!B47&gt;TAAPortfolioPerformance!$B$4,"",'Index Returns'!C31*TAA!D$24))</f>
        <v/>
      </c>
      <c r="D47" s="33">
        <f>IF(C47&lt;=$B$3,'Index Returns'!D31*'SAA with CME'!E$17,IF(TAAPortfolioPerformance!C47&gt;TAAPortfolioPerformance!$B$4,"",'Index Returns'!D31*TAA!E$24))</f>
        <v/>
      </c>
      <c r="E47" s="33">
        <f>IF(D47&lt;=$B$3,'Index Returns'!E31*'SAA with CME'!F$17,IF(TAAPortfolioPerformance!D47&gt;TAAPortfolioPerformance!$B$4,"",'Index Returns'!E31*TAA!F$24))</f>
        <v/>
      </c>
      <c r="F47" s="33">
        <f>IF(E47&lt;=$B$3,'Index Returns'!F31*'SAA with CME'!G$17,IF(TAAPortfolioPerformance!E47&gt;TAAPortfolioPerformance!$B$4,"",'Index Returns'!F31*TAA!G$24))</f>
        <v/>
      </c>
      <c r="G47" s="33">
        <f>IF(F47&lt;=$B$3,'Index Returns'!G31*'SAA with CME'!H$17,IF(TAAPortfolioPerformance!F47&gt;TAAPortfolioPerformance!$B$4,"",'Index Returns'!G31*TAA!H$24))</f>
        <v/>
      </c>
      <c r="H47" s="33">
        <f>IF(G47="","",SUM(B47:G47))</f>
        <v/>
      </c>
      <c r="I47" s="38">
        <f>IF(G47="","",(MIN(H47-$B$12,0)^2))</f>
        <v/>
      </c>
    </row>
    <row r="48" ht="18" customHeight="1">
      <c r="A48" s="86" t="n">
        <v>44043</v>
      </c>
      <c r="B48" s="33">
        <f>IF(A48&lt;=$B$3,'Index Returns'!B32*'SAA with CME'!C$17,IF(TAAPortfolioPerformance!A48&gt;TAAPortfolioPerformance!$B$4,"",'Index Returns'!B32*TAA!C$24))</f>
        <v/>
      </c>
      <c r="C48" s="33">
        <f>IF(B48&lt;=$B$3,'Index Returns'!C32*'SAA with CME'!D$17,IF(TAAPortfolioPerformance!B48&gt;TAAPortfolioPerformance!$B$4,"",'Index Returns'!C32*TAA!D$24))</f>
        <v/>
      </c>
      <c r="D48" s="33">
        <f>IF(C48&lt;=$B$3,'Index Returns'!D32*'SAA with CME'!E$17,IF(TAAPortfolioPerformance!C48&gt;TAAPortfolioPerformance!$B$4,"",'Index Returns'!D32*TAA!E$24))</f>
        <v/>
      </c>
      <c r="E48" s="33">
        <f>IF(D48&lt;=$B$3,'Index Returns'!E32*'SAA with CME'!F$17,IF(TAAPortfolioPerformance!D48&gt;TAAPortfolioPerformance!$B$4,"",'Index Returns'!E32*TAA!F$24))</f>
        <v/>
      </c>
      <c r="F48" s="33">
        <f>IF(E48&lt;=$B$3,'Index Returns'!F32*'SAA with CME'!G$17,IF(TAAPortfolioPerformance!E48&gt;TAAPortfolioPerformance!$B$4,"",'Index Returns'!F32*TAA!G$24))</f>
        <v/>
      </c>
      <c r="G48" s="33">
        <f>IF(F48&lt;=$B$3,'Index Returns'!G32*'SAA with CME'!H$17,IF(TAAPortfolioPerformance!F48&gt;TAAPortfolioPerformance!$B$4,"",'Index Returns'!G32*TAA!H$24))</f>
        <v/>
      </c>
      <c r="H48" s="33">
        <f>IF(G48="","",SUM(B48:G48))</f>
        <v/>
      </c>
      <c r="I48" s="38">
        <f>IF(G48="","",(MIN(H48-$B$12,0)^2))</f>
        <v/>
      </c>
    </row>
    <row r="49" ht="18" customHeight="1">
      <c r="A49" s="86" t="n">
        <v>44074</v>
      </c>
      <c r="B49" s="33">
        <f>IF(A49&lt;=$B$3,'Index Returns'!B33*'SAA with CME'!C$17,IF(TAAPortfolioPerformance!A49&gt;TAAPortfolioPerformance!$B$4,"",'Index Returns'!B33*TAA!C$24))</f>
        <v/>
      </c>
      <c r="C49" s="33">
        <f>IF(B49&lt;=$B$3,'Index Returns'!C33*'SAA with CME'!D$17,IF(TAAPortfolioPerformance!B49&gt;TAAPortfolioPerformance!$B$4,"",'Index Returns'!C33*TAA!D$24))</f>
        <v/>
      </c>
      <c r="D49" s="33">
        <f>IF(C49&lt;=$B$3,'Index Returns'!D33*'SAA with CME'!E$17,IF(TAAPortfolioPerformance!C49&gt;TAAPortfolioPerformance!$B$4,"",'Index Returns'!D33*TAA!E$24))</f>
        <v/>
      </c>
      <c r="E49" s="33">
        <f>IF(D49&lt;=$B$3,'Index Returns'!E33*'SAA with CME'!F$17,IF(TAAPortfolioPerformance!D49&gt;TAAPortfolioPerformance!$B$4,"",'Index Returns'!E33*TAA!F$24))</f>
        <v/>
      </c>
      <c r="F49" s="33">
        <f>IF(E49&lt;=$B$3,'Index Returns'!F33*'SAA with CME'!G$17,IF(TAAPortfolioPerformance!E49&gt;TAAPortfolioPerformance!$B$4,"",'Index Returns'!F33*TAA!G$24))</f>
        <v/>
      </c>
      <c r="G49" s="33">
        <f>IF(F49&lt;=$B$3,'Index Returns'!G33*'SAA with CME'!H$17,IF(TAAPortfolioPerformance!F49&gt;TAAPortfolioPerformance!$B$4,"",'Index Returns'!G33*TAA!H$24))</f>
        <v/>
      </c>
      <c r="H49" s="33">
        <f>IF(G49="","",SUM(B49:G49))</f>
        <v/>
      </c>
      <c r="I49" s="38">
        <f>IF(G49="","",(MIN(H49-$B$12,0)^2))</f>
        <v/>
      </c>
    </row>
    <row r="50" ht="18" customHeight="1">
      <c r="A50" s="86" t="n">
        <v>44104</v>
      </c>
      <c r="B50" s="33">
        <f>IF(A50&lt;=$B$3,'Index Returns'!B34*'SAA with CME'!C$17,IF(TAAPortfolioPerformance!A50&gt;TAAPortfolioPerformance!$B$4,"",'Index Returns'!B34*TAA!C$24))</f>
        <v/>
      </c>
      <c r="C50" s="33">
        <f>IF(B50&lt;=$B$3,'Index Returns'!C34*'SAA with CME'!D$17,IF(TAAPortfolioPerformance!B50&gt;TAAPortfolioPerformance!$B$4,"",'Index Returns'!C34*TAA!D$24))</f>
        <v/>
      </c>
      <c r="D50" s="33">
        <f>IF(C50&lt;=$B$3,'Index Returns'!D34*'SAA with CME'!E$17,IF(TAAPortfolioPerformance!C50&gt;TAAPortfolioPerformance!$B$4,"",'Index Returns'!D34*TAA!E$24))</f>
        <v/>
      </c>
      <c r="E50" s="33">
        <f>IF(D50&lt;=$B$3,'Index Returns'!E34*'SAA with CME'!F$17,IF(TAAPortfolioPerformance!D50&gt;TAAPortfolioPerformance!$B$4,"",'Index Returns'!E34*TAA!F$24))</f>
        <v/>
      </c>
      <c r="F50" s="33">
        <f>IF(E50&lt;=$B$3,'Index Returns'!F34*'SAA with CME'!G$17,IF(TAAPortfolioPerformance!E50&gt;TAAPortfolioPerformance!$B$4,"",'Index Returns'!F34*TAA!G$24))</f>
        <v/>
      </c>
      <c r="G50" s="33">
        <f>IF(F50&lt;=$B$3,'Index Returns'!G34*'SAA with CME'!H$17,IF(TAAPortfolioPerformance!F50&gt;TAAPortfolioPerformance!$B$4,"",'Index Returns'!G34*TAA!H$24))</f>
        <v/>
      </c>
      <c r="H50" s="33">
        <f>IF(G50="","",SUM(B50:G50))</f>
        <v/>
      </c>
      <c r="I50" s="38">
        <f>IF(G50="","",(MIN(H50-$B$12,0)^2))</f>
        <v/>
      </c>
    </row>
    <row r="51" ht="18" customHeight="1">
      <c r="A51" s="86" t="n">
        <v>44134</v>
      </c>
      <c r="B51" s="33">
        <f>IF(A51&lt;=$B$3,'Index Returns'!B35*'SAA with CME'!C$17,IF(TAAPortfolioPerformance!A51&gt;TAAPortfolioPerformance!$B$4,"",'Index Returns'!B35*TAA!C$24))</f>
        <v/>
      </c>
      <c r="C51" s="33">
        <f>IF(B51&lt;=$B$3,'Index Returns'!C35*'SAA with CME'!D$17,IF(TAAPortfolioPerformance!B51&gt;TAAPortfolioPerformance!$B$4,"",'Index Returns'!C35*TAA!D$24))</f>
        <v/>
      </c>
      <c r="D51" s="33">
        <f>IF(C51&lt;=$B$3,'Index Returns'!D35*'SAA with CME'!E$17,IF(TAAPortfolioPerformance!C51&gt;TAAPortfolioPerformance!$B$4,"",'Index Returns'!D35*TAA!E$24))</f>
        <v/>
      </c>
      <c r="E51" s="33">
        <f>IF(D51&lt;=$B$3,'Index Returns'!E35*'SAA with CME'!F$17,IF(TAAPortfolioPerformance!D51&gt;TAAPortfolioPerformance!$B$4,"",'Index Returns'!E35*TAA!F$24))</f>
        <v/>
      </c>
      <c r="F51" s="33">
        <f>IF(E51&lt;=$B$3,'Index Returns'!F35*'SAA with CME'!G$17,IF(TAAPortfolioPerformance!E51&gt;TAAPortfolioPerformance!$B$4,"",'Index Returns'!F35*TAA!G$24))</f>
        <v/>
      </c>
      <c r="G51" s="33">
        <f>IF(F51&lt;=$B$3,'Index Returns'!G35*'SAA with CME'!H$17,IF(TAAPortfolioPerformance!F51&gt;TAAPortfolioPerformance!$B$4,"",'Index Returns'!G35*TAA!H$24))</f>
        <v/>
      </c>
      <c r="H51" s="33">
        <f>IF(G51="","",SUM(B51:G51))</f>
        <v/>
      </c>
      <c r="I51" s="38">
        <f>IF(G51="","",(MIN(H51-$B$12,0)^2))</f>
        <v/>
      </c>
    </row>
    <row r="52" ht="18" customHeight="1">
      <c r="A52" s="86" t="n">
        <v>44165</v>
      </c>
      <c r="B52" s="33">
        <f>IF(A52&lt;=$B$3,'Index Returns'!B36*'SAA with CME'!C$17,IF(TAAPortfolioPerformance!A52&gt;TAAPortfolioPerformance!$B$4,"",'Index Returns'!B36*TAA!C$24))</f>
        <v/>
      </c>
      <c r="C52" s="33">
        <f>IF(B52&lt;=$B$3,'Index Returns'!C36*'SAA with CME'!D$17,IF(TAAPortfolioPerformance!B52&gt;TAAPortfolioPerformance!$B$4,"",'Index Returns'!C36*TAA!D$24))</f>
        <v/>
      </c>
      <c r="D52" s="33">
        <f>IF(C52&lt;=$B$3,'Index Returns'!D36*'SAA with CME'!E$17,IF(TAAPortfolioPerformance!C52&gt;TAAPortfolioPerformance!$B$4,"",'Index Returns'!D36*TAA!E$24))</f>
        <v/>
      </c>
      <c r="E52" s="33">
        <f>IF(D52&lt;=$B$3,'Index Returns'!E36*'SAA with CME'!F$17,IF(TAAPortfolioPerformance!D52&gt;TAAPortfolioPerformance!$B$4,"",'Index Returns'!E36*TAA!F$24))</f>
        <v/>
      </c>
      <c r="F52" s="33">
        <f>IF(E52&lt;=$B$3,'Index Returns'!F36*'SAA with CME'!G$17,IF(TAAPortfolioPerformance!E52&gt;TAAPortfolioPerformance!$B$4,"",'Index Returns'!F36*TAA!G$24))</f>
        <v/>
      </c>
      <c r="G52" s="33">
        <f>IF(F52&lt;=$B$3,'Index Returns'!G36*'SAA with CME'!H$17,IF(TAAPortfolioPerformance!F52&gt;TAAPortfolioPerformance!$B$4,"",'Index Returns'!G36*TAA!H$24))</f>
        <v/>
      </c>
      <c r="H52" s="33">
        <f>IF(G52="","",SUM(B52:G52))</f>
        <v/>
      </c>
      <c r="I52" s="38">
        <f>IF(G52="","",(MIN(H52-$B$12,0)^2))</f>
        <v/>
      </c>
    </row>
    <row r="53" ht="18" customHeight="1">
      <c r="A53" s="86" t="n">
        <v>44196</v>
      </c>
      <c r="B53" s="33">
        <f>IF(A53&lt;=$B$3,'Index Returns'!B37*'SAA with CME'!C$17,IF(TAAPortfolioPerformance!A53&gt;TAAPortfolioPerformance!$B$4,"",'Index Returns'!B37*TAA!C$24))</f>
        <v/>
      </c>
      <c r="C53" s="33">
        <f>IF(B53&lt;=$B$3,'Index Returns'!C37*'SAA with CME'!D$17,IF(TAAPortfolioPerformance!B53&gt;TAAPortfolioPerformance!$B$4,"",'Index Returns'!C37*TAA!D$24))</f>
        <v/>
      </c>
      <c r="D53" s="33">
        <f>IF(C53&lt;=$B$3,'Index Returns'!D37*'SAA with CME'!E$17,IF(TAAPortfolioPerformance!C53&gt;TAAPortfolioPerformance!$B$4,"",'Index Returns'!D37*TAA!E$24))</f>
        <v/>
      </c>
      <c r="E53" s="33">
        <f>IF(D53&lt;=$B$3,'Index Returns'!E37*'SAA with CME'!F$17,IF(TAAPortfolioPerformance!D53&gt;TAAPortfolioPerformance!$B$4,"",'Index Returns'!E37*TAA!F$24))</f>
        <v/>
      </c>
      <c r="F53" s="33">
        <f>IF(E53&lt;=$B$3,'Index Returns'!F37*'SAA with CME'!G$17,IF(TAAPortfolioPerformance!E53&gt;TAAPortfolioPerformance!$B$4,"",'Index Returns'!F37*TAA!G$24))</f>
        <v/>
      </c>
      <c r="G53" s="33">
        <f>IF(F53&lt;=$B$3,'Index Returns'!G37*'SAA with CME'!H$17,IF(TAAPortfolioPerformance!F53&gt;TAAPortfolioPerformance!$B$4,"",'Index Returns'!G37*TAA!H$24))</f>
        <v/>
      </c>
      <c r="H53" s="33">
        <f>IF(G53="","",SUM(B53:G53))</f>
        <v/>
      </c>
      <c r="I53" s="38">
        <f>IF(G53="","",(MIN(H53-$B$12,0)^2))</f>
        <v/>
      </c>
    </row>
    <row r="54" ht="18" customHeight="1">
      <c r="A54" s="86" t="n">
        <v>44225</v>
      </c>
      <c r="B54" s="33">
        <f>IF(A54&lt;=$B$3,'Index Returns'!B38*'SAA with CME'!C$17,IF(TAAPortfolioPerformance!A54&gt;TAAPortfolioPerformance!$B$4,"",'Index Returns'!B38*TAA!C$24))</f>
        <v/>
      </c>
      <c r="C54" s="33">
        <f>IF(B54&lt;=$B$3,'Index Returns'!C38*'SAA with CME'!D$17,IF(TAAPortfolioPerformance!B54&gt;TAAPortfolioPerformance!$B$4,"",'Index Returns'!C38*TAA!D$24))</f>
        <v/>
      </c>
      <c r="D54" s="33">
        <f>IF(C54&lt;=$B$3,'Index Returns'!D38*'SAA with CME'!E$17,IF(TAAPortfolioPerformance!C54&gt;TAAPortfolioPerformance!$B$4,"",'Index Returns'!D38*TAA!E$24))</f>
        <v/>
      </c>
      <c r="E54" s="33">
        <f>IF(D54&lt;=$B$3,'Index Returns'!E38*'SAA with CME'!F$17,IF(TAAPortfolioPerformance!D54&gt;TAAPortfolioPerformance!$B$4,"",'Index Returns'!E38*TAA!F$24))</f>
        <v/>
      </c>
      <c r="F54" s="33">
        <f>IF(E54&lt;=$B$3,'Index Returns'!F38*'SAA with CME'!G$17,IF(TAAPortfolioPerformance!E54&gt;TAAPortfolioPerformance!$B$4,"",'Index Returns'!F38*TAA!G$24))</f>
        <v/>
      </c>
      <c r="G54" s="33">
        <f>IF(F54&lt;=$B$3,'Index Returns'!G38*'SAA with CME'!H$17,IF(TAAPortfolioPerformance!F54&gt;TAAPortfolioPerformance!$B$4,"",'Index Returns'!G38*TAA!H$24))</f>
        <v/>
      </c>
      <c r="H54" s="33">
        <f>IF(G54="","",SUM(B54:G54))</f>
        <v/>
      </c>
      <c r="I54" s="38">
        <f>IF(G54="","",(MIN(H54-$B$12,0)^2))</f>
        <v/>
      </c>
    </row>
    <row r="55" ht="18" customHeight="1">
      <c r="A55" s="86" t="n">
        <v>44253</v>
      </c>
      <c r="B55" s="33">
        <f>IF(A55&lt;=$B$3,'Index Returns'!B39*'SAA with CME'!C$17,IF(TAAPortfolioPerformance!A55&gt;TAAPortfolioPerformance!$B$4,"",'Index Returns'!B39*TAA!C$24))</f>
        <v/>
      </c>
      <c r="C55" s="33">
        <f>IF(B55&lt;=$B$3,'Index Returns'!C39*'SAA with CME'!D$17,IF(TAAPortfolioPerformance!B55&gt;TAAPortfolioPerformance!$B$4,"",'Index Returns'!C39*TAA!D$24))</f>
        <v/>
      </c>
      <c r="D55" s="33">
        <f>IF(C55&lt;=$B$3,'Index Returns'!D39*'SAA with CME'!E$17,IF(TAAPortfolioPerformance!C55&gt;TAAPortfolioPerformance!$B$4,"",'Index Returns'!D39*TAA!E$24))</f>
        <v/>
      </c>
      <c r="E55" s="33">
        <f>IF(D55&lt;=$B$3,'Index Returns'!E39*'SAA with CME'!F$17,IF(TAAPortfolioPerformance!D55&gt;TAAPortfolioPerformance!$B$4,"",'Index Returns'!E39*TAA!F$24))</f>
        <v/>
      </c>
      <c r="F55" s="33">
        <f>IF(E55&lt;=$B$3,'Index Returns'!F39*'SAA with CME'!G$17,IF(TAAPortfolioPerformance!E55&gt;TAAPortfolioPerformance!$B$4,"",'Index Returns'!F39*TAA!G$24))</f>
        <v/>
      </c>
      <c r="G55" s="33">
        <f>IF(F55&lt;=$B$3,'Index Returns'!G39*'SAA with CME'!H$17,IF(TAAPortfolioPerformance!F55&gt;TAAPortfolioPerformance!$B$4,"",'Index Returns'!G39*TAA!H$24))</f>
        <v/>
      </c>
      <c r="H55" s="33">
        <f>IF(G55="","",SUM(B55:G55))</f>
        <v/>
      </c>
      <c r="I55" s="38">
        <f>IF(G55="","",(MIN(H55-$B$12,0)^2))</f>
        <v/>
      </c>
    </row>
    <row r="56" ht="18" customHeight="1">
      <c r="A56" s="86" t="n">
        <v>44286</v>
      </c>
      <c r="B56" s="33">
        <f>IF(A56&lt;=$B$3,'Index Returns'!B40*'SAA with CME'!C$17,IF(TAAPortfolioPerformance!A56&gt;TAAPortfolioPerformance!$B$4,"",'Index Returns'!B40*TAA!C$24))</f>
        <v/>
      </c>
      <c r="C56" s="33">
        <f>IF(B56&lt;=$B$3,'Index Returns'!C40*'SAA with CME'!D$17,IF(TAAPortfolioPerformance!B56&gt;TAAPortfolioPerformance!$B$4,"",'Index Returns'!C40*TAA!D$24))</f>
        <v/>
      </c>
      <c r="D56" s="33">
        <f>IF(C56&lt;=$B$3,'Index Returns'!D40*'SAA with CME'!E$17,IF(TAAPortfolioPerformance!C56&gt;TAAPortfolioPerformance!$B$4,"",'Index Returns'!D40*TAA!E$24))</f>
        <v/>
      </c>
      <c r="E56" s="33">
        <f>IF(D56&lt;=$B$3,'Index Returns'!E40*'SAA with CME'!F$17,IF(TAAPortfolioPerformance!D56&gt;TAAPortfolioPerformance!$B$4,"",'Index Returns'!E40*TAA!F$24))</f>
        <v/>
      </c>
      <c r="F56" s="33">
        <f>IF(E56&lt;=$B$3,'Index Returns'!F40*'SAA with CME'!G$17,IF(TAAPortfolioPerformance!E56&gt;TAAPortfolioPerformance!$B$4,"",'Index Returns'!F40*TAA!G$24))</f>
        <v/>
      </c>
      <c r="G56" s="33">
        <f>IF(F56&lt;=$B$3,'Index Returns'!G40*'SAA with CME'!H$17,IF(TAAPortfolioPerformance!F56&gt;TAAPortfolioPerformance!$B$4,"",'Index Returns'!G40*TAA!H$24))</f>
        <v/>
      </c>
      <c r="H56" s="33">
        <f>IF(G56="","",SUM(B56:G56))</f>
        <v/>
      </c>
      <c r="I56" s="38">
        <f>IF(G56="","",(MIN(H56-$B$12,0)^2))</f>
        <v/>
      </c>
    </row>
    <row r="57" ht="18" customHeight="1">
      <c r="A57" s="86" t="n">
        <v>44316</v>
      </c>
      <c r="B57" s="33">
        <f>IF(A57&lt;=$B$3,'Index Returns'!B41*'SAA with CME'!C$17,IF(TAAPortfolioPerformance!A57&gt;TAAPortfolioPerformance!$B$4,"",'Index Returns'!B41*TAA!C$24))</f>
        <v/>
      </c>
      <c r="C57" s="33">
        <f>IF(B57&lt;=$B$3,'Index Returns'!C41*'SAA with CME'!D$17,IF(TAAPortfolioPerformance!B57&gt;TAAPortfolioPerformance!$B$4,"",'Index Returns'!C41*TAA!D$24))</f>
        <v/>
      </c>
      <c r="D57" s="33">
        <f>IF(C57&lt;=$B$3,'Index Returns'!D41*'SAA with CME'!E$17,IF(TAAPortfolioPerformance!C57&gt;TAAPortfolioPerformance!$B$4,"",'Index Returns'!D41*TAA!E$24))</f>
        <v/>
      </c>
      <c r="E57" s="33">
        <f>IF(D57&lt;=$B$3,'Index Returns'!E41*'SAA with CME'!F$17,IF(TAAPortfolioPerformance!D57&gt;TAAPortfolioPerformance!$B$4,"",'Index Returns'!E41*TAA!F$24))</f>
        <v/>
      </c>
      <c r="F57" s="33">
        <f>IF(E57&lt;=$B$3,'Index Returns'!F41*'SAA with CME'!G$17,IF(TAAPortfolioPerformance!E57&gt;TAAPortfolioPerformance!$B$4,"",'Index Returns'!F41*TAA!G$24))</f>
        <v/>
      </c>
      <c r="G57" s="33">
        <f>IF(F57&lt;=$B$3,'Index Returns'!G41*'SAA with CME'!H$17,IF(TAAPortfolioPerformance!F57&gt;TAAPortfolioPerformance!$B$4,"",'Index Returns'!G41*TAA!H$24))</f>
        <v/>
      </c>
      <c r="H57" s="33">
        <f>IF(G57="","",SUM(B57:G57))</f>
        <v/>
      </c>
      <c r="I57" s="38">
        <f>IF(G57="","",(MIN(H57-$B$12,0)^2))</f>
        <v/>
      </c>
    </row>
    <row r="58" ht="18" customHeight="1">
      <c r="A58" s="86" t="n">
        <v>44347</v>
      </c>
      <c r="B58" s="33">
        <f>IF(A58&lt;=$B$3,'Index Returns'!B42*'SAA with CME'!C$17,IF(TAAPortfolioPerformance!A58&gt;TAAPortfolioPerformance!$B$4,"",'Index Returns'!B42*TAA!C$24))</f>
        <v/>
      </c>
      <c r="C58" s="33">
        <f>IF(B58&lt;=$B$3,'Index Returns'!C42*'SAA with CME'!D$17,IF(TAAPortfolioPerformance!B58&gt;TAAPortfolioPerformance!$B$4,"",'Index Returns'!C42*TAA!D$24))</f>
        <v/>
      </c>
      <c r="D58" s="33">
        <f>IF(C58&lt;=$B$3,'Index Returns'!D42*'SAA with CME'!E$17,IF(TAAPortfolioPerformance!C58&gt;TAAPortfolioPerformance!$B$4,"",'Index Returns'!D42*TAA!E$24))</f>
        <v/>
      </c>
      <c r="E58" s="33">
        <f>IF(D58&lt;=$B$3,'Index Returns'!E42*'SAA with CME'!F$17,IF(TAAPortfolioPerformance!D58&gt;TAAPortfolioPerformance!$B$4,"",'Index Returns'!E42*TAA!F$24))</f>
        <v/>
      </c>
      <c r="F58" s="33">
        <f>IF(E58&lt;=$B$3,'Index Returns'!F42*'SAA with CME'!G$17,IF(TAAPortfolioPerformance!E58&gt;TAAPortfolioPerformance!$B$4,"",'Index Returns'!F42*TAA!G$24))</f>
        <v/>
      </c>
      <c r="G58" s="33">
        <f>IF(F58&lt;=$B$3,'Index Returns'!G42*'SAA with CME'!H$17,IF(TAAPortfolioPerformance!F58&gt;TAAPortfolioPerformance!$B$4,"",'Index Returns'!G42*TAA!H$24))</f>
        <v/>
      </c>
      <c r="H58" s="33">
        <f>IF(G58="","",SUM(B58:G58))</f>
        <v/>
      </c>
      <c r="I58" s="38">
        <f>IF(G58="","",(MIN(H58-$B$12,0)^2))</f>
        <v/>
      </c>
    </row>
    <row r="59" ht="18" customHeight="1">
      <c r="A59" s="86" t="n">
        <v>44377</v>
      </c>
      <c r="B59" s="33">
        <f>IF(A59&lt;=$B$3,'Index Returns'!B43*'SAA with CME'!C$17,IF(TAAPortfolioPerformance!A59&gt;TAAPortfolioPerformance!$B$4,"",'Index Returns'!B43*TAA!C$24))</f>
        <v/>
      </c>
      <c r="C59" s="33">
        <f>IF(B59&lt;=$B$3,'Index Returns'!C43*'SAA with CME'!D$17,IF(TAAPortfolioPerformance!B59&gt;TAAPortfolioPerformance!$B$4,"",'Index Returns'!C43*TAA!D$24))</f>
        <v/>
      </c>
      <c r="D59" s="33">
        <f>IF(C59&lt;=$B$3,'Index Returns'!D43*'SAA with CME'!E$17,IF(TAAPortfolioPerformance!C59&gt;TAAPortfolioPerformance!$B$4,"",'Index Returns'!D43*TAA!E$24))</f>
        <v/>
      </c>
      <c r="E59" s="33">
        <f>IF(D59&lt;=$B$3,'Index Returns'!E43*'SAA with CME'!F$17,IF(TAAPortfolioPerformance!D59&gt;TAAPortfolioPerformance!$B$4,"",'Index Returns'!E43*TAA!F$24))</f>
        <v/>
      </c>
      <c r="F59" s="33">
        <f>IF(E59&lt;=$B$3,'Index Returns'!F43*'SAA with CME'!G$17,IF(TAAPortfolioPerformance!E59&gt;TAAPortfolioPerformance!$B$4,"",'Index Returns'!F43*TAA!G$24))</f>
        <v/>
      </c>
      <c r="G59" s="33">
        <f>IF(F59&lt;=$B$3,'Index Returns'!G43*'SAA with CME'!H$17,IF(TAAPortfolioPerformance!F59&gt;TAAPortfolioPerformance!$B$4,"",'Index Returns'!G43*TAA!H$24))</f>
        <v/>
      </c>
      <c r="H59" s="33">
        <f>IF(G59="","",SUM(B59:G59))</f>
        <v/>
      </c>
      <c r="I59" s="38">
        <f>IF(G59="","",(MIN(H59-$B$12,0)^2))</f>
        <v/>
      </c>
    </row>
    <row r="60" ht="18" customHeight="1">
      <c r="A60" s="86" t="n">
        <v>44407</v>
      </c>
      <c r="B60" s="33">
        <f>IF(A60&lt;=$B$3,'Index Returns'!B44*'SAA with CME'!C$17,IF(TAAPortfolioPerformance!A60&gt;TAAPortfolioPerformance!$B$4,"",'Index Returns'!B44*TAA!C$24))</f>
        <v/>
      </c>
      <c r="C60" s="33">
        <f>IF(B60&lt;=$B$3,'Index Returns'!C44*'SAA with CME'!D$17,IF(TAAPortfolioPerformance!B60&gt;TAAPortfolioPerformance!$B$4,"",'Index Returns'!C44*TAA!D$24))</f>
        <v/>
      </c>
      <c r="D60" s="33">
        <f>IF(C60&lt;=$B$3,'Index Returns'!D44*'SAA with CME'!E$17,IF(TAAPortfolioPerformance!C60&gt;TAAPortfolioPerformance!$B$4,"",'Index Returns'!D44*TAA!E$24))</f>
        <v/>
      </c>
      <c r="E60" s="33">
        <f>IF(D60&lt;=$B$3,'Index Returns'!E44*'SAA with CME'!F$17,IF(TAAPortfolioPerformance!D60&gt;TAAPortfolioPerformance!$B$4,"",'Index Returns'!E44*TAA!F$24))</f>
        <v/>
      </c>
      <c r="F60" s="33">
        <f>IF(E60&lt;=$B$3,'Index Returns'!F44*'SAA with CME'!G$17,IF(TAAPortfolioPerformance!E60&gt;TAAPortfolioPerformance!$B$4,"",'Index Returns'!F44*TAA!G$24))</f>
        <v/>
      </c>
      <c r="G60" s="33">
        <f>IF(F60&lt;=$B$3,'Index Returns'!G44*'SAA with CME'!H$17,IF(TAAPortfolioPerformance!F60&gt;TAAPortfolioPerformance!$B$4,"",'Index Returns'!G44*TAA!H$24))</f>
        <v/>
      </c>
      <c r="H60" s="33">
        <f>IF(G60="","",SUM(B60:G60))</f>
        <v/>
      </c>
      <c r="I60" s="38">
        <f>IF(G60="","",(MIN(H60-$B$12,0)^2))</f>
        <v/>
      </c>
    </row>
    <row r="61" ht="18" customHeight="1">
      <c r="A61" s="86" t="n">
        <v>44439</v>
      </c>
      <c r="B61" s="33">
        <f>IF(A61&lt;=$B$3,'Index Returns'!B45*'SAA with CME'!C$17,IF(TAAPortfolioPerformance!A61&gt;TAAPortfolioPerformance!$B$4,"",'Index Returns'!B45*TAA!C$24))</f>
        <v/>
      </c>
      <c r="C61" s="33">
        <f>IF(B61&lt;=$B$3,'Index Returns'!C45*'SAA with CME'!D$17,IF(TAAPortfolioPerformance!B61&gt;TAAPortfolioPerformance!$B$4,"",'Index Returns'!C45*TAA!D$24))</f>
        <v/>
      </c>
      <c r="D61" s="33">
        <f>IF(C61&lt;=$B$3,'Index Returns'!D45*'SAA with CME'!E$17,IF(TAAPortfolioPerformance!C61&gt;TAAPortfolioPerformance!$B$4,"",'Index Returns'!D45*TAA!E$24))</f>
        <v/>
      </c>
      <c r="E61" s="33">
        <f>IF(D61&lt;=$B$3,'Index Returns'!E45*'SAA with CME'!F$17,IF(TAAPortfolioPerformance!D61&gt;TAAPortfolioPerformance!$B$4,"",'Index Returns'!E45*TAA!F$24))</f>
        <v/>
      </c>
      <c r="F61" s="33">
        <f>IF(E61&lt;=$B$3,'Index Returns'!F45*'SAA with CME'!G$17,IF(TAAPortfolioPerformance!E61&gt;TAAPortfolioPerformance!$B$4,"",'Index Returns'!F45*TAA!G$24))</f>
        <v/>
      </c>
      <c r="G61" s="33">
        <f>IF(F61&lt;=$B$3,'Index Returns'!G45*'SAA with CME'!H$17,IF(TAAPortfolioPerformance!F61&gt;TAAPortfolioPerformance!$B$4,"",'Index Returns'!G45*TAA!H$24))</f>
        <v/>
      </c>
      <c r="H61" s="33">
        <f>IF(G61="","",SUM(B61:G61))</f>
        <v/>
      </c>
      <c r="I61" s="38">
        <f>IF(G61="","",(MIN(H61-$B$12,0)^2))</f>
        <v/>
      </c>
    </row>
    <row r="62" ht="18" customHeight="1">
      <c r="A62" s="86" t="n">
        <v>44469</v>
      </c>
      <c r="B62" s="33">
        <f>IF(A62&lt;=$B$3,'Index Returns'!B46*'SAA with CME'!C$17,IF(TAAPortfolioPerformance!A62&gt;TAAPortfolioPerformance!$B$4,"",'Index Returns'!B46*TAA!C$24))</f>
        <v/>
      </c>
      <c r="C62" s="33">
        <f>IF(B62&lt;=$B$3,'Index Returns'!C46*'SAA with CME'!D$17,IF(TAAPortfolioPerformance!B62&gt;TAAPortfolioPerformance!$B$4,"",'Index Returns'!C46*TAA!D$24))</f>
        <v/>
      </c>
      <c r="D62" s="33">
        <f>IF(C62&lt;=$B$3,'Index Returns'!D46*'SAA with CME'!E$17,IF(TAAPortfolioPerformance!C62&gt;TAAPortfolioPerformance!$B$4,"",'Index Returns'!D46*TAA!E$24))</f>
        <v/>
      </c>
      <c r="E62" s="33">
        <f>IF(D62&lt;=$B$3,'Index Returns'!E46*'SAA with CME'!F$17,IF(TAAPortfolioPerformance!D62&gt;TAAPortfolioPerformance!$B$4,"",'Index Returns'!E46*TAA!F$24))</f>
        <v/>
      </c>
      <c r="F62" s="33">
        <f>IF(E62&lt;=$B$3,'Index Returns'!F46*'SAA with CME'!G$17,IF(TAAPortfolioPerformance!E62&gt;TAAPortfolioPerformance!$B$4,"",'Index Returns'!F46*TAA!G$24))</f>
        <v/>
      </c>
      <c r="G62" s="33">
        <f>IF(F62&lt;=$B$3,'Index Returns'!G46*'SAA with CME'!H$17,IF(TAAPortfolioPerformance!F62&gt;TAAPortfolioPerformance!$B$4,"",'Index Returns'!G46*TAA!H$24))</f>
        <v/>
      </c>
      <c r="H62" s="33">
        <f>IF(G62="","",SUM(B62:G62))</f>
        <v/>
      </c>
      <c r="I62" s="38">
        <f>IF(G62="","",(MIN(H62-$B$12,0)^2))</f>
        <v/>
      </c>
    </row>
    <row r="63" ht="18" customHeight="1">
      <c r="A63" s="86" t="n">
        <v>44498</v>
      </c>
      <c r="B63" s="33">
        <f>IF(A63&lt;=$B$3,'Index Returns'!B47*'SAA with CME'!C$17,IF(TAAPortfolioPerformance!A63&gt;TAAPortfolioPerformance!$B$4,"",'Index Returns'!B47*TAA!C$24))</f>
        <v/>
      </c>
      <c r="C63" s="33">
        <f>IF(B63&lt;=$B$3,'Index Returns'!C47*'SAA with CME'!D$17,IF(TAAPortfolioPerformance!B63&gt;TAAPortfolioPerformance!$B$4,"",'Index Returns'!C47*TAA!D$24))</f>
        <v/>
      </c>
      <c r="D63" s="33">
        <f>IF(C63&lt;=$B$3,'Index Returns'!D47*'SAA with CME'!E$17,IF(TAAPortfolioPerformance!C63&gt;TAAPortfolioPerformance!$B$4,"",'Index Returns'!D47*TAA!E$24))</f>
        <v/>
      </c>
      <c r="E63" s="33">
        <f>IF(D63&lt;=$B$3,'Index Returns'!E47*'SAA with CME'!F$17,IF(TAAPortfolioPerformance!D63&gt;TAAPortfolioPerformance!$B$4,"",'Index Returns'!E47*TAA!F$24))</f>
        <v/>
      </c>
      <c r="F63" s="33">
        <f>IF(E63&lt;=$B$3,'Index Returns'!F47*'SAA with CME'!G$17,IF(TAAPortfolioPerformance!E63&gt;TAAPortfolioPerformance!$B$4,"",'Index Returns'!F47*TAA!G$24))</f>
        <v/>
      </c>
      <c r="G63" s="33">
        <f>IF(F63&lt;=$B$3,'Index Returns'!G47*'SAA with CME'!H$17,IF(TAAPortfolioPerformance!F63&gt;TAAPortfolioPerformance!$B$4,"",'Index Returns'!G47*TAA!H$24))</f>
        <v/>
      </c>
      <c r="H63" s="33">
        <f>IF(G63="","",SUM(B63:G63))</f>
        <v/>
      </c>
      <c r="I63" s="38">
        <f>IF(G63="","",(MIN(H63-$B$12,0)^2))</f>
        <v/>
      </c>
    </row>
    <row r="64" ht="18" customHeight="1">
      <c r="A64" s="86" t="n">
        <v>44530</v>
      </c>
      <c r="B64" s="33">
        <f>IF(A64&lt;=$B$3,'Index Returns'!B48*'SAA with CME'!C$17,IF(TAAPortfolioPerformance!A64&gt;TAAPortfolioPerformance!$B$4,"",'Index Returns'!B48*TAA!C$24))</f>
        <v/>
      </c>
      <c r="C64" s="33">
        <f>IF(B64&lt;=$B$3,'Index Returns'!C48*'SAA with CME'!D$17,IF(TAAPortfolioPerformance!B64&gt;TAAPortfolioPerformance!$B$4,"",'Index Returns'!C48*TAA!D$24))</f>
        <v/>
      </c>
      <c r="D64" s="33">
        <f>IF(C64&lt;=$B$3,'Index Returns'!D48*'SAA with CME'!E$17,IF(TAAPortfolioPerformance!C64&gt;TAAPortfolioPerformance!$B$4,"",'Index Returns'!D48*TAA!E$24))</f>
        <v/>
      </c>
      <c r="E64" s="33">
        <f>IF(D64&lt;=$B$3,'Index Returns'!E48*'SAA with CME'!F$17,IF(TAAPortfolioPerformance!D64&gt;TAAPortfolioPerformance!$B$4,"",'Index Returns'!E48*TAA!F$24))</f>
        <v/>
      </c>
      <c r="F64" s="33">
        <f>IF(E64&lt;=$B$3,'Index Returns'!F48*'SAA with CME'!G$17,IF(TAAPortfolioPerformance!E64&gt;TAAPortfolioPerformance!$B$4,"",'Index Returns'!F48*TAA!G$24))</f>
        <v/>
      </c>
      <c r="G64" s="33">
        <f>IF(F64&lt;=$B$3,'Index Returns'!G48*'SAA with CME'!H$17,IF(TAAPortfolioPerformance!F64&gt;TAAPortfolioPerformance!$B$4,"",'Index Returns'!G48*TAA!H$24))</f>
        <v/>
      </c>
      <c r="H64" s="33">
        <f>IF(G64="","",SUM(B64:G64))</f>
        <v/>
      </c>
      <c r="I64" s="38">
        <f>IF(G64="","",(MIN(H64-$B$12,0)^2))</f>
        <v/>
      </c>
    </row>
    <row r="65" ht="18" customHeight="1">
      <c r="A65" s="86" t="n">
        <v>44561</v>
      </c>
      <c r="B65" s="33">
        <f>IF(A65&lt;=$B$3,'Index Returns'!B49*'SAA with CME'!C$17,IF(TAAPortfolioPerformance!A65&gt;TAAPortfolioPerformance!$B$4,"",'Index Returns'!B49*TAA!C$24))</f>
        <v/>
      </c>
      <c r="C65" s="33">
        <f>IF(B65&lt;=$B$3,'Index Returns'!C49*'SAA with CME'!D$17,IF(TAAPortfolioPerformance!B65&gt;TAAPortfolioPerformance!$B$4,"",'Index Returns'!C49*TAA!D$24))</f>
        <v/>
      </c>
      <c r="D65" s="33">
        <f>IF(C65&lt;=$B$3,'Index Returns'!D49*'SAA with CME'!E$17,IF(TAAPortfolioPerformance!C65&gt;TAAPortfolioPerformance!$B$4,"",'Index Returns'!D49*TAA!E$24))</f>
        <v/>
      </c>
      <c r="E65" s="33">
        <f>IF(D65&lt;=$B$3,'Index Returns'!E49*'SAA with CME'!F$17,IF(TAAPortfolioPerformance!D65&gt;TAAPortfolioPerformance!$B$4,"",'Index Returns'!E49*TAA!F$24))</f>
        <v/>
      </c>
      <c r="F65" s="33">
        <f>IF(E65&lt;=$B$3,'Index Returns'!F49*'SAA with CME'!G$17,IF(TAAPortfolioPerformance!E65&gt;TAAPortfolioPerformance!$B$4,"",'Index Returns'!F49*TAA!G$24))</f>
        <v/>
      </c>
      <c r="G65" s="33">
        <f>IF(F65&lt;=$B$3,'Index Returns'!G49*'SAA with CME'!H$17,IF(TAAPortfolioPerformance!F65&gt;TAAPortfolioPerformance!$B$4,"",'Index Returns'!G49*TAA!H$24))</f>
        <v/>
      </c>
      <c r="H65" s="33">
        <f>IF(G65="","",SUM(B65:G65))</f>
        <v/>
      </c>
      <c r="I65" s="38">
        <f>IF(G65="","",(MIN(H65-$B$12,0)^2))</f>
        <v/>
      </c>
    </row>
    <row r="66" ht="18" customHeight="1">
      <c r="A66" s="86" t="n">
        <v>44592</v>
      </c>
      <c r="B66" s="33">
        <f>IF(A66&lt;=$B$3,'Index Returns'!B50*'SAA with CME'!C$17,IF(TAAPortfolioPerformance!A66&gt;TAAPortfolioPerformance!$B$4,"",'Index Returns'!B50*TAA!C$24))</f>
        <v/>
      </c>
      <c r="C66" s="33">
        <f>IF(B66&lt;=$B$3,'Index Returns'!C50*'SAA with CME'!D$17,IF(TAAPortfolioPerformance!B66&gt;TAAPortfolioPerformance!$B$4,"",'Index Returns'!C50*TAA!D$24))</f>
        <v/>
      </c>
      <c r="D66" s="33">
        <f>IF(C66&lt;=$B$3,'Index Returns'!D50*'SAA with CME'!E$17,IF(TAAPortfolioPerformance!C66&gt;TAAPortfolioPerformance!$B$4,"",'Index Returns'!D50*TAA!E$24))</f>
        <v/>
      </c>
      <c r="E66" s="33">
        <f>IF(D66&lt;=$B$3,'Index Returns'!E50*'SAA with CME'!F$17,IF(TAAPortfolioPerformance!D66&gt;TAAPortfolioPerformance!$B$4,"",'Index Returns'!E50*TAA!F$24))</f>
        <v/>
      </c>
      <c r="F66" s="33">
        <f>IF(E66&lt;=$B$3,'Index Returns'!F50*'SAA with CME'!G$17,IF(TAAPortfolioPerformance!E66&gt;TAAPortfolioPerformance!$B$4,"",'Index Returns'!F50*TAA!G$24))</f>
        <v/>
      </c>
      <c r="G66" s="33">
        <f>IF(F66&lt;=$B$3,'Index Returns'!G50*'SAA with CME'!H$17,IF(TAAPortfolioPerformance!F66&gt;TAAPortfolioPerformance!$B$4,"",'Index Returns'!G50*TAA!H$24))</f>
        <v/>
      </c>
      <c r="H66" s="33">
        <f>IF(G66="","",SUM(B66:G66))</f>
        <v/>
      </c>
      <c r="I66" s="38">
        <f>IF(G66="","",(MIN(H66-$B$12,0)^2))</f>
        <v/>
      </c>
    </row>
    <row r="67" ht="18" customHeight="1">
      <c r="A67" s="86" t="n">
        <v>44620</v>
      </c>
      <c r="B67" s="33">
        <f>IF(A67&lt;=$B$3,'Index Returns'!B51*'SAA with CME'!C$17,IF(TAAPortfolioPerformance!A67&gt;TAAPortfolioPerformance!$B$4,"",'Index Returns'!B51*TAA!C$24))</f>
        <v/>
      </c>
      <c r="C67" s="33">
        <f>IF(B67&lt;=$B$3,'Index Returns'!C51*'SAA with CME'!D$17,IF(TAAPortfolioPerformance!B67&gt;TAAPortfolioPerformance!$B$4,"",'Index Returns'!C51*TAA!D$24))</f>
        <v/>
      </c>
      <c r="D67" s="33">
        <f>IF(C67&lt;=$B$3,'Index Returns'!D51*'SAA with CME'!E$17,IF(TAAPortfolioPerformance!C67&gt;TAAPortfolioPerformance!$B$4,"",'Index Returns'!D51*TAA!E$24))</f>
        <v/>
      </c>
      <c r="E67" s="33">
        <f>IF(D67&lt;=$B$3,'Index Returns'!E51*'SAA with CME'!F$17,IF(TAAPortfolioPerformance!D67&gt;TAAPortfolioPerformance!$B$4,"",'Index Returns'!E51*TAA!F$24))</f>
        <v/>
      </c>
      <c r="F67" s="33">
        <f>IF(E67&lt;=$B$3,'Index Returns'!F51*'SAA with CME'!G$17,IF(TAAPortfolioPerformance!E67&gt;TAAPortfolioPerformance!$B$4,"",'Index Returns'!F51*TAA!G$24))</f>
        <v/>
      </c>
      <c r="G67" s="33">
        <f>IF(F67&lt;=$B$3,'Index Returns'!G51*'SAA with CME'!H$17,IF(TAAPortfolioPerformance!F67&gt;TAAPortfolioPerformance!$B$4,"",'Index Returns'!G51*TAA!H$24))</f>
        <v/>
      </c>
      <c r="H67" s="33">
        <f>IF(G67="","",SUM(B67:G67))</f>
        <v/>
      </c>
      <c r="I67" s="38">
        <f>IF(G67="","",(MIN(H67-$B$12,0)^2))</f>
        <v/>
      </c>
    </row>
    <row r="68" ht="18" customHeight="1">
      <c r="A68" s="86" t="n">
        <v>44651</v>
      </c>
      <c r="B68" s="33">
        <f>IF(A68&lt;=$B$3,'Index Returns'!B52*'SAA with CME'!C$17,IF(TAAPortfolioPerformance!A68&gt;TAAPortfolioPerformance!$B$4,"",'Index Returns'!B52*TAA!C$24))</f>
        <v/>
      </c>
      <c r="C68" s="33">
        <f>IF(B68&lt;=$B$3,'Index Returns'!C52*'SAA with CME'!D$17,IF(TAAPortfolioPerformance!B68&gt;TAAPortfolioPerformance!$B$4,"",'Index Returns'!C52*TAA!D$24))</f>
        <v/>
      </c>
      <c r="D68" s="33">
        <f>IF(C68&lt;=$B$3,'Index Returns'!D52*'SAA with CME'!E$17,IF(TAAPortfolioPerformance!C68&gt;TAAPortfolioPerformance!$B$4,"",'Index Returns'!D52*TAA!E$24))</f>
        <v/>
      </c>
      <c r="E68" s="33">
        <f>IF(D68&lt;=$B$3,'Index Returns'!E52*'SAA with CME'!F$17,IF(TAAPortfolioPerformance!D68&gt;TAAPortfolioPerformance!$B$4,"",'Index Returns'!E52*TAA!F$24))</f>
        <v/>
      </c>
      <c r="F68" s="33">
        <f>IF(E68&lt;=$B$3,'Index Returns'!F52*'SAA with CME'!G$17,IF(TAAPortfolioPerformance!E68&gt;TAAPortfolioPerformance!$B$4,"",'Index Returns'!F52*TAA!G$24))</f>
        <v/>
      </c>
      <c r="G68" s="33">
        <f>IF(F68&lt;=$B$3,'Index Returns'!G52*'SAA with CME'!H$17,IF(TAAPortfolioPerformance!F68&gt;TAAPortfolioPerformance!$B$4,"",'Index Returns'!G52*TAA!H$24))</f>
        <v/>
      </c>
      <c r="H68" s="33">
        <f>IF(G68="","",SUM(B68:G68))</f>
        <v/>
      </c>
      <c r="I68" s="38">
        <f>IF(G68="","",(MIN(H68-$B$12,0)^2))</f>
        <v/>
      </c>
    </row>
    <row r="69" ht="18" customHeight="1">
      <c r="A69" s="86" t="n">
        <v>44680</v>
      </c>
      <c r="B69" s="33">
        <f>IF(A69&lt;=$B$3,'Index Returns'!B53*'SAA with CME'!C$17,IF(TAAPortfolioPerformance!A69&gt;TAAPortfolioPerformance!$B$4,"",'Index Returns'!B53*TAA!C$24))</f>
        <v/>
      </c>
      <c r="C69" s="33">
        <f>IF(B69&lt;=$B$3,'Index Returns'!C53*'SAA with CME'!D$17,IF(TAAPortfolioPerformance!B69&gt;TAAPortfolioPerformance!$B$4,"",'Index Returns'!C53*TAA!D$24))</f>
        <v/>
      </c>
      <c r="D69" s="33">
        <f>IF(C69&lt;=$B$3,'Index Returns'!D53*'SAA with CME'!E$17,IF(TAAPortfolioPerformance!C69&gt;TAAPortfolioPerformance!$B$4,"",'Index Returns'!D53*TAA!E$24))</f>
        <v/>
      </c>
      <c r="E69" s="33">
        <f>IF(D69&lt;=$B$3,'Index Returns'!E53*'SAA with CME'!F$17,IF(TAAPortfolioPerformance!D69&gt;TAAPortfolioPerformance!$B$4,"",'Index Returns'!E53*TAA!F$24))</f>
        <v/>
      </c>
      <c r="F69" s="33">
        <f>IF(E69&lt;=$B$3,'Index Returns'!F53*'SAA with CME'!G$17,IF(TAAPortfolioPerformance!E69&gt;TAAPortfolioPerformance!$B$4,"",'Index Returns'!F53*TAA!G$24))</f>
        <v/>
      </c>
      <c r="G69" s="33">
        <f>IF(F69&lt;=$B$3,'Index Returns'!G53*'SAA with CME'!H$17,IF(TAAPortfolioPerformance!F69&gt;TAAPortfolioPerformance!$B$4,"",'Index Returns'!G53*TAA!H$24))</f>
        <v/>
      </c>
      <c r="H69" s="33">
        <f>IF(G69="","",SUM(B69:G69))</f>
        <v/>
      </c>
      <c r="I69" s="38">
        <f>IF(G69="","",(MIN(H69-$B$12,0)^2))</f>
        <v/>
      </c>
    </row>
    <row r="70" ht="18" customHeight="1">
      <c r="A70" s="86" t="n">
        <v>44712</v>
      </c>
      <c r="B70" s="33">
        <f>IF(A70&lt;=$B$3,'Index Returns'!B54*'SAA with CME'!C$17,IF(TAAPortfolioPerformance!A70&gt;TAAPortfolioPerformance!$B$4,"",'Index Returns'!B54*TAA!C$24))</f>
        <v/>
      </c>
      <c r="C70" s="33">
        <f>IF(B70&lt;=$B$3,'Index Returns'!C54*'SAA with CME'!D$17,IF(TAAPortfolioPerformance!B70&gt;TAAPortfolioPerformance!$B$4,"",'Index Returns'!C54*TAA!D$24))</f>
        <v/>
      </c>
      <c r="D70" s="33">
        <f>IF(C70&lt;=$B$3,'Index Returns'!D54*'SAA with CME'!E$17,IF(TAAPortfolioPerformance!C70&gt;TAAPortfolioPerformance!$B$4,"",'Index Returns'!D54*TAA!E$24))</f>
        <v/>
      </c>
      <c r="E70" s="33">
        <f>IF(D70&lt;=$B$3,'Index Returns'!E54*'SAA with CME'!F$17,IF(TAAPortfolioPerformance!D70&gt;TAAPortfolioPerformance!$B$4,"",'Index Returns'!E54*TAA!F$24))</f>
        <v/>
      </c>
      <c r="F70" s="33">
        <f>IF(E70&lt;=$B$3,'Index Returns'!F54*'SAA with CME'!G$17,IF(TAAPortfolioPerformance!E70&gt;TAAPortfolioPerformance!$B$4,"",'Index Returns'!F54*TAA!G$24))</f>
        <v/>
      </c>
      <c r="G70" s="33">
        <f>IF(F70&lt;=$B$3,'Index Returns'!G54*'SAA with CME'!H$17,IF(TAAPortfolioPerformance!F70&gt;TAAPortfolioPerformance!$B$4,"",'Index Returns'!G54*TAA!H$24))</f>
        <v/>
      </c>
      <c r="H70" s="33">
        <f>IF(G70="","",SUM(B70:G70))</f>
        <v/>
      </c>
      <c r="I70" s="38">
        <f>IF(G70="","",(MIN(H70-$B$12,0)^2))</f>
        <v/>
      </c>
    </row>
    <row r="71" ht="18" customHeight="1">
      <c r="A71" s="86" t="n">
        <v>44742</v>
      </c>
      <c r="B71" s="33">
        <f>IF(A71&lt;=$B$3,'Index Returns'!B55*'SAA with CME'!C$17,IF(TAAPortfolioPerformance!A71&gt;TAAPortfolioPerformance!$B$4,"",'Index Returns'!B55*TAA!C$24))</f>
        <v/>
      </c>
      <c r="C71" s="33">
        <f>IF(B71&lt;=$B$3,'Index Returns'!C55*'SAA with CME'!D$17,IF(TAAPortfolioPerformance!B71&gt;TAAPortfolioPerformance!$B$4,"",'Index Returns'!C55*TAA!D$24))</f>
        <v/>
      </c>
      <c r="D71" s="33">
        <f>IF(C71&lt;=$B$3,'Index Returns'!D55*'SAA with CME'!E$17,IF(TAAPortfolioPerformance!C71&gt;TAAPortfolioPerformance!$B$4,"",'Index Returns'!D55*TAA!E$24))</f>
        <v/>
      </c>
      <c r="E71" s="33">
        <f>IF(D71&lt;=$B$3,'Index Returns'!E55*'SAA with CME'!F$17,IF(TAAPortfolioPerformance!D71&gt;TAAPortfolioPerformance!$B$4,"",'Index Returns'!E55*TAA!F$24))</f>
        <v/>
      </c>
      <c r="F71" s="33">
        <f>IF(E71&lt;=$B$3,'Index Returns'!F55*'SAA with CME'!G$17,IF(TAAPortfolioPerformance!E71&gt;TAAPortfolioPerformance!$B$4,"",'Index Returns'!F55*TAA!G$24))</f>
        <v/>
      </c>
      <c r="G71" s="33">
        <f>IF(F71&lt;=$B$3,'Index Returns'!G55*'SAA with CME'!H$17,IF(TAAPortfolioPerformance!F71&gt;TAAPortfolioPerformance!$B$4,"",'Index Returns'!G55*TAA!H$24))</f>
        <v/>
      </c>
      <c r="H71" s="33">
        <f>IF(G71="","",SUM(B71:G71))</f>
        <v/>
      </c>
      <c r="I71" s="38">
        <f>IF(G71="","",(MIN(H71-$B$12,0)^2))</f>
        <v/>
      </c>
    </row>
    <row r="72" ht="18" customHeight="1">
      <c r="A72" s="86" t="n">
        <v>44771</v>
      </c>
      <c r="B72" s="33">
        <f>IF(A72&lt;=$B$3,'Index Returns'!B56*'SAA with CME'!C$17,IF(TAAPortfolioPerformance!A72&gt;TAAPortfolioPerformance!$B$4,"",'Index Returns'!B56*TAA!C$24))</f>
        <v/>
      </c>
      <c r="C72" s="33">
        <f>IF(B72&lt;=$B$3,'Index Returns'!C56*'SAA with CME'!D$17,IF(TAAPortfolioPerformance!B72&gt;TAAPortfolioPerformance!$B$4,"",'Index Returns'!C56*TAA!D$24))</f>
        <v/>
      </c>
      <c r="D72" s="33">
        <f>IF(C72&lt;=$B$3,'Index Returns'!D56*'SAA with CME'!E$17,IF(TAAPortfolioPerformance!C72&gt;TAAPortfolioPerformance!$B$4,"",'Index Returns'!D56*TAA!E$24))</f>
        <v/>
      </c>
      <c r="E72" s="33">
        <f>IF(D72&lt;=$B$3,'Index Returns'!E56*'SAA with CME'!F$17,IF(TAAPortfolioPerformance!D72&gt;TAAPortfolioPerformance!$B$4,"",'Index Returns'!E56*TAA!F$24))</f>
        <v/>
      </c>
      <c r="F72" s="33">
        <f>IF(E72&lt;=$B$3,'Index Returns'!F56*'SAA with CME'!G$17,IF(TAAPortfolioPerformance!E72&gt;TAAPortfolioPerformance!$B$4,"",'Index Returns'!F56*TAA!G$24))</f>
        <v/>
      </c>
      <c r="G72" s="33">
        <f>IF(F72&lt;=$B$3,'Index Returns'!G56*'SAA with CME'!H$17,IF(TAAPortfolioPerformance!F72&gt;TAAPortfolioPerformance!$B$4,"",'Index Returns'!G56*TAA!H$24))</f>
        <v/>
      </c>
      <c r="H72" s="33">
        <f>IF(G72="","",SUM(B72:G72))</f>
        <v/>
      </c>
      <c r="I72" s="38">
        <f>IF(G72="","",(MIN(H72-$B$12,0)^2))</f>
        <v/>
      </c>
    </row>
    <row r="73" ht="18" customHeight="1">
      <c r="A73" s="86" t="n">
        <v>44804</v>
      </c>
      <c r="B73" s="33">
        <f>IF(A73&lt;=$B$3,'Index Returns'!B57*'SAA with CME'!C$17,IF(TAAPortfolioPerformance!A73&gt;TAAPortfolioPerformance!$B$4,"",'Index Returns'!B57*TAA!C$24))</f>
        <v/>
      </c>
      <c r="C73" s="33">
        <f>IF(B73&lt;=$B$3,'Index Returns'!C57*'SAA with CME'!D$17,IF(TAAPortfolioPerformance!B73&gt;TAAPortfolioPerformance!$B$4,"",'Index Returns'!C57*TAA!D$24))</f>
        <v/>
      </c>
      <c r="D73" s="33">
        <f>IF(C73&lt;=$B$3,'Index Returns'!D57*'SAA with CME'!E$17,IF(TAAPortfolioPerformance!C73&gt;TAAPortfolioPerformance!$B$4,"",'Index Returns'!D57*TAA!E$24))</f>
        <v/>
      </c>
      <c r="E73" s="33">
        <f>IF(D73&lt;=$B$3,'Index Returns'!E57*'SAA with CME'!F$17,IF(TAAPortfolioPerformance!D73&gt;TAAPortfolioPerformance!$B$4,"",'Index Returns'!E57*TAA!F$24))</f>
        <v/>
      </c>
      <c r="F73" s="33">
        <f>IF(E73&lt;=$B$3,'Index Returns'!F57*'SAA with CME'!G$17,IF(TAAPortfolioPerformance!E73&gt;TAAPortfolioPerformance!$B$4,"",'Index Returns'!F57*TAA!G$24))</f>
        <v/>
      </c>
      <c r="G73" s="33">
        <f>IF(F73&lt;=$B$3,'Index Returns'!G57*'SAA with CME'!H$17,IF(TAAPortfolioPerformance!F73&gt;TAAPortfolioPerformance!$B$4,"",'Index Returns'!G57*TAA!H$24))</f>
        <v/>
      </c>
      <c r="H73" s="33">
        <f>IF(G73="","",SUM(B73:G73))</f>
        <v/>
      </c>
      <c r="I73" s="38">
        <f>IF(G73="","",(MIN(H73-$B$12,0)^2))</f>
        <v/>
      </c>
    </row>
    <row r="74" ht="18" customHeight="1">
      <c r="A74" s="86" t="n">
        <v>44834</v>
      </c>
      <c r="B74" s="33">
        <f>IF(A74&lt;=$B$3,'Index Returns'!B58*'SAA with CME'!C$17,IF(TAAPortfolioPerformance!A74&gt;TAAPortfolioPerformance!$B$4,"",'Index Returns'!B58*TAA!C$24))</f>
        <v/>
      </c>
      <c r="C74" s="33">
        <f>IF(B74&lt;=$B$3,'Index Returns'!C58*'SAA with CME'!D$17,IF(TAAPortfolioPerformance!B74&gt;TAAPortfolioPerformance!$B$4,"",'Index Returns'!C58*TAA!D$24))</f>
        <v/>
      </c>
      <c r="D74" s="33">
        <f>IF(C74&lt;=$B$3,'Index Returns'!D58*'SAA with CME'!E$17,IF(TAAPortfolioPerformance!C74&gt;TAAPortfolioPerformance!$B$4,"",'Index Returns'!D58*TAA!E$24))</f>
        <v/>
      </c>
      <c r="E74" s="33">
        <f>IF(D74&lt;=$B$3,'Index Returns'!E58*'SAA with CME'!F$17,IF(TAAPortfolioPerformance!D74&gt;TAAPortfolioPerformance!$B$4,"",'Index Returns'!E58*TAA!F$24))</f>
        <v/>
      </c>
      <c r="F74" s="33">
        <f>IF(E74&lt;=$B$3,'Index Returns'!F58*'SAA with CME'!G$17,IF(TAAPortfolioPerformance!E74&gt;TAAPortfolioPerformance!$B$4,"",'Index Returns'!F58*TAA!G$24))</f>
        <v/>
      </c>
      <c r="G74" s="33">
        <f>IF(F74&lt;=$B$3,'Index Returns'!G58*'SAA with CME'!H$17,IF(TAAPortfolioPerformance!F74&gt;TAAPortfolioPerformance!$B$4,"",'Index Returns'!G58*TAA!H$24))</f>
        <v/>
      </c>
      <c r="H74" s="33">
        <f>IF(G74="","",SUM(B74:G74))</f>
        <v/>
      </c>
      <c r="I74" s="38">
        <f>IF(G74="","",(MIN(H74-$B$12,0)^2))</f>
        <v/>
      </c>
    </row>
    <row r="75" ht="18" customHeight="1">
      <c r="A75" s="86" t="n">
        <v>44865</v>
      </c>
      <c r="B75" s="33">
        <f>IF(A75&lt;=$B$3,'Index Returns'!B59*'SAA with CME'!C$17,IF(TAAPortfolioPerformance!A75&gt;TAAPortfolioPerformance!$B$4,"",'Index Returns'!B59*TAA!C$24))</f>
        <v/>
      </c>
      <c r="C75" s="33">
        <f>IF(B75&lt;=$B$3,'Index Returns'!C59*'SAA with CME'!D$17,IF(TAAPortfolioPerformance!B75&gt;TAAPortfolioPerformance!$B$4,"",'Index Returns'!C59*TAA!D$24))</f>
        <v/>
      </c>
      <c r="D75" s="33">
        <f>IF(C75&lt;=$B$3,'Index Returns'!D59*'SAA with CME'!E$17,IF(TAAPortfolioPerformance!C75&gt;TAAPortfolioPerformance!$B$4,"",'Index Returns'!D59*TAA!E$24))</f>
        <v/>
      </c>
      <c r="E75" s="33">
        <f>IF(D75&lt;=$B$3,'Index Returns'!E59*'SAA with CME'!F$17,IF(TAAPortfolioPerformance!D75&gt;TAAPortfolioPerformance!$B$4,"",'Index Returns'!E59*TAA!F$24))</f>
        <v/>
      </c>
      <c r="F75" s="33">
        <f>IF(E75&lt;=$B$3,'Index Returns'!F59*'SAA with CME'!G$17,IF(TAAPortfolioPerformance!E75&gt;TAAPortfolioPerformance!$B$4,"",'Index Returns'!F59*TAA!G$24))</f>
        <v/>
      </c>
      <c r="G75" s="33">
        <f>IF(F75&lt;=$B$3,'Index Returns'!G59*'SAA with CME'!H$17,IF(TAAPortfolioPerformance!F75&gt;TAAPortfolioPerformance!$B$4,"",'Index Returns'!G59*TAA!H$24))</f>
        <v/>
      </c>
      <c r="H75" s="33">
        <f>IF(G75="","",SUM(B75:G75))</f>
        <v/>
      </c>
      <c r="I75" s="38">
        <f>IF(G75="","",(MIN(H75-$B$12,0)^2))</f>
        <v/>
      </c>
    </row>
    <row r="76" ht="18" customHeight="1">
      <c r="A76" s="86" t="n">
        <v>44895</v>
      </c>
      <c r="B76" s="33">
        <f>IF(A76&lt;=$B$3,'Index Returns'!B60*'SAA with CME'!C$17,IF(TAAPortfolioPerformance!A76&gt;TAAPortfolioPerformance!$B$4,"",'Index Returns'!B60*TAA!C$24))</f>
        <v/>
      </c>
      <c r="C76" s="33">
        <f>IF(B76&lt;=$B$3,'Index Returns'!C60*'SAA with CME'!D$17,IF(TAAPortfolioPerformance!B76&gt;TAAPortfolioPerformance!$B$4,"",'Index Returns'!C60*TAA!D$24))</f>
        <v/>
      </c>
      <c r="D76" s="33">
        <f>IF(C76&lt;=$B$3,'Index Returns'!D60*'SAA with CME'!E$17,IF(TAAPortfolioPerformance!C76&gt;TAAPortfolioPerformance!$B$4,"",'Index Returns'!D60*TAA!E$24))</f>
        <v/>
      </c>
      <c r="E76" s="33">
        <f>IF(D76&lt;=$B$3,'Index Returns'!E60*'SAA with CME'!F$17,IF(TAAPortfolioPerformance!D76&gt;TAAPortfolioPerformance!$B$4,"",'Index Returns'!E60*TAA!F$24))</f>
        <v/>
      </c>
      <c r="F76" s="33">
        <f>IF(E76&lt;=$B$3,'Index Returns'!F60*'SAA with CME'!G$17,IF(TAAPortfolioPerformance!E76&gt;TAAPortfolioPerformance!$B$4,"",'Index Returns'!F60*TAA!G$24))</f>
        <v/>
      </c>
      <c r="G76" s="33">
        <f>IF(F76&lt;=$B$3,'Index Returns'!G60*'SAA with CME'!H$17,IF(TAAPortfolioPerformance!F76&gt;TAAPortfolioPerformance!$B$4,"",'Index Returns'!G60*TAA!H$24))</f>
        <v/>
      </c>
      <c r="H76" s="33">
        <f>IF(G76="","",SUM(B76:G76))</f>
        <v/>
      </c>
      <c r="I76" s="38">
        <f>IF(G76="","",(MIN(H76-$B$12,0)^2))</f>
        <v/>
      </c>
    </row>
    <row r="77" ht="18" customHeight="1">
      <c r="A77" s="86" t="n">
        <v>44925</v>
      </c>
      <c r="B77" s="33">
        <f>IF(A77&lt;=$B$3,'Index Returns'!B61*'SAA with CME'!C$17,IF(TAAPortfolioPerformance!A77&gt;TAAPortfolioPerformance!$B$4,"",'Index Returns'!B61*TAA!C$24))</f>
        <v/>
      </c>
      <c r="C77" s="33">
        <f>IF(B77&lt;=$B$3,'Index Returns'!C61*'SAA with CME'!D$17,IF(TAAPortfolioPerformance!B77&gt;TAAPortfolioPerformance!$B$4,"",'Index Returns'!C61*TAA!D$24))</f>
        <v/>
      </c>
      <c r="D77" s="33">
        <f>IF(C77&lt;=$B$3,'Index Returns'!D61*'SAA with CME'!E$17,IF(TAAPortfolioPerformance!C77&gt;TAAPortfolioPerformance!$B$4,"",'Index Returns'!D61*TAA!E$24))</f>
        <v/>
      </c>
      <c r="E77" s="33">
        <f>IF(D77&lt;=$B$3,'Index Returns'!E61*'SAA with CME'!F$17,IF(TAAPortfolioPerformance!D77&gt;TAAPortfolioPerformance!$B$4,"",'Index Returns'!E61*TAA!F$24))</f>
        <v/>
      </c>
      <c r="F77" s="33">
        <f>IF(E77&lt;=$B$3,'Index Returns'!F61*'SAA with CME'!G$17,IF(TAAPortfolioPerformance!E77&gt;TAAPortfolioPerformance!$B$4,"",'Index Returns'!F61*TAA!G$24))</f>
        <v/>
      </c>
      <c r="G77" s="33">
        <f>IF(F77&lt;=$B$3,'Index Returns'!G61*'SAA with CME'!H$17,IF(TAAPortfolioPerformance!F77&gt;TAAPortfolioPerformance!$B$4,"",'Index Returns'!G61*TAA!H$24))</f>
        <v/>
      </c>
      <c r="H77" s="33">
        <f>IF(G77="","",SUM(B77:G77))</f>
        <v/>
      </c>
      <c r="I77" s="38">
        <f>IF(G77="","",(MIN(H77-$B$12,0)^2))</f>
        <v/>
      </c>
    </row>
    <row r="78" ht="18" customHeight="1">
      <c r="A78" s="86" t="n">
        <v>44957</v>
      </c>
      <c r="B78" s="33">
        <f>IF(A78&lt;=$B$3,'Index Returns'!B62*'SAA with CME'!C$17,IF(TAAPortfolioPerformance!A78&gt;TAAPortfolioPerformance!$B$4,"",'Index Returns'!B62*TAA!C$24))</f>
        <v/>
      </c>
      <c r="C78" s="33">
        <f>IF(B78&lt;=$B$3,'Index Returns'!C62*'SAA with CME'!D$17,IF(TAAPortfolioPerformance!B78&gt;TAAPortfolioPerformance!$B$4,"",'Index Returns'!C62*TAA!D$24))</f>
        <v/>
      </c>
      <c r="D78" s="33">
        <f>IF(C78&lt;=$B$3,'Index Returns'!D62*'SAA with CME'!E$17,IF(TAAPortfolioPerformance!C78&gt;TAAPortfolioPerformance!$B$4,"",'Index Returns'!D62*TAA!E$24))</f>
        <v/>
      </c>
      <c r="E78" s="33">
        <f>IF(D78&lt;=$B$3,'Index Returns'!E62*'SAA with CME'!F$17,IF(TAAPortfolioPerformance!D78&gt;TAAPortfolioPerformance!$B$4,"",'Index Returns'!E62*TAA!F$24))</f>
        <v/>
      </c>
      <c r="F78" s="33">
        <f>IF(E78&lt;=$B$3,'Index Returns'!F62*'SAA with CME'!G$17,IF(TAAPortfolioPerformance!E78&gt;TAAPortfolioPerformance!$B$4,"",'Index Returns'!F62*TAA!G$24))</f>
        <v/>
      </c>
      <c r="G78" s="33">
        <f>IF(F78&lt;=$B$3,'Index Returns'!G62*'SAA with CME'!H$17,IF(TAAPortfolioPerformance!F78&gt;TAAPortfolioPerformance!$B$4,"",'Index Returns'!G62*TAA!H$24))</f>
        <v/>
      </c>
      <c r="H78" s="33">
        <f>IF(G78="","",SUM(B78:G78))</f>
        <v/>
      </c>
      <c r="I78" s="38">
        <f>IF(G78="","",(MIN(H78-$B$12,0)^2))</f>
        <v/>
      </c>
    </row>
    <row r="79" ht="18" customHeight="1">
      <c r="A79" s="86" t="n">
        <v>44985</v>
      </c>
      <c r="B79" s="33">
        <f>IF(A79&lt;=$B$3,'Index Returns'!B63*'SAA with CME'!C$17,IF(TAAPortfolioPerformance!A79&gt;TAAPortfolioPerformance!$B$4,"",'Index Returns'!B63*TAA!C$24))</f>
        <v/>
      </c>
      <c r="C79" s="33">
        <f>IF(B79&lt;=$B$3,'Index Returns'!C63*'SAA with CME'!D$17,IF(TAAPortfolioPerformance!B79&gt;TAAPortfolioPerformance!$B$4,"",'Index Returns'!C63*TAA!D$24))</f>
        <v/>
      </c>
      <c r="D79" s="33">
        <f>IF(C79&lt;=$B$3,'Index Returns'!D63*'SAA with CME'!E$17,IF(TAAPortfolioPerformance!C79&gt;TAAPortfolioPerformance!$B$4,"",'Index Returns'!D63*TAA!E$24))</f>
        <v/>
      </c>
      <c r="E79" s="33">
        <f>IF(D79&lt;=$B$3,'Index Returns'!E63*'SAA with CME'!F$17,IF(TAAPortfolioPerformance!D79&gt;TAAPortfolioPerformance!$B$4,"",'Index Returns'!E63*TAA!F$24))</f>
        <v/>
      </c>
      <c r="F79" s="33">
        <f>IF(E79&lt;=$B$3,'Index Returns'!F63*'SAA with CME'!G$17,IF(TAAPortfolioPerformance!E79&gt;TAAPortfolioPerformance!$B$4,"",'Index Returns'!F63*TAA!G$24))</f>
        <v/>
      </c>
      <c r="G79" s="33">
        <f>IF(F79&lt;=$B$3,'Index Returns'!G63*'SAA with CME'!H$17,IF(TAAPortfolioPerformance!F79&gt;TAAPortfolioPerformance!$B$4,"",'Index Returns'!G63*TAA!H$24))</f>
        <v/>
      </c>
      <c r="H79" s="33">
        <f>IF(G79="","",SUM(B79:G79))</f>
        <v/>
      </c>
      <c r="I79" s="38">
        <f>IF(G79="","",(MIN(H79-$B$12,0)^2))</f>
        <v/>
      </c>
    </row>
    <row r="80" ht="18" customHeight="1">
      <c r="A80" s="86" t="n">
        <v>45016</v>
      </c>
      <c r="B80" s="33">
        <f>IF(A80&lt;=$B$3,'Index Returns'!B64*'SAA with CME'!C$17,IF(TAAPortfolioPerformance!A80&gt;TAAPortfolioPerformance!$B$4,"",'Index Returns'!B64*TAA!C$24))</f>
        <v/>
      </c>
      <c r="C80" s="33">
        <f>IF(B80&lt;=$B$3,'Index Returns'!C64*'SAA with CME'!D$17,IF(TAAPortfolioPerformance!B80&gt;TAAPortfolioPerformance!$B$4,"",'Index Returns'!C64*TAA!D$24))</f>
        <v/>
      </c>
      <c r="D80" s="33">
        <f>IF(C80&lt;=$B$3,'Index Returns'!D64*'SAA with CME'!E$17,IF(TAAPortfolioPerformance!C80&gt;TAAPortfolioPerformance!$B$4,"",'Index Returns'!D64*TAA!E$24))</f>
        <v/>
      </c>
      <c r="E80" s="33">
        <f>IF(D80&lt;=$B$3,'Index Returns'!E64*'SAA with CME'!F$17,IF(TAAPortfolioPerformance!D80&gt;TAAPortfolioPerformance!$B$4,"",'Index Returns'!E64*TAA!F$24))</f>
        <v/>
      </c>
      <c r="F80" s="33">
        <f>IF(E80&lt;=$B$3,'Index Returns'!F64*'SAA with CME'!G$17,IF(TAAPortfolioPerformance!E80&gt;TAAPortfolioPerformance!$B$4,"",'Index Returns'!F64*TAA!G$24))</f>
        <v/>
      </c>
      <c r="G80" s="33">
        <f>IF(F80&lt;=$B$3,'Index Returns'!G64*'SAA with CME'!H$17,IF(TAAPortfolioPerformance!F80&gt;TAAPortfolioPerformance!$B$4,"",'Index Returns'!G64*TAA!H$24))</f>
        <v/>
      </c>
      <c r="H80" s="33">
        <f>IF(G80="","",SUM(B80:G80))</f>
        <v/>
      </c>
      <c r="I80" s="38">
        <f>IF(G80="","",(MIN(H80-$B$12,0)^2))</f>
        <v/>
      </c>
    </row>
    <row r="81" ht="18" customHeight="1">
      <c r="A81" s="86" t="n">
        <v>45044</v>
      </c>
      <c r="B81" s="33">
        <f>IF(A81&lt;=$B$3,'Index Returns'!B65*'SAA with CME'!C$17,IF(TAAPortfolioPerformance!A81&gt;TAAPortfolioPerformance!$B$4,"",'Index Returns'!B65*TAA!C$24))</f>
        <v/>
      </c>
      <c r="C81" s="33">
        <f>IF(B81&lt;=$B$3,'Index Returns'!C65*'SAA with CME'!D$17,IF(TAAPortfolioPerformance!B81&gt;TAAPortfolioPerformance!$B$4,"",'Index Returns'!C65*TAA!D$24))</f>
        <v/>
      </c>
      <c r="D81" s="33">
        <f>IF(C81&lt;=$B$3,'Index Returns'!D65*'SAA with CME'!E$17,IF(TAAPortfolioPerformance!C81&gt;TAAPortfolioPerformance!$B$4,"",'Index Returns'!D65*TAA!E$24))</f>
        <v/>
      </c>
      <c r="E81" s="33">
        <f>IF(D81&lt;=$B$3,'Index Returns'!E65*'SAA with CME'!F$17,IF(TAAPortfolioPerformance!D81&gt;TAAPortfolioPerformance!$B$4,"",'Index Returns'!E65*TAA!F$24))</f>
        <v/>
      </c>
      <c r="F81" s="33">
        <f>IF(E81&lt;=$B$3,'Index Returns'!F65*'SAA with CME'!G$17,IF(TAAPortfolioPerformance!E81&gt;TAAPortfolioPerformance!$B$4,"",'Index Returns'!F65*TAA!G$24))</f>
        <v/>
      </c>
      <c r="G81" s="33">
        <f>IF(F81&lt;=$B$3,'Index Returns'!G65*'SAA with CME'!H$17,IF(TAAPortfolioPerformance!F81&gt;TAAPortfolioPerformance!$B$4,"",'Index Returns'!G65*TAA!H$24))</f>
        <v/>
      </c>
      <c r="H81" s="33">
        <f>IF(G81="","",SUM(B81:G81))</f>
        <v/>
      </c>
      <c r="I81" s="38">
        <f>IF(G81="","",(MIN(H81-$B$12,0)^2))</f>
        <v/>
      </c>
    </row>
    <row r="82" ht="18" customHeight="1">
      <c r="A82" s="86" t="n">
        <v>45077</v>
      </c>
      <c r="B82" s="33">
        <f>IF(A82&lt;=$B$3,'Index Returns'!B66*'SAA with CME'!C$17,IF(TAAPortfolioPerformance!A82&gt;TAAPortfolioPerformance!$B$4,"",'Index Returns'!B66*TAA!C$24))</f>
        <v/>
      </c>
      <c r="C82" s="33">
        <f>IF(B82&lt;=$B$3,'Index Returns'!C66*'SAA with CME'!D$17,IF(TAAPortfolioPerformance!B82&gt;TAAPortfolioPerformance!$B$4,"",'Index Returns'!C66*TAA!D$24))</f>
        <v/>
      </c>
      <c r="D82" s="33">
        <f>IF(C82&lt;=$B$3,'Index Returns'!D66*'SAA with CME'!E$17,IF(TAAPortfolioPerformance!C82&gt;TAAPortfolioPerformance!$B$4,"",'Index Returns'!D66*TAA!E$24))</f>
        <v/>
      </c>
      <c r="E82" s="33">
        <f>IF(D82&lt;=$B$3,'Index Returns'!E66*'SAA with CME'!F$17,IF(TAAPortfolioPerformance!D82&gt;TAAPortfolioPerformance!$B$4,"",'Index Returns'!E66*TAA!F$24))</f>
        <v/>
      </c>
      <c r="F82" s="33">
        <f>IF(E82&lt;=$B$3,'Index Returns'!F66*'SAA with CME'!G$17,IF(TAAPortfolioPerformance!E82&gt;TAAPortfolioPerformance!$B$4,"",'Index Returns'!F66*TAA!G$24))</f>
        <v/>
      </c>
      <c r="G82" s="33">
        <f>IF(F82&lt;=$B$3,'Index Returns'!G66*'SAA with CME'!H$17,IF(TAAPortfolioPerformance!F82&gt;TAAPortfolioPerformance!$B$4,"",'Index Returns'!G66*TAA!H$24))</f>
        <v/>
      </c>
      <c r="H82" s="33">
        <f>IF(G82="","",SUM(B82:G82))</f>
        <v/>
      </c>
      <c r="I82" s="38">
        <f>IF(G82="","",(MIN(H82-$B$12,0)^2))</f>
        <v/>
      </c>
    </row>
    <row r="83" ht="18" customHeight="1">
      <c r="A83" s="86" t="n">
        <v>45107</v>
      </c>
      <c r="B83" s="33">
        <f>IF(A83&lt;=$B$3,'Index Returns'!B67*'SAA with CME'!C$17,IF(TAAPortfolioPerformance!A83&gt;TAAPortfolioPerformance!$B$4,"",'Index Returns'!B67*TAA!C$24))</f>
        <v/>
      </c>
      <c r="C83" s="33">
        <f>IF(B83&lt;=$B$3,'Index Returns'!C67*'SAA with CME'!D$17,IF(TAAPortfolioPerformance!B83&gt;TAAPortfolioPerformance!$B$4,"",'Index Returns'!C67*TAA!D$24))</f>
        <v/>
      </c>
      <c r="D83" s="33">
        <f>IF(C83&lt;=$B$3,'Index Returns'!D67*'SAA with CME'!E$17,IF(TAAPortfolioPerformance!C83&gt;TAAPortfolioPerformance!$B$4,"",'Index Returns'!D67*TAA!E$24))</f>
        <v/>
      </c>
      <c r="E83" s="33">
        <f>IF(D83&lt;=$B$3,'Index Returns'!E67*'SAA with CME'!F$17,IF(TAAPortfolioPerformance!D83&gt;TAAPortfolioPerformance!$B$4,"",'Index Returns'!E67*TAA!F$24))</f>
        <v/>
      </c>
      <c r="F83" s="33">
        <f>IF(E83&lt;=$B$3,'Index Returns'!F67*'SAA with CME'!G$17,IF(TAAPortfolioPerformance!E83&gt;TAAPortfolioPerformance!$B$4,"",'Index Returns'!F67*TAA!G$24))</f>
        <v/>
      </c>
      <c r="G83" s="33">
        <f>IF(F83&lt;=$B$3,'Index Returns'!G67*'SAA with CME'!H$17,IF(TAAPortfolioPerformance!F83&gt;TAAPortfolioPerformance!$B$4,"",'Index Returns'!G67*TAA!H$24))</f>
        <v/>
      </c>
      <c r="H83" s="33">
        <f>IF(G83="","",SUM(B83:G83))</f>
        <v/>
      </c>
      <c r="I83" s="38">
        <f>IF(G83="","",(MIN(H83-$B$12,0)^2))</f>
        <v/>
      </c>
    </row>
    <row r="84" ht="18" customHeight="1">
      <c r="A84" s="86" t="n">
        <v>45138</v>
      </c>
      <c r="B84" s="33">
        <f>IF(A84&lt;=$B$3,'Index Returns'!B68*'SAA with CME'!C$17,IF(TAAPortfolioPerformance!A84&gt;TAAPortfolioPerformance!$B$4,"",'Index Returns'!B68*TAA!C$24))</f>
        <v/>
      </c>
      <c r="C84" s="33">
        <f>IF(B84&lt;=$B$3,'Index Returns'!C68*'SAA with CME'!D$17,IF(TAAPortfolioPerformance!B84&gt;TAAPortfolioPerformance!$B$4,"",'Index Returns'!C68*TAA!D$24))</f>
        <v/>
      </c>
      <c r="D84" s="33">
        <f>IF(C84&lt;=$B$3,'Index Returns'!D68*'SAA with CME'!E$17,IF(TAAPortfolioPerformance!C84&gt;TAAPortfolioPerformance!$B$4,"",'Index Returns'!D68*TAA!E$24))</f>
        <v/>
      </c>
      <c r="E84" s="33">
        <f>IF(D84&lt;=$B$3,'Index Returns'!E68*'SAA with CME'!F$17,IF(TAAPortfolioPerformance!D84&gt;TAAPortfolioPerformance!$B$4,"",'Index Returns'!E68*TAA!F$24))</f>
        <v/>
      </c>
      <c r="F84" s="33">
        <f>IF(E84&lt;=$B$3,'Index Returns'!F68*'SAA with CME'!G$17,IF(TAAPortfolioPerformance!E84&gt;TAAPortfolioPerformance!$B$4,"",'Index Returns'!F68*TAA!G$24))</f>
        <v/>
      </c>
      <c r="G84" s="33">
        <f>IF(F84&lt;=$B$3,'Index Returns'!G68*'SAA with CME'!H$17,IF(TAAPortfolioPerformance!F84&gt;TAAPortfolioPerformance!$B$4,"",'Index Returns'!G68*TAA!H$24))</f>
        <v/>
      </c>
      <c r="H84" s="33">
        <f>IF(G84="","",SUM(B84:G84))</f>
        <v/>
      </c>
      <c r="I84" s="38">
        <f>IF(G84="","",(MIN(H84-$B$12,0)^2))</f>
        <v/>
      </c>
    </row>
    <row r="85" ht="18" customHeight="1">
      <c r="A85" s="86" t="n">
        <v>45169</v>
      </c>
      <c r="B85" s="33">
        <f>IF(A85&lt;=$B$3,'Index Returns'!B69*'SAA with CME'!C$17,IF(TAAPortfolioPerformance!A85&gt;TAAPortfolioPerformance!$B$4,"",'Index Returns'!B69*TAA!C$24))</f>
        <v/>
      </c>
      <c r="C85" s="33">
        <f>IF(B85&lt;=$B$3,'Index Returns'!C69*'SAA with CME'!D$17,IF(TAAPortfolioPerformance!B85&gt;TAAPortfolioPerformance!$B$4,"",'Index Returns'!C69*TAA!D$24))</f>
        <v/>
      </c>
      <c r="D85" s="33">
        <f>IF(C85&lt;=$B$3,'Index Returns'!D69*'SAA with CME'!E$17,IF(TAAPortfolioPerformance!C85&gt;TAAPortfolioPerformance!$B$4,"",'Index Returns'!D69*TAA!E$24))</f>
        <v/>
      </c>
      <c r="E85" s="33">
        <f>IF(D85&lt;=$B$3,'Index Returns'!E69*'SAA with CME'!F$17,IF(TAAPortfolioPerformance!D85&gt;TAAPortfolioPerformance!$B$4,"",'Index Returns'!E69*TAA!F$24))</f>
        <v/>
      </c>
      <c r="F85" s="33">
        <f>IF(E85&lt;=$B$3,'Index Returns'!F69*'SAA with CME'!G$17,IF(TAAPortfolioPerformance!E85&gt;TAAPortfolioPerformance!$B$4,"",'Index Returns'!F69*TAA!G$24))</f>
        <v/>
      </c>
      <c r="G85" s="33">
        <f>IF(F85&lt;=$B$3,'Index Returns'!G69*'SAA with CME'!H$17,IF(TAAPortfolioPerformance!F85&gt;TAAPortfolioPerformance!$B$4,"",'Index Returns'!G69*TAA!H$24))</f>
        <v/>
      </c>
      <c r="H85" s="33">
        <f>IF(G85="","",SUM(B85:G85))</f>
        <v/>
      </c>
      <c r="I85" s="38">
        <f>IF(G85="","",(MIN(H85-$B$12,0)^2))</f>
        <v/>
      </c>
    </row>
    <row r="86" ht="18" customHeight="1">
      <c r="A86" s="86" t="n">
        <v>45198</v>
      </c>
      <c r="B86" s="33">
        <f>IF(A86&lt;=$B$3,'Index Returns'!B70*'SAA with CME'!C$17,IF(TAAPortfolioPerformance!A86&gt;TAAPortfolioPerformance!$B$4,"",'Index Returns'!B70*TAA!C$24))</f>
        <v/>
      </c>
      <c r="C86" s="33">
        <f>IF(B86&lt;=$B$3,'Index Returns'!C70*'SAA with CME'!D$17,IF(TAAPortfolioPerformance!B86&gt;TAAPortfolioPerformance!$B$4,"",'Index Returns'!C70*TAA!D$24))</f>
        <v/>
      </c>
      <c r="D86" s="33">
        <f>IF(C86&lt;=$B$3,'Index Returns'!D70*'SAA with CME'!E$17,IF(TAAPortfolioPerformance!C86&gt;TAAPortfolioPerformance!$B$4,"",'Index Returns'!D70*TAA!E$24))</f>
        <v/>
      </c>
      <c r="E86" s="33">
        <f>IF(D86&lt;=$B$3,'Index Returns'!E70*'SAA with CME'!F$17,IF(TAAPortfolioPerformance!D86&gt;TAAPortfolioPerformance!$B$4,"",'Index Returns'!E70*TAA!F$24))</f>
        <v/>
      </c>
      <c r="F86" s="33">
        <f>IF(E86&lt;=$B$3,'Index Returns'!F70*'SAA with CME'!G$17,IF(TAAPortfolioPerformance!E86&gt;TAAPortfolioPerformance!$B$4,"",'Index Returns'!F70*TAA!G$24))</f>
        <v/>
      </c>
      <c r="G86" s="33">
        <f>IF(F86&lt;=$B$3,'Index Returns'!G70*'SAA with CME'!H$17,IF(TAAPortfolioPerformance!F86&gt;TAAPortfolioPerformance!$B$4,"",'Index Returns'!G70*TAA!H$24))</f>
        <v/>
      </c>
      <c r="H86" s="33">
        <f>IF(G86="","",SUM(B86:G86))</f>
        <v/>
      </c>
      <c r="I86" s="38">
        <f>IF(G86="","",(MIN(H86-$B$12,0)^2))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3" customWidth="1" min="5" max="5"/>
    <col width="9" customWidth="1" min="6" max="6"/>
    <col width="9" customWidth="1" min="7" max="7"/>
    <col width="14" customWidth="1" min="8" max="8"/>
    <col width="9" customWidth="1" min="9" max="9"/>
    <col width="9" customWidth="1" min="10" max="10"/>
  </cols>
  <sheetData>
    <row r="1">
      <c r="A1" s="90" t="inlineStr">
        <is>
          <t>Distribution of monthly returns: SAA vs. TAA (31-Jan-2018 to 29-Mar-2019)</t>
        </is>
      </c>
    </row>
    <row r="2">
      <c r="A2" s="91" t="inlineStr">
        <is>
          <t>SAA weights all period; TAA = SAA until 31-Dec-2018, then tactical tilts for Jan-Mar 2019 (optimised on Sep-Dec 2018).</t>
        </is>
      </c>
    </row>
    <row r="4">
      <c r="A4" s="92" t="inlineStr">
        <is>
          <t>Statistic</t>
        </is>
      </c>
      <c r="B4" s="92" t="inlineStr">
        <is>
          <t>SAA</t>
        </is>
      </c>
      <c r="C4" s="92" t="inlineStr">
        <is>
          <t>TAA</t>
        </is>
      </c>
      <c r="D4" s="92" t="inlineStr">
        <is>
          <t>TAA - SAA</t>
        </is>
      </c>
      <c r="F4" s="92" t="inlineStr">
        <is>
          <t>From</t>
        </is>
      </c>
      <c r="G4" s="92" t="inlineStr">
        <is>
          <t>To</t>
        </is>
      </c>
      <c r="H4" s="92" t="inlineStr">
        <is>
          <t>Bin</t>
        </is>
      </c>
      <c r="I4" s="92" t="inlineStr">
        <is>
          <t>SAA</t>
        </is>
      </c>
      <c r="J4" s="92" t="inlineStr">
        <is>
          <t>TAA</t>
        </is>
      </c>
    </row>
    <row r="5">
      <c r="A5" s="93" t="inlineStr">
        <is>
          <t>Number of months</t>
        </is>
      </c>
      <c r="B5" s="94">
        <f>COUNT(SAAPortfolioPerformance!$H$17:$H$31)</f>
        <v/>
      </c>
      <c r="C5" s="94">
        <f>COUNT(TAAPortfolioPerformance!$H$18:$H$32)</f>
        <v/>
      </c>
      <c r="D5" s="94" t="n"/>
      <c r="F5" s="95" t="n">
        <v>-0.06</v>
      </c>
      <c r="G5" s="95" t="n">
        <v>-0.05</v>
      </c>
      <c r="H5" s="96">
        <f>TEXT(F5,"0%")&amp;" to "&amp;TEXT(G5,"0%")</f>
        <v/>
      </c>
      <c r="I5" s="96">
        <f>COUNTIFS(SAAPortfolioPerformance!$H$17:$H$31,"&gt;"&amp;F5,SAAPortfolioPerformance!$H$17:$H$31,"&lt;="&amp;G5)</f>
        <v/>
      </c>
      <c r="J5" s="96">
        <f>COUNTIFS(TAAPortfolioPerformance!$H$18:$H$32,"&gt;"&amp;F5,TAAPortfolioPerformance!$H$18:$H$32,"&lt;="&amp;G5)</f>
        <v/>
      </c>
    </row>
    <row r="6">
      <c r="A6" s="93" t="inlineStr">
        <is>
          <t>Mean monthly return</t>
        </is>
      </c>
      <c r="B6" s="97">
        <f>AVERAGE(SAAPortfolioPerformance!$H$17:$H$31)</f>
        <v/>
      </c>
      <c r="C6" s="97">
        <f>AVERAGE(TAAPortfolioPerformance!$H$18:$H$32)</f>
        <v/>
      </c>
      <c r="D6" s="97">
        <f>C6-B6</f>
        <v/>
      </c>
      <c r="F6" s="95" t="n">
        <v>-0.05</v>
      </c>
      <c r="G6" s="95" t="n">
        <v>-0.04</v>
      </c>
      <c r="H6" s="96">
        <f>TEXT(F6,"0%")&amp;" to "&amp;TEXT(G6,"0%")</f>
        <v/>
      </c>
      <c r="I6" s="96">
        <f>COUNTIFS(SAAPortfolioPerformance!$H$17:$H$31,"&gt;"&amp;F6,SAAPortfolioPerformance!$H$17:$H$31,"&lt;="&amp;G6)</f>
        <v/>
      </c>
      <c r="J6" s="96">
        <f>COUNTIFS(TAAPortfolioPerformance!$H$18:$H$32,"&gt;"&amp;F6,TAAPortfolioPerformance!$H$18:$H$32,"&lt;="&amp;G6)</f>
        <v/>
      </c>
    </row>
    <row r="7">
      <c r="A7" s="93" t="inlineStr">
        <is>
          <t>Monthly risk (std. dev.)</t>
        </is>
      </c>
      <c r="B7" s="97">
        <f>_xlfn.STDEV.S(SAAPortfolioPerformance!$H$17:$H$31)</f>
        <v/>
      </c>
      <c r="C7" s="97">
        <f>_xlfn.STDEV.S(TAAPortfolioPerformance!$H$18:$H$32)</f>
        <v/>
      </c>
      <c r="D7" s="97">
        <f>C7-B7</f>
        <v/>
      </c>
      <c r="F7" s="95" t="n">
        <v>-0.04</v>
      </c>
      <c r="G7" s="95" t="n">
        <v>-0.03</v>
      </c>
      <c r="H7" s="96">
        <f>TEXT(F7,"0%")&amp;" to "&amp;TEXT(G7,"0%")</f>
        <v/>
      </c>
      <c r="I7" s="96">
        <f>COUNTIFS(SAAPortfolioPerformance!$H$17:$H$31,"&gt;"&amp;F7,SAAPortfolioPerformance!$H$17:$H$31,"&lt;="&amp;G7)</f>
        <v/>
      </c>
      <c r="J7" s="96">
        <f>COUNTIFS(TAAPortfolioPerformance!$H$18:$H$32,"&gt;"&amp;F7,TAAPortfolioPerformance!$H$18:$H$32,"&lt;="&amp;G7)</f>
        <v/>
      </c>
    </row>
    <row r="8">
      <c r="A8" s="93" t="inlineStr">
        <is>
          <t>Annual portfolio return</t>
        </is>
      </c>
      <c r="B8" s="98">
        <f>SAAPortfolioPerformance!B5</f>
        <v/>
      </c>
      <c r="C8" s="98">
        <f>TAAPortfolioPerformance!B6</f>
        <v/>
      </c>
      <c r="D8" s="98">
        <f>C8-B8</f>
        <v/>
      </c>
      <c r="F8" s="95" t="n">
        <v>-0.03</v>
      </c>
      <c r="G8" s="95" t="n">
        <v>-0.02</v>
      </c>
      <c r="H8" s="96">
        <f>TEXT(F8,"0%")&amp;" to "&amp;TEXT(G8,"0%")</f>
        <v/>
      </c>
      <c r="I8" s="96">
        <f>COUNTIFS(SAAPortfolioPerformance!$H$17:$H$31,"&gt;"&amp;F8,SAAPortfolioPerformance!$H$17:$H$31,"&lt;="&amp;G8)</f>
        <v/>
      </c>
      <c r="J8" s="96">
        <f>COUNTIFS(TAAPortfolioPerformance!$H$18:$H$32,"&gt;"&amp;F8,TAAPortfolioPerformance!$H$18:$H$32,"&lt;="&amp;G8)</f>
        <v/>
      </c>
    </row>
    <row r="9">
      <c r="A9" s="93" t="inlineStr">
        <is>
          <t>Compounded annual return</t>
        </is>
      </c>
      <c r="B9" s="97">
        <f>SAAPortfolioPerformance!B6</f>
        <v/>
      </c>
      <c r="C9" s="97">
        <f>TAAPortfolioPerformance!B7</f>
        <v/>
      </c>
      <c r="D9" s="97">
        <f>C9-B9</f>
        <v/>
      </c>
      <c r="F9" s="95" t="n">
        <v>-0.02</v>
      </c>
      <c r="G9" s="95" t="n">
        <v>-0.01</v>
      </c>
      <c r="H9" s="96">
        <f>TEXT(F9,"0%")&amp;" to "&amp;TEXT(G9,"0%")</f>
        <v/>
      </c>
      <c r="I9" s="96">
        <f>COUNTIFS(SAAPortfolioPerformance!$H$17:$H$31,"&gt;"&amp;F9,SAAPortfolioPerformance!$H$17:$H$31,"&lt;="&amp;G9)</f>
        <v/>
      </c>
      <c r="J9" s="96">
        <f>COUNTIFS(TAAPortfolioPerformance!$H$18:$H$32,"&gt;"&amp;F9,TAAPortfolioPerformance!$H$18:$H$32,"&lt;="&amp;G9)</f>
        <v/>
      </c>
    </row>
    <row r="10">
      <c r="A10" s="93" t="inlineStr">
        <is>
          <t>Annual volatility</t>
        </is>
      </c>
      <c r="B10" s="97">
        <f>SAAPortfolioPerformance!B7</f>
        <v/>
      </c>
      <c r="C10" s="97">
        <f>TAAPortfolioPerformance!B8</f>
        <v/>
      </c>
      <c r="D10" s="97">
        <f>C10-B10</f>
        <v/>
      </c>
      <c r="F10" s="95" t="n">
        <v>-0.01</v>
      </c>
      <c r="G10" s="95" t="n">
        <v>0</v>
      </c>
      <c r="H10" s="96">
        <f>TEXT(F10,"0%")&amp;" to "&amp;TEXT(G10,"0%")</f>
        <v/>
      </c>
      <c r="I10" s="96">
        <f>COUNTIFS(SAAPortfolioPerformance!$H$17:$H$31,"&gt;"&amp;F10,SAAPortfolioPerformance!$H$17:$H$31,"&lt;="&amp;G10)</f>
        <v/>
      </c>
      <c r="J10" s="96">
        <f>COUNTIFS(TAAPortfolioPerformance!$H$18:$H$32,"&gt;"&amp;F10,TAAPortfolioPerformance!$H$18:$H$32,"&lt;="&amp;G10)</f>
        <v/>
      </c>
    </row>
    <row r="11">
      <c r="A11" s="93" t="inlineStr">
        <is>
          <t>Skewness</t>
        </is>
      </c>
      <c r="B11" s="99">
        <f>SAAPortfolioPerformance!F3</f>
        <v/>
      </c>
      <c r="C11" s="99">
        <f>TAAPortfolioPerformance!F3</f>
        <v/>
      </c>
      <c r="D11" s="99">
        <f>C11-B11</f>
        <v/>
      </c>
      <c r="F11" s="95" t="n">
        <v>0</v>
      </c>
      <c r="G11" s="95" t="n">
        <v>0.01</v>
      </c>
      <c r="H11" s="96">
        <f>TEXT(F11,"0%")&amp;" to "&amp;TEXT(G11,"0%")</f>
        <v/>
      </c>
      <c r="I11" s="96">
        <f>COUNTIFS(SAAPortfolioPerformance!$H$17:$H$31,"&gt;"&amp;F11,SAAPortfolioPerformance!$H$17:$H$31,"&lt;="&amp;G11)</f>
        <v/>
      </c>
      <c r="J11" s="96">
        <f>COUNTIFS(TAAPortfolioPerformance!$H$18:$H$32,"&gt;"&amp;F11,TAAPortfolioPerformance!$H$18:$H$32,"&lt;="&amp;G11)</f>
        <v/>
      </c>
    </row>
    <row r="12">
      <c r="A12" s="93" t="inlineStr">
        <is>
          <t>Excess kurtosis</t>
        </is>
      </c>
      <c r="B12" s="99">
        <f>SAAPortfolioPerformance!F4</f>
        <v/>
      </c>
      <c r="C12" s="99">
        <f>TAAPortfolioPerformance!F4</f>
        <v/>
      </c>
      <c r="D12" s="99">
        <f>C12-B12</f>
        <v/>
      </c>
      <c r="F12" s="95" t="n">
        <v>0.01</v>
      </c>
      <c r="G12" s="95" t="n">
        <v>0.02</v>
      </c>
      <c r="H12" s="96">
        <f>TEXT(F12,"0%")&amp;" to "&amp;TEXT(G12,"0%")</f>
        <v/>
      </c>
      <c r="I12" s="96">
        <f>COUNTIFS(SAAPortfolioPerformance!$H$17:$H$31,"&gt;"&amp;F12,SAAPortfolioPerformance!$H$17:$H$31,"&lt;="&amp;G12)</f>
        <v/>
      </c>
      <c r="J12" s="96">
        <f>COUNTIFS(TAAPortfolioPerformance!$H$18:$H$32,"&gt;"&amp;F12,TAAPortfolioPerformance!$H$18:$H$32,"&lt;="&amp;G12)</f>
        <v/>
      </c>
    </row>
    <row r="13">
      <c r="A13" s="93" t="inlineStr">
        <is>
          <t>Best month</t>
        </is>
      </c>
      <c r="B13" s="97">
        <f>MAX(SAAPortfolioPerformance!$H$17:$H$31)</f>
        <v/>
      </c>
      <c r="C13" s="97">
        <f>MAX(TAAPortfolioPerformance!$H$18:$H$32)</f>
        <v/>
      </c>
      <c r="D13" s="97">
        <f>C13-B13</f>
        <v/>
      </c>
      <c r="F13" s="95" t="n">
        <v>0.02</v>
      </c>
      <c r="G13" s="95" t="n">
        <v>0.03</v>
      </c>
      <c r="H13" s="96">
        <f>TEXT(F13,"0%")&amp;" to "&amp;TEXT(G13,"0%")</f>
        <v/>
      </c>
      <c r="I13" s="96">
        <f>COUNTIFS(SAAPortfolioPerformance!$H$17:$H$31,"&gt;"&amp;F13,SAAPortfolioPerformance!$H$17:$H$31,"&lt;="&amp;G13)</f>
        <v/>
      </c>
      <c r="J13" s="96">
        <f>COUNTIFS(TAAPortfolioPerformance!$H$18:$H$32,"&gt;"&amp;F13,TAAPortfolioPerformance!$H$18:$H$32,"&lt;="&amp;G13)</f>
        <v/>
      </c>
    </row>
    <row r="14">
      <c r="A14" s="93" t="inlineStr">
        <is>
          <t>Worst month</t>
        </is>
      </c>
      <c r="B14" s="97">
        <f>MIN(SAAPortfolioPerformance!$H$17:$H$31)</f>
        <v/>
      </c>
      <c r="C14" s="97">
        <f>MIN(TAAPortfolioPerformance!$H$18:$H$32)</f>
        <v/>
      </c>
      <c r="D14" s="97">
        <f>C14-B14</f>
        <v/>
      </c>
      <c r="F14" s="95" t="n">
        <v>0.03</v>
      </c>
      <c r="G14" s="95" t="n">
        <v>0.04</v>
      </c>
      <c r="H14" s="96">
        <f>TEXT(F14,"0%")&amp;" to "&amp;TEXT(G14,"0%")</f>
        <v/>
      </c>
      <c r="I14" s="96">
        <f>COUNTIFS(SAAPortfolioPerformance!$H$17:$H$31,"&gt;"&amp;F14,SAAPortfolioPerformance!$H$17:$H$31,"&lt;="&amp;G14)</f>
        <v/>
      </c>
      <c r="J14" s="96">
        <f>COUNTIFS(TAAPortfolioPerformance!$H$18:$H$32,"&gt;"&amp;F14,TAAPortfolioPerformance!$H$18:$H$32,"&lt;="&amp;G14)</f>
        <v/>
      </c>
    </row>
    <row r="15">
      <c r="A15" s="93" t="inlineStr">
        <is>
          <t>Negative months</t>
        </is>
      </c>
      <c r="B15" s="94">
        <f>COUNTIF(SAAPortfolioPerformance!$H$17:$H$31,"&lt;0")</f>
        <v/>
      </c>
      <c r="C15" s="94">
        <f>COUNTIF(TAAPortfolioPerformance!$H$18:$H$32,"&lt;0")</f>
        <v/>
      </c>
      <c r="D15" s="94">
        <f>C15-B15</f>
        <v/>
      </c>
      <c r="F15" s="95" t="n">
        <v>0.04</v>
      </c>
      <c r="G15" s="95" t="n">
        <v>0.05</v>
      </c>
      <c r="H15" s="96">
        <f>TEXT(F15,"0%")&amp;" to "&amp;TEXT(G15,"0%")</f>
        <v/>
      </c>
      <c r="I15" s="96">
        <f>COUNTIFS(SAAPortfolioPerformance!$H$17:$H$31,"&gt;"&amp;F15,SAAPortfolioPerformance!$H$17:$H$31,"&lt;="&amp;G15)</f>
        <v/>
      </c>
      <c r="J15" s="96">
        <f>COUNTIFS(TAAPortfolioPerformance!$H$18:$H$32,"&gt;"&amp;F15,TAAPortfolioPerformance!$H$18:$H$32,"&lt;="&amp;G15)</f>
        <v/>
      </c>
    </row>
    <row r="16">
      <c r="A16" s="93" t="inlineStr">
        <is>
          <t>Risk-free rate / MAR</t>
        </is>
      </c>
      <c r="B16" s="97">
        <f>SAAPortfolioPerformance!B8</f>
        <v/>
      </c>
      <c r="C16" s="97">
        <f>TAAPortfolioPerformance!B9</f>
        <v/>
      </c>
      <c r="D16" s="97" t="n"/>
      <c r="H16" s="93" t="inlineStr">
        <is>
          <t>Total</t>
        </is>
      </c>
      <c r="I16" s="93">
        <f>SUM(I5:I15)</f>
        <v/>
      </c>
      <c r="J16" s="93">
        <f>SUM(J5:J15)</f>
        <v/>
      </c>
    </row>
    <row r="17">
      <c r="A17" s="93" t="inlineStr">
        <is>
          <t>Sharpe ratio</t>
        </is>
      </c>
      <c r="B17" s="100">
        <f>SAAPortfolioPerformance!B9</f>
        <v/>
      </c>
      <c r="C17" s="100">
        <f>TAAPortfolioPerformance!B10</f>
        <v/>
      </c>
      <c r="D17" s="100">
        <f>C17-B17</f>
        <v/>
      </c>
      <c r="F17" s="91" t="inlineStr">
        <is>
          <t>Bins are (From, To] - each month counted once.</t>
        </is>
      </c>
    </row>
    <row r="18">
      <c r="A18" s="93" t="inlineStr">
        <is>
          <t>Target semi-standard deviation</t>
        </is>
      </c>
      <c r="B18" s="97">
        <f>SAAPortfolioPerformance!B12</f>
        <v/>
      </c>
      <c r="C18" s="97">
        <f>TAAPortfolioPerformance!B13</f>
        <v/>
      </c>
      <c r="D18" s="97">
        <f>C18-B18</f>
        <v/>
      </c>
    </row>
    <row r="19">
      <c r="A19" s="93" t="inlineStr">
        <is>
          <t>Sortino ratio (MAR = 2.35%)</t>
        </is>
      </c>
      <c r="B19" s="100">
        <f>SAAPortfolioPerformance!B13</f>
        <v/>
      </c>
      <c r="C19" s="100">
        <f>TAAPortfolioPerformance!B14</f>
        <v/>
      </c>
      <c r="D19" s="100">
        <f>C19-B19</f>
        <v/>
      </c>
    </row>
    <row r="22">
      <c r="A22" s="101" t="inlineStr">
        <is>
          <t>TAA impact over the tilt period (Jan-Mar 2019)</t>
        </is>
      </c>
    </row>
    <row r="23">
      <c r="A23" s="92" t="inlineStr">
        <is>
          <t>Measure</t>
        </is>
      </c>
      <c r="B23" s="92" t="inlineStr">
        <is>
          <t>SAA</t>
        </is>
      </c>
      <c r="C23" s="92" t="inlineStr">
        <is>
          <t>TAA</t>
        </is>
      </c>
      <c r="D23" s="92" t="inlineStr">
        <is>
          <t>Value added by TAA</t>
        </is>
      </c>
    </row>
    <row r="24">
      <c r="A24" s="93" t="inlineStr">
        <is>
          <t>Cumulative return Jan-Mar 2019</t>
        </is>
      </c>
      <c r="B24" s="97">
        <f>(1+SAAPortfolioPerformance!H29)*(1+SAAPortfolioPerformance!H30)*(1+SAAPortfolioPerformance!H31)-1</f>
        <v/>
      </c>
      <c r="C24" s="97">
        <f>(1+TAAPortfolioPerformance!H30)*(1+TAAPortfolioPerformance!H31)*(1+TAAPortfolioPerformance!H32)-1</f>
        <v/>
      </c>
      <c r="D24" s="98">
        <f>C24-B24</f>
        <v/>
      </c>
    </row>
    <row r="25">
      <c r="A25" s="93" t="inlineStr">
        <is>
          <t>Value added on the portfolio (per USD 1m)</t>
        </is>
      </c>
      <c r="B25" s="102" t="n"/>
      <c r="C25" s="102" t="n"/>
      <c r="D25" s="102">
        <f>D24*1000000</f>
        <v/>
      </c>
    </row>
    <row r="26">
      <c r="A26" s="93" t="inlineStr">
        <is>
          <t>TAA added value?</t>
        </is>
      </c>
      <c r="B26" s="96" t="n"/>
      <c r="C26" s="96" t="n"/>
      <c r="D26" s="103">
        <f>IF(D24&gt;0,"Yes - TAA outperformed SAA","No - TAA underperformed SAA")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06005A"/>
    <outlinePr summaryBelow="1" summaryRight="1"/>
    <pageSetUpPr/>
  </sheetPr>
  <dimension ref="A1:DA127"/>
  <sheetViews>
    <sheetView zoomScaleNormal="100" workbookViewId="0">
      <selection activeCell="B2" sqref="B2"/>
    </sheetView>
  </sheetViews>
  <sheetFormatPr baseColWidth="8" defaultColWidth="8.7265625" defaultRowHeight="17.5"/>
  <cols>
    <col width="3.453125" customWidth="1" style="2" min="1" max="1"/>
    <col width="42" customWidth="1" style="2" min="2" max="2"/>
    <col width="15" bestFit="1" customWidth="1" style="2" min="3" max="3"/>
    <col hidden="1" width="16.7265625" customWidth="1" style="2" min="4" max="4"/>
    <col hidden="1" width="15" customWidth="1" style="2" min="5" max="16"/>
    <col width="15" customWidth="1" min="6" max="6"/>
    <col width="15" customWidth="1" min="7" max="7"/>
    <col width="15" customWidth="1" min="8" max="8"/>
    <col hidden="1" width="11.453125" customWidth="1" style="2" min="17" max="17"/>
    <col width="12.54296875" bestFit="1" customWidth="1" style="2" min="18" max="18"/>
    <col hidden="1" width="12.453125" customWidth="1" style="2" min="19" max="20"/>
    <col hidden="1" width="11.453125" customWidth="1" style="2" min="21" max="22"/>
    <col hidden="1" width="12.453125" customWidth="1" style="2" min="23" max="32"/>
    <col width="12.54296875" bestFit="1" customWidth="1" style="2" min="33" max="33"/>
    <col hidden="1" width="12.453125" customWidth="1" style="2" min="34" max="35"/>
    <col hidden="1" width="11.453125" customWidth="1" style="2" min="36" max="47"/>
    <col width="11.54296875" bestFit="1" customWidth="1" style="2" min="48" max="48"/>
    <col hidden="1" width="11.453125" customWidth="1" style="2" min="49" max="62"/>
    <col width="11.54296875" bestFit="1" customWidth="1" style="2" min="63" max="63"/>
    <col hidden="1" width="11.453125" customWidth="1" style="2" min="64" max="77"/>
    <col width="11.54296875" bestFit="1" customWidth="1" style="2" min="78" max="78"/>
    <col hidden="1" width="11.453125" customWidth="1" style="2" min="79" max="92"/>
    <col width="11.54296875" bestFit="1" customWidth="1" style="2" min="93" max="93"/>
    <col width="8.7265625" customWidth="1" style="2" min="94" max="16384"/>
  </cols>
  <sheetData>
    <row r="1" customFormat="1" s="46">
      <c r="A1" s="62" t="n"/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  <c r="Y1" s="62" t="n"/>
      <c r="Z1" s="62" t="n"/>
      <c r="AA1" s="62" t="n"/>
      <c r="AB1" s="62" t="n"/>
      <c r="AC1" s="62" t="n"/>
      <c r="AD1" s="62" t="n"/>
      <c r="AE1" s="62" t="n"/>
      <c r="AF1" s="62" t="n"/>
      <c r="AG1" s="62" t="n"/>
      <c r="AH1" s="62" t="n"/>
      <c r="AI1" s="62" t="n"/>
      <c r="AJ1" s="62" t="n"/>
      <c r="AK1" s="62" t="n"/>
      <c r="AL1" s="62" t="n"/>
      <c r="AM1" s="62" t="n"/>
      <c r="AN1" s="62" t="n"/>
      <c r="AO1" s="62" t="n"/>
      <c r="AP1" s="62" t="n"/>
      <c r="AQ1" s="62" t="n"/>
      <c r="AR1" s="62" t="n"/>
      <c r="AS1" s="62" t="n"/>
      <c r="AT1" s="62" t="n"/>
      <c r="AU1" s="62" t="n"/>
      <c r="AV1" s="62" t="n"/>
      <c r="AW1" s="62" t="n"/>
      <c r="AX1" s="62" t="n"/>
      <c r="AY1" s="62" t="n"/>
      <c r="AZ1" s="62" t="n"/>
      <c r="BA1" s="62" t="n"/>
      <c r="BB1" s="62" t="n"/>
      <c r="BC1" s="62" t="n"/>
      <c r="BD1" s="62" t="n"/>
      <c r="BE1" s="62" t="n"/>
      <c r="BF1" s="62" t="n"/>
      <c r="BG1" s="62" t="n"/>
      <c r="BH1" s="62" t="n"/>
      <c r="BI1" s="62" t="n"/>
      <c r="BJ1" s="62" t="n"/>
      <c r="BK1" s="62" t="n"/>
      <c r="BL1" s="62" t="n"/>
      <c r="BM1" s="62" t="n"/>
      <c r="BN1" s="62" t="n"/>
      <c r="BO1" s="62" t="n"/>
      <c r="BP1" s="62" t="n"/>
      <c r="BQ1" s="62" t="n"/>
      <c r="BR1" s="62" t="n"/>
      <c r="BS1" s="62" t="n"/>
      <c r="BT1" s="62" t="n"/>
      <c r="BU1" s="62" t="n"/>
      <c r="BV1" s="62" t="n"/>
      <c r="BW1" s="62" t="n"/>
      <c r="BX1" s="62" t="n"/>
      <c r="BY1" s="62" t="n"/>
      <c r="BZ1" s="62" t="n"/>
      <c r="CA1" s="62" t="n"/>
      <c r="CB1" s="62" t="n"/>
      <c r="CC1" s="62" t="n"/>
      <c r="CD1" s="62" t="n"/>
      <c r="CE1" s="62" t="n"/>
      <c r="CF1" s="62" t="n"/>
      <c r="CG1" s="62" t="n"/>
      <c r="CH1" s="62" t="n"/>
      <c r="CI1" s="62" t="n"/>
      <c r="CJ1" s="62" t="n"/>
      <c r="CK1" s="62" t="n"/>
      <c r="CL1" s="62" t="n"/>
      <c r="CM1" s="62" t="n"/>
      <c r="CN1" s="62" t="n"/>
      <c r="CO1" s="62" t="n"/>
    </row>
    <row r="2" ht="18" customFormat="1" customHeight="1" s="46">
      <c r="A2" s="62" t="n"/>
      <c r="B2" s="51" t="inlineStr">
        <is>
          <t>Interest Rates</t>
        </is>
      </c>
      <c r="C2" s="62" t="n"/>
      <c r="D2" s="62" t="n"/>
      <c r="E2" s="62" t="n"/>
      <c r="F2" s="62" t="n"/>
      <c r="G2" s="62" t="n"/>
      <c r="H2" s="62" t="n"/>
      <c r="I2" s="62" t="n"/>
      <c r="J2" s="62" t="n"/>
      <c r="K2" s="62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  <c r="Z2" s="62" t="n"/>
      <c r="AA2" s="62" t="n"/>
      <c r="AB2" s="62" t="n"/>
      <c r="AC2" s="62" t="n"/>
      <c r="AD2" s="62" t="n"/>
      <c r="AE2" s="62" t="n"/>
      <c r="AF2" s="62" t="n"/>
      <c r="AG2" s="62" t="n"/>
      <c r="AH2" s="62" t="n"/>
      <c r="AI2" s="62" t="n"/>
      <c r="AJ2" s="62" t="n"/>
      <c r="AK2" s="62" t="n"/>
      <c r="AL2" s="62" t="n"/>
      <c r="AM2" s="62" t="n"/>
      <c r="AN2" s="62" t="n"/>
      <c r="AO2" s="62" t="n"/>
      <c r="AP2" s="62" t="n"/>
      <c r="AQ2" s="62" t="n"/>
      <c r="AR2" s="62" t="n"/>
      <c r="AS2" s="62" t="n"/>
      <c r="AT2" s="62" t="n"/>
      <c r="AU2" s="62" t="n"/>
      <c r="AV2" s="62" t="n"/>
      <c r="AW2" s="62" t="n"/>
      <c r="AX2" s="62" t="n"/>
      <c r="AY2" s="62" t="n"/>
      <c r="AZ2" s="62" t="n"/>
      <c r="BA2" s="62" t="n"/>
      <c r="BB2" s="62" t="n"/>
      <c r="BC2" s="62" t="n"/>
      <c r="BD2" s="62" t="n"/>
      <c r="BE2" s="62" t="n"/>
      <c r="BF2" s="62" t="n"/>
      <c r="BG2" s="62" t="n"/>
      <c r="BH2" s="62" t="n"/>
      <c r="BI2" s="62" t="n"/>
      <c r="BJ2" s="62" t="n"/>
      <c r="BK2" s="62" t="n"/>
      <c r="BL2" s="62" t="n"/>
      <c r="BM2" s="62" t="n"/>
      <c r="BN2" s="62" t="n"/>
      <c r="BO2" s="62" t="n"/>
      <c r="BP2" s="62" t="n"/>
      <c r="BQ2" s="62" t="n"/>
      <c r="BR2" s="62" t="n"/>
      <c r="BS2" s="62" t="n"/>
      <c r="BT2" s="62" t="n"/>
      <c r="BU2" s="62" t="n"/>
      <c r="BV2" s="62" t="n"/>
      <c r="BW2" s="62" t="n"/>
      <c r="BX2" s="62" t="n"/>
      <c r="BY2" s="62" t="n"/>
      <c r="BZ2" s="62" t="n"/>
      <c r="CA2" s="62" t="n"/>
      <c r="CB2" s="62" t="n"/>
      <c r="CC2" s="62" t="n"/>
      <c r="CD2" s="62" t="n"/>
      <c r="CE2" s="62" t="n"/>
      <c r="CF2" s="62" t="n"/>
      <c r="CG2" s="62" t="n"/>
      <c r="CH2" s="62" t="n"/>
      <c r="CI2" s="62" t="n"/>
      <c r="CJ2" s="62" t="n"/>
      <c r="CK2" s="62" t="n"/>
      <c r="CL2" s="62" t="n"/>
      <c r="CM2" s="62" t="n"/>
      <c r="CN2" s="62" t="n"/>
      <c r="CO2" s="62" t="n"/>
    </row>
    <row r="3" customFormat="1" s="46">
      <c r="A3" s="62" t="n"/>
      <c r="B3" s="52" t="inlineStr">
        <is>
          <t>GBP rate</t>
        </is>
      </c>
      <c r="C3" s="53" t="n">
        <v>0.01219</v>
      </c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  <c r="M3" s="62" t="n"/>
      <c r="N3" s="62" t="n"/>
      <c r="O3" s="62" t="n"/>
      <c r="P3" s="62" t="n"/>
      <c r="Q3" s="62" t="n"/>
      <c r="R3" s="62" t="n"/>
      <c r="S3" s="62" t="n"/>
      <c r="T3" s="62" t="n"/>
      <c r="U3" s="62" t="n"/>
      <c r="V3" s="62" t="n"/>
      <c r="W3" s="62" t="n"/>
      <c r="X3" s="62" t="n"/>
      <c r="Y3" s="62" t="n"/>
      <c r="Z3" s="62" t="n"/>
      <c r="AA3" s="62" t="n"/>
      <c r="AB3" s="62" t="n"/>
      <c r="AC3" s="62" t="n"/>
      <c r="AD3" s="62" t="n"/>
      <c r="AE3" s="62" t="n"/>
      <c r="AF3" s="62" t="n"/>
      <c r="AG3" s="62" t="n"/>
      <c r="AH3" s="62" t="n"/>
      <c r="AI3" s="62" t="n"/>
      <c r="AJ3" s="62" t="n"/>
      <c r="AK3" s="62" t="n"/>
      <c r="AL3" s="62" t="n"/>
      <c r="AM3" s="62" t="n"/>
      <c r="AN3" s="62" t="n"/>
      <c r="AO3" s="62" t="n"/>
      <c r="AP3" s="62" t="n"/>
      <c r="AQ3" s="62" t="n"/>
      <c r="AR3" s="62" t="n"/>
      <c r="AS3" s="62" t="n"/>
      <c r="AT3" s="62" t="n"/>
      <c r="AU3" s="62" t="n"/>
      <c r="AV3" s="62" t="n"/>
      <c r="AW3" s="62" t="n"/>
      <c r="AX3" s="62" t="n"/>
      <c r="AY3" s="62" t="n"/>
      <c r="AZ3" s="62" t="n"/>
      <c r="BA3" s="62" t="n"/>
      <c r="BB3" s="62" t="n"/>
      <c r="BC3" s="62" t="n"/>
      <c r="BD3" s="62" t="n"/>
      <c r="BE3" s="62" t="n"/>
      <c r="BF3" s="62" t="n"/>
      <c r="BG3" s="62" t="n"/>
      <c r="BH3" s="62" t="n"/>
      <c r="BI3" s="62" t="n"/>
      <c r="BJ3" s="62" t="n"/>
      <c r="BK3" s="62" t="n"/>
      <c r="BL3" s="62" t="n"/>
      <c r="BM3" s="62" t="n"/>
      <c r="BN3" s="62" t="n"/>
      <c r="BO3" s="62" t="n"/>
      <c r="BP3" s="62" t="n"/>
      <c r="BQ3" s="62" t="n"/>
      <c r="BR3" s="62" t="n"/>
      <c r="BS3" s="62" t="n"/>
      <c r="BT3" s="62" t="n"/>
      <c r="BU3" s="62" t="n"/>
      <c r="BV3" s="62" t="n"/>
      <c r="BW3" s="62" t="n"/>
      <c r="BX3" s="62" t="n"/>
      <c r="BY3" s="62" t="n"/>
      <c r="BZ3" s="62" t="n"/>
      <c r="CA3" s="62" t="n"/>
      <c r="CB3" s="62" t="n"/>
      <c r="CC3" s="62" t="n"/>
      <c r="CD3" s="62" t="n"/>
      <c r="CE3" s="62" t="n"/>
      <c r="CF3" s="62" t="n"/>
      <c r="CG3" s="62" t="n"/>
      <c r="CH3" s="62" t="n"/>
      <c r="CI3" s="62" t="n"/>
      <c r="CJ3" s="62" t="n"/>
      <c r="CK3" s="62" t="n"/>
      <c r="CL3" s="62" t="n"/>
      <c r="CM3" s="62" t="n"/>
      <c r="CN3" s="62" t="n"/>
      <c r="CO3" s="62" t="n"/>
    </row>
    <row r="4" customFormat="1" s="46">
      <c r="A4" s="62" t="n"/>
      <c r="B4" s="52" t="inlineStr">
        <is>
          <t>USD rate</t>
        </is>
      </c>
      <c r="C4" s="53" t="n">
        <v>0.02684</v>
      </c>
      <c r="D4" s="62" t="n"/>
      <c r="E4" s="62" t="n"/>
      <c r="F4" s="62" t="n"/>
      <c r="G4" s="62" t="n"/>
      <c r="H4" s="62" t="n"/>
      <c r="I4" s="62" t="n"/>
      <c r="J4" s="62" t="n"/>
      <c r="K4" s="62" t="n"/>
      <c r="L4" s="62" t="n"/>
      <c r="M4" s="62" t="n"/>
      <c r="N4" s="62" t="n"/>
      <c r="O4" s="62" t="n"/>
      <c r="P4" s="62" t="n"/>
      <c r="Q4" s="62" t="n"/>
      <c r="R4" s="62" t="n"/>
      <c r="S4" s="62" t="n"/>
      <c r="T4" s="62" t="n"/>
      <c r="U4" s="62" t="n"/>
      <c r="V4" s="62" t="n"/>
      <c r="W4" s="62" t="n"/>
      <c r="X4" s="62" t="n"/>
      <c r="Y4" s="62" t="n"/>
      <c r="Z4" s="62" t="n"/>
      <c r="AA4" s="62" t="n"/>
      <c r="AB4" s="62" t="n"/>
      <c r="AC4" s="62" t="n"/>
      <c r="AD4" s="62" t="n"/>
      <c r="AE4" s="62" t="n"/>
      <c r="AF4" s="62" t="n"/>
      <c r="AG4" s="62" t="n"/>
      <c r="AH4" s="62" t="n"/>
      <c r="AI4" s="62" t="n"/>
      <c r="AJ4" s="62" t="n"/>
      <c r="AK4" s="62" t="n"/>
      <c r="AL4" s="62" t="n"/>
      <c r="AM4" s="62" t="n"/>
      <c r="AN4" s="62" t="n"/>
      <c r="AO4" s="62" t="n"/>
      <c r="AP4" s="62" t="n"/>
      <c r="AQ4" s="62" t="n"/>
      <c r="AR4" s="62" t="n"/>
      <c r="AS4" s="62" t="n"/>
      <c r="AT4" s="62" t="n"/>
      <c r="AU4" s="62" t="n"/>
      <c r="AV4" s="62" t="n"/>
      <c r="AW4" s="62" t="n"/>
      <c r="AX4" s="62" t="n"/>
      <c r="AY4" s="62" t="n"/>
      <c r="AZ4" s="62" t="n"/>
      <c r="BA4" s="62" t="n"/>
      <c r="BB4" s="62" t="n"/>
      <c r="BC4" s="62" t="n"/>
      <c r="BD4" s="62" t="n"/>
      <c r="BE4" s="62" t="n"/>
      <c r="BF4" s="62" t="n"/>
      <c r="BG4" s="62" t="n"/>
      <c r="BH4" s="62" t="n"/>
      <c r="BI4" s="62" t="n"/>
      <c r="BJ4" s="62" t="n"/>
      <c r="BK4" s="62" t="n"/>
      <c r="BL4" s="62" t="n"/>
      <c r="BM4" s="62" t="n"/>
      <c r="BN4" s="62" t="n"/>
      <c r="BO4" s="62" t="n"/>
      <c r="BP4" s="62" t="n"/>
      <c r="BQ4" s="62" t="n"/>
      <c r="BR4" s="62" t="n"/>
      <c r="BS4" s="62" t="n"/>
      <c r="BT4" s="62" t="n"/>
      <c r="BU4" s="62" t="n"/>
      <c r="BV4" s="62" t="n"/>
      <c r="BW4" s="62" t="n"/>
      <c r="BX4" s="62" t="n"/>
      <c r="BY4" s="62" t="n"/>
      <c r="BZ4" s="62" t="n"/>
      <c r="CA4" s="62" t="n"/>
      <c r="CB4" s="62" t="n"/>
      <c r="CC4" s="62" t="n"/>
      <c r="CD4" s="62" t="n"/>
      <c r="CE4" s="62" t="n"/>
      <c r="CF4" s="62" t="n"/>
      <c r="CG4" s="62" t="n"/>
      <c r="CH4" s="62" t="n"/>
      <c r="CI4" s="62" t="n"/>
      <c r="CJ4" s="62" t="n"/>
      <c r="CK4" s="62" t="n"/>
      <c r="CL4" s="62" t="n"/>
      <c r="CM4" s="62" t="n"/>
      <c r="CN4" s="62" t="n"/>
      <c r="CO4" s="62" t="n"/>
    </row>
    <row r="5" customFormat="1" s="46">
      <c r="A5" s="62" t="n"/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  <c r="T5" s="62" t="n"/>
      <c r="U5" s="62" t="n"/>
      <c r="V5" s="62" t="n"/>
      <c r="W5" s="62" t="n"/>
      <c r="X5" s="62" t="n"/>
      <c r="Y5" s="62" t="n"/>
      <c r="Z5" s="62" t="n"/>
      <c r="AA5" s="62" t="n"/>
      <c r="AB5" s="62" t="n"/>
      <c r="AC5" s="62" t="n"/>
      <c r="AD5" s="62" t="n"/>
      <c r="AE5" s="62" t="n"/>
      <c r="AF5" s="62" t="n"/>
      <c r="AG5" s="62" t="n"/>
      <c r="AH5" s="62" t="n"/>
      <c r="AI5" s="62" t="n"/>
      <c r="AJ5" s="62" t="n"/>
      <c r="AK5" s="62" t="n"/>
      <c r="AL5" s="62" t="n"/>
      <c r="AM5" s="62" t="n"/>
      <c r="AN5" s="62" t="n"/>
      <c r="AO5" s="62" t="n"/>
      <c r="AP5" s="62" t="n"/>
      <c r="AQ5" s="62" t="n"/>
      <c r="AR5" s="62" t="n"/>
      <c r="AS5" s="62" t="n"/>
      <c r="AT5" s="62" t="n"/>
      <c r="AU5" s="62" t="n"/>
      <c r="AV5" s="62" t="n"/>
      <c r="AW5" s="62" t="n"/>
      <c r="AX5" s="62" t="n"/>
      <c r="AY5" s="62" t="n"/>
      <c r="AZ5" s="62" t="n"/>
      <c r="BA5" s="62" t="n"/>
      <c r="BB5" s="62" t="n"/>
      <c r="BC5" s="62" t="n"/>
      <c r="BD5" s="62" t="n"/>
      <c r="BE5" s="62" t="n"/>
      <c r="BF5" s="62" t="n"/>
      <c r="BG5" s="62" t="n"/>
      <c r="BH5" s="62" t="n"/>
      <c r="BI5" s="62" t="n"/>
      <c r="BJ5" s="62" t="n"/>
      <c r="BK5" s="62" t="n"/>
      <c r="BL5" s="62" t="n"/>
      <c r="BM5" s="62" t="n"/>
      <c r="BN5" s="62" t="n"/>
      <c r="BO5" s="62" t="n"/>
      <c r="BP5" s="62" t="n"/>
      <c r="BQ5" s="62" t="n"/>
      <c r="BR5" s="62" t="n"/>
      <c r="BS5" s="62" t="n"/>
      <c r="BT5" s="62" t="n"/>
      <c r="BU5" s="62" t="n"/>
      <c r="BV5" s="62" t="n"/>
      <c r="BW5" s="62" t="n"/>
      <c r="BX5" s="62" t="n"/>
      <c r="BY5" s="62" t="n"/>
      <c r="BZ5" s="62" t="n"/>
      <c r="CA5" s="62" t="n"/>
      <c r="CB5" s="62" t="n"/>
      <c r="CC5" s="62" t="n"/>
      <c r="CD5" s="62" t="n"/>
      <c r="CE5" s="62" t="n"/>
      <c r="CF5" s="62" t="n"/>
      <c r="CG5" s="62" t="n"/>
      <c r="CH5" s="62" t="n"/>
      <c r="CI5" s="62" t="n"/>
      <c r="CJ5" s="62" t="n"/>
      <c r="CK5" s="62" t="n"/>
      <c r="CL5" s="62" t="n"/>
      <c r="CM5" s="62" t="n"/>
      <c r="CN5" s="62" t="n"/>
      <c r="CO5" s="62" t="n"/>
    </row>
    <row r="6" ht="18" customHeight="1">
      <c r="A6" s="62" t="n"/>
      <c r="B6" s="51" t="inlineStr">
        <is>
          <t>Equity Investment</t>
        </is>
      </c>
      <c r="C6" s="62" t="n"/>
      <c r="D6" s="62" t="n"/>
      <c r="E6" s="62" t="n"/>
      <c r="F6" s="62" t="n"/>
      <c r="G6" s="62" t="n"/>
      <c r="H6" s="62" t="n"/>
      <c r="I6" s="62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2" t="n"/>
      <c r="T6" s="62" t="n"/>
      <c r="U6" s="62" t="n"/>
      <c r="V6" s="62" t="n"/>
      <c r="W6" s="62" t="n"/>
      <c r="X6" s="62" t="n"/>
      <c r="Y6" s="62" t="n"/>
      <c r="Z6" s="62" t="n"/>
      <c r="AA6" s="62" t="n"/>
      <c r="AB6" s="62" t="n"/>
      <c r="AC6" s="62" t="n"/>
      <c r="AD6" s="62" t="n"/>
      <c r="AE6" s="62" t="n"/>
      <c r="AF6" s="62" t="n"/>
      <c r="AG6" s="62" t="n"/>
      <c r="AH6" s="62" t="n"/>
      <c r="AI6" s="62" t="n"/>
      <c r="AJ6" s="62" t="n"/>
      <c r="AK6" s="62" t="n"/>
      <c r="AL6" s="62" t="n"/>
      <c r="AM6" s="62" t="n"/>
      <c r="AN6" s="62" t="n"/>
      <c r="AO6" s="62" t="n"/>
      <c r="AP6" s="62" t="n"/>
      <c r="AQ6" s="62" t="n"/>
      <c r="AR6" s="62" t="n"/>
      <c r="AS6" s="62" t="n"/>
      <c r="AT6" s="62" t="n"/>
      <c r="AU6" s="62" t="n"/>
      <c r="AV6" s="62" t="n"/>
      <c r="AW6" s="62" t="n"/>
      <c r="AX6" s="62" t="n"/>
      <c r="AY6" s="62" t="n"/>
      <c r="AZ6" s="62" t="n"/>
      <c r="BA6" s="62" t="n"/>
      <c r="BB6" s="62" t="n"/>
      <c r="BC6" s="62" t="n"/>
      <c r="BD6" s="62" t="n"/>
      <c r="BE6" s="62" t="n"/>
      <c r="BF6" s="62" t="n"/>
      <c r="BG6" s="62" t="n"/>
      <c r="BH6" s="62" t="n"/>
      <c r="BI6" s="62" t="n"/>
      <c r="BJ6" s="62" t="n"/>
      <c r="BK6" s="62" t="n"/>
      <c r="BL6" s="62" t="n"/>
      <c r="BM6" s="62" t="n"/>
      <c r="BN6" s="62" t="n"/>
      <c r="BO6" s="62" t="n"/>
      <c r="BP6" s="62" t="n"/>
      <c r="BQ6" s="62" t="n"/>
      <c r="BR6" s="62" t="n"/>
      <c r="BS6" s="62" t="n"/>
      <c r="BT6" s="62" t="n"/>
      <c r="BU6" s="62" t="n"/>
      <c r="BV6" s="62" t="n"/>
      <c r="BW6" s="62" t="n"/>
      <c r="BX6" s="62" t="n"/>
      <c r="BY6" s="62" t="n"/>
      <c r="BZ6" s="62" t="n"/>
      <c r="CA6" s="62" t="n"/>
      <c r="CB6" s="62" t="n"/>
      <c r="CC6" s="62" t="n"/>
      <c r="CD6" s="62" t="n"/>
      <c r="CE6" s="62" t="n"/>
      <c r="CF6" s="62" t="n"/>
      <c r="CG6" s="62" t="n"/>
      <c r="CH6" s="62" t="n"/>
      <c r="CI6" s="62" t="n"/>
      <c r="CJ6" s="62" t="n"/>
      <c r="CK6" s="62" t="n"/>
      <c r="CL6" s="62" t="n"/>
      <c r="CM6" s="62" t="n"/>
      <c r="CN6" s="62" t="n"/>
      <c r="CO6" s="62" t="n"/>
      <c r="CP6" s="46" t="n"/>
      <c r="CQ6" s="46" t="n"/>
      <c r="CR6" s="46" t="n"/>
      <c r="CS6" s="46" t="n"/>
      <c r="CT6" s="46" t="n"/>
      <c r="CU6" s="46" t="n"/>
      <c r="CV6" s="46" t="n"/>
      <c r="CW6" s="46" t="n"/>
      <c r="CX6" s="46" t="n"/>
      <c r="CY6" s="46" t="n"/>
      <c r="CZ6" s="46" t="n"/>
      <c r="DA6" s="46" t="n"/>
    </row>
    <row r="7">
      <c r="A7" s="62" t="n"/>
      <c r="B7" s="52" t="inlineStr">
        <is>
          <t>Initial USD Investment</t>
        </is>
      </c>
      <c r="C7" s="54" t="n">
        <v>5000000</v>
      </c>
      <c r="D7" s="62" t="n"/>
      <c r="E7" s="62" t="n"/>
      <c r="F7" s="62" t="n"/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  <c r="T7" s="62" t="n"/>
      <c r="U7" s="62" t="n"/>
      <c r="V7" s="62" t="n"/>
      <c r="W7" s="62" t="n"/>
      <c r="X7" s="62" t="n"/>
      <c r="Y7" s="62" t="n"/>
      <c r="Z7" s="62" t="n"/>
      <c r="AA7" s="62" t="n"/>
      <c r="AB7" s="62" t="n"/>
      <c r="AC7" s="62" t="n"/>
      <c r="AD7" s="62" t="n"/>
      <c r="AE7" s="62" t="n"/>
      <c r="AF7" s="62" t="n"/>
      <c r="AG7" s="62" t="n"/>
      <c r="AH7" s="62" t="n"/>
      <c r="AI7" s="62" t="n"/>
      <c r="AJ7" s="62" t="n"/>
      <c r="AK7" s="62" t="n"/>
      <c r="AL7" s="62" t="n"/>
      <c r="AM7" s="62" t="n"/>
      <c r="AN7" s="62" t="n"/>
      <c r="AO7" s="62" t="n"/>
      <c r="AP7" s="62" t="n"/>
      <c r="AQ7" s="62" t="n"/>
      <c r="AR7" s="62" t="n"/>
      <c r="AS7" s="62" t="n"/>
      <c r="AT7" s="62" t="n"/>
      <c r="AU7" s="62" t="n"/>
      <c r="AV7" s="62" t="n"/>
      <c r="AW7" s="62" t="n"/>
      <c r="AX7" s="62" t="n"/>
      <c r="AY7" s="62" t="n"/>
      <c r="AZ7" s="62" t="n"/>
      <c r="BA7" s="62" t="n"/>
      <c r="BB7" s="62" t="n"/>
      <c r="BC7" s="62" t="n"/>
      <c r="BD7" s="62" t="n"/>
      <c r="BE7" s="62" t="n"/>
      <c r="BF7" s="62" t="n"/>
      <c r="BG7" s="62" t="n"/>
      <c r="BH7" s="62" t="n"/>
      <c r="BI7" s="62" t="n"/>
      <c r="BJ7" s="62" t="n"/>
      <c r="BK7" s="62" t="n"/>
      <c r="BL7" s="62" t="n"/>
      <c r="BM7" s="62" t="n"/>
      <c r="BN7" s="62" t="n"/>
      <c r="BO7" s="62" t="n"/>
      <c r="BP7" s="62" t="n"/>
      <c r="BQ7" s="62" t="n"/>
      <c r="BR7" s="62" t="n"/>
      <c r="BS7" s="62" t="n"/>
      <c r="BT7" s="62" t="n"/>
      <c r="BU7" s="62" t="n"/>
      <c r="BV7" s="62" t="n"/>
      <c r="BW7" s="62" t="n"/>
      <c r="BX7" s="62" t="n"/>
      <c r="BY7" s="62" t="n"/>
      <c r="BZ7" s="62" t="n"/>
      <c r="CA7" s="62" t="n"/>
      <c r="CB7" s="62" t="n"/>
      <c r="CC7" s="62" t="n"/>
      <c r="CD7" s="62" t="n"/>
      <c r="CE7" s="62" t="n"/>
      <c r="CF7" s="62" t="n"/>
      <c r="CG7" s="62" t="n"/>
      <c r="CH7" s="62" t="n"/>
      <c r="CI7" s="62" t="n"/>
      <c r="CJ7" s="62" t="n"/>
      <c r="CK7" s="62" t="n"/>
      <c r="CL7" s="62" t="n"/>
      <c r="CM7" s="62" t="n"/>
      <c r="CN7" s="62" t="n"/>
      <c r="CO7" s="62" t="n"/>
      <c r="CP7" s="46" t="n"/>
      <c r="CQ7" s="46" t="n"/>
      <c r="CR7" s="46" t="n"/>
      <c r="CS7" s="46" t="n"/>
      <c r="CT7" s="46" t="n"/>
      <c r="CU7" s="46" t="n"/>
      <c r="CV7" s="46" t="n"/>
      <c r="CW7" s="46" t="n"/>
      <c r="CX7" s="46" t="n"/>
      <c r="CY7" s="46" t="n"/>
      <c r="CZ7" s="46" t="n"/>
      <c r="DA7" s="46" t="n"/>
    </row>
    <row r="8" ht="18" customHeight="1">
      <c r="A8" s="62" t="n"/>
      <c r="B8" s="52" t="inlineStr">
        <is>
          <t>Initial GBP Value</t>
        </is>
      </c>
      <c r="C8" s="104">
        <f>C7*C12</f>
        <v/>
      </c>
      <c r="D8" s="62" t="n"/>
      <c r="E8" s="62" t="n"/>
      <c r="F8" s="62" t="n"/>
      <c r="G8" s="62" t="n"/>
      <c r="H8" s="62" t="n"/>
      <c r="I8" s="62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2" t="n"/>
      <c r="T8" s="62" t="n"/>
      <c r="U8" s="62" t="n"/>
      <c r="V8" s="62" t="n"/>
      <c r="W8" s="62" t="n"/>
      <c r="X8" s="62" t="n"/>
      <c r="Y8" s="62" t="n"/>
      <c r="Z8" s="62" t="n"/>
      <c r="AA8" s="62" t="n"/>
      <c r="AB8" s="62" t="n"/>
      <c r="AC8" s="62" t="n"/>
      <c r="AD8" s="62" t="n"/>
      <c r="AE8" s="62" t="n"/>
      <c r="AF8" s="62" t="n"/>
      <c r="AG8" s="62" t="n"/>
      <c r="AH8" s="62" t="n"/>
      <c r="AI8" s="62" t="n"/>
      <c r="AJ8" s="62" t="n"/>
      <c r="AK8" s="62" t="n"/>
      <c r="AL8" s="62" t="n"/>
      <c r="AM8" s="62" t="n"/>
      <c r="AN8" s="62" t="n"/>
      <c r="AO8" s="62" t="n"/>
      <c r="AP8" s="62" t="n"/>
      <c r="AQ8" s="62" t="n"/>
      <c r="AR8" s="62" t="n"/>
      <c r="AS8" s="62" t="n"/>
      <c r="AT8" s="62" t="n"/>
      <c r="AU8" s="62" t="n"/>
      <c r="AV8" s="62" t="n"/>
      <c r="AW8" s="62" t="n"/>
      <c r="AX8" s="62" t="n"/>
      <c r="AY8" s="62" t="n"/>
      <c r="AZ8" s="62" t="n"/>
      <c r="BA8" s="62" t="n"/>
      <c r="BB8" s="62" t="n"/>
      <c r="BC8" s="62" t="n"/>
      <c r="BD8" s="62" t="n"/>
      <c r="BE8" s="62" t="n"/>
      <c r="BF8" s="62" t="n"/>
      <c r="BG8" s="62" t="n"/>
      <c r="BH8" s="62" t="n"/>
      <c r="BI8" s="62" t="n"/>
      <c r="BJ8" s="62" t="n"/>
      <c r="BK8" s="62" t="n"/>
      <c r="BL8" s="62" t="n"/>
      <c r="BM8" s="62" t="n"/>
      <c r="BN8" s="62" t="n"/>
      <c r="BO8" s="62" t="n"/>
      <c r="BP8" s="62" t="n"/>
      <c r="BQ8" s="62" t="n"/>
      <c r="BR8" s="62" t="n"/>
      <c r="BS8" s="62" t="n"/>
      <c r="BT8" s="62" t="n"/>
      <c r="BU8" s="62" t="n"/>
      <c r="BV8" s="62" t="n"/>
      <c r="BW8" s="62" t="n"/>
      <c r="BX8" s="62" t="n"/>
      <c r="BY8" s="62" t="n"/>
      <c r="BZ8" s="62" t="n"/>
      <c r="CA8" s="62" t="n"/>
      <c r="CB8" s="62" t="n"/>
      <c r="CC8" s="62" t="n"/>
      <c r="CD8" s="62" t="n"/>
      <c r="CE8" s="62" t="n"/>
      <c r="CF8" s="62" t="n"/>
      <c r="CG8" s="62" t="n"/>
      <c r="CH8" s="62" t="n"/>
      <c r="CI8" s="62" t="n"/>
      <c r="CJ8" s="62" t="n"/>
      <c r="CK8" s="62" t="n"/>
      <c r="CL8" s="62" t="n"/>
      <c r="CM8" s="62" t="n"/>
      <c r="CN8" s="62" t="n"/>
      <c r="CO8" s="62" t="n"/>
      <c r="CP8" s="46" t="n"/>
      <c r="CQ8" s="46" t="n"/>
      <c r="CR8" s="46" t="n"/>
      <c r="CS8" s="46" t="n"/>
      <c r="CT8" s="46" t="n"/>
      <c r="CU8" s="46" t="n"/>
      <c r="CV8" s="46" t="n"/>
      <c r="CW8" s="46" t="n"/>
      <c r="CX8" s="46" t="n"/>
      <c r="CY8" s="46" t="n"/>
      <c r="CZ8" s="46" t="n"/>
      <c r="DA8" s="46" t="n"/>
    </row>
    <row r="9">
      <c r="A9" s="62" t="n"/>
      <c r="B9" s="62" t="n"/>
      <c r="C9" s="62" t="n"/>
      <c r="D9" s="62" t="n"/>
      <c r="E9" s="62" t="n"/>
      <c r="F9" s="62" t="n"/>
      <c r="G9" s="62" t="n"/>
      <c r="H9" s="62" t="n"/>
      <c r="I9" s="62" t="n"/>
      <c r="J9" s="62" t="n"/>
      <c r="K9" s="62" t="n"/>
      <c r="L9" s="62" t="n"/>
      <c r="M9" s="62" t="n"/>
      <c r="N9" s="62" t="n"/>
      <c r="O9" s="62" t="n"/>
      <c r="P9" s="62" t="n"/>
      <c r="Q9" s="62" t="n"/>
      <c r="R9" s="62" t="n"/>
      <c r="S9" s="62" t="n"/>
      <c r="T9" s="62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  <c r="AZ9" s="62" t="n"/>
      <c r="BA9" s="62" t="n"/>
      <c r="BB9" s="62" t="n"/>
      <c r="BC9" s="62" t="n"/>
      <c r="BD9" s="62" t="n"/>
      <c r="BE9" s="62" t="n"/>
      <c r="BF9" s="62" t="n"/>
      <c r="BG9" s="62" t="n"/>
      <c r="BH9" s="62" t="n"/>
      <c r="BI9" s="62" t="n"/>
      <c r="BJ9" s="62" t="n"/>
      <c r="BK9" s="62" t="n"/>
      <c r="BL9" s="62" t="n"/>
      <c r="BM9" s="62" t="n"/>
      <c r="BN9" s="62" t="n"/>
      <c r="BO9" s="62" t="n"/>
      <c r="BP9" s="62" t="n"/>
      <c r="BQ9" s="62" t="n"/>
      <c r="BR9" s="62" t="n"/>
      <c r="BS9" s="62" t="n"/>
      <c r="BT9" s="62" t="n"/>
      <c r="BU9" s="62" t="n"/>
      <c r="BV9" s="62" t="n"/>
      <c r="BW9" s="62" t="n"/>
      <c r="BX9" s="62" t="n"/>
      <c r="BY9" s="62" t="n"/>
      <c r="BZ9" s="62" t="n"/>
      <c r="CA9" s="62" t="n"/>
      <c r="CB9" s="62" t="n"/>
      <c r="CC9" s="62" t="n"/>
      <c r="CD9" s="62" t="n"/>
      <c r="CE9" s="62" t="n"/>
      <c r="CF9" s="62" t="n"/>
      <c r="CG9" s="62" t="n"/>
      <c r="CH9" s="62" t="n"/>
      <c r="CI9" s="62" t="n"/>
      <c r="CJ9" s="62" t="n"/>
      <c r="CK9" s="62" t="n"/>
      <c r="CL9" s="62" t="n"/>
      <c r="CM9" s="62" t="n"/>
      <c r="CN9" s="62" t="n"/>
      <c r="CO9" s="62" t="n"/>
      <c r="CP9" s="46" t="n"/>
      <c r="CQ9" s="46" t="n"/>
      <c r="CR9" s="46" t="n"/>
      <c r="CS9" s="46" t="n"/>
      <c r="CT9" s="46" t="n"/>
      <c r="CU9" s="46" t="n"/>
      <c r="CV9" s="46" t="n"/>
      <c r="CW9" s="46" t="n"/>
      <c r="CX9" s="46" t="n"/>
      <c r="CY9" s="46" t="n"/>
      <c r="CZ9" s="46" t="n"/>
      <c r="DA9" s="46" t="n"/>
    </row>
    <row r="10" ht="18" customHeight="1">
      <c r="A10" s="62" t="n"/>
      <c r="B10" s="51" t="inlineStr">
        <is>
          <t>Currency Movement</t>
        </is>
      </c>
      <c r="C10" s="62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  <c r="T10" s="62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  <c r="AZ10" s="62" t="n"/>
      <c r="BA10" s="62" t="n"/>
      <c r="BB10" s="62" t="n"/>
      <c r="BC10" s="62" t="n"/>
      <c r="BD10" s="62" t="n"/>
      <c r="BE10" s="62" t="n"/>
      <c r="BF10" s="62" t="n"/>
      <c r="BG10" s="62" t="n"/>
      <c r="BH10" s="62" t="n"/>
      <c r="BI10" s="62" t="n"/>
      <c r="BJ10" s="62" t="n"/>
      <c r="BK10" s="62" t="n"/>
      <c r="BL10" s="62" t="n"/>
      <c r="BM10" s="62" t="n"/>
      <c r="BN10" s="62" t="n"/>
      <c r="BO10" s="62" t="n"/>
      <c r="BP10" s="62" t="n"/>
      <c r="BQ10" s="62" t="n"/>
      <c r="BR10" s="62" t="n"/>
      <c r="BS10" s="62" t="n"/>
      <c r="BT10" s="62" t="n"/>
      <c r="BU10" s="62" t="n"/>
      <c r="BV10" s="62" t="n"/>
      <c r="BW10" s="62" t="n"/>
      <c r="BX10" s="62" t="n"/>
      <c r="BY10" s="62" t="n"/>
      <c r="BZ10" s="62" t="n"/>
      <c r="CA10" s="62" t="n"/>
      <c r="CB10" s="62" t="n"/>
      <c r="CC10" s="62" t="n"/>
      <c r="CD10" s="62" t="n"/>
      <c r="CE10" s="62" t="n"/>
      <c r="CF10" s="62" t="n"/>
      <c r="CG10" s="62" t="n"/>
      <c r="CH10" s="62" t="n"/>
      <c r="CI10" s="62" t="n"/>
      <c r="CJ10" s="62" t="n"/>
      <c r="CK10" s="62" t="n"/>
      <c r="CL10" s="62" t="n"/>
      <c r="CM10" s="62" t="n"/>
      <c r="CN10" s="62" t="n"/>
      <c r="CO10" s="62" t="n"/>
      <c r="CP10" s="46" t="n"/>
      <c r="CQ10" s="46" t="n"/>
      <c r="CR10" s="46" t="n"/>
      <c r="CS10" s="46" t="n"/>
      <c r="CT10" s="46" t="n"/>
      <c r="CU10" s="46" t="n"/>
      <c r="CV10" s="46" t="n"/>
      <c r="CW10" s="46" t="n"/>
      <c r="CX10" s="46" t="n"/>
      <c r="CY10" s="46" t="n"/>
      <c r="CZ10" s="46" t="n"/>
      <c r="DA10" s="46" t="n"/>
    </row>
    <row r="11" ht="18" customHeight="1">
      <c r="A11" s="62" t="n"/>
      <c r="B11" s="56" t="inlineStr">
        <is>
          <t>Day</t>
        </is>
      </c>
      <c r="C11" s="56" t="n">
        <v>0</v>
      </c>
      <c r="D11" s="56" t="n">
        <v>1</v>
      </c>
      <c r="E11" s="56" t="n">
        <v>2</v>
      </c>
      <c r="F11" s="56" t="n">
        <v>3</v>
      </c>
      <c r="G11" s="56" t="n">
        <v>4</v>
      </c>
      <c r="H11" s="56" t="n">
        <v>5</v>
      </c>
      <c r="I11" s="56" t="n">
        <v>6</v>
      </c>
      <c r="J11" s="56" t="n">
        <v>7</v>
      </c>
      <c r="K11" s="56" t="n">
        <v>8</v>
      </c>
      <c r="L11" s="56" t="n">
        <v>9</v>
      </c>
      <c r="M11" s="56" t="n">
        <v>10</v>
      </c>
      <c r="N11" s="56" t="n">
        <v>11</v>
      </c>
      <c r="O11" s="56" t="n">
        <v>12</v>
      </c>
      <c r="P11" s="56" t="n">
        <v>13</v>
      </c>
      <c r="Q11" s="56" t="n">
        <v>14</v>
      </c>
      <c r="R11" s="56" t="n">
        <v>15</v>
      </c>
      <c r="S11" s="56" t="n">
        <v>16</v>
      </c>
      <c r="T11" s="56" t="n">
        <v>17</v>
      </c>
      <c r="U11" s="56" t="n">
        <v>18</v>
      </c>
      <c r="V11" s="56" t="n">
        <v>19</v>
      </c>
      <c r="W11" s="56" t="n">
        <v>20</v>
      </c>
      <c r="X11" s="56" t="n">
        <v>21</v>
      </c>
      <c r="Y11" s="56" t="n">
        <v>22</v>
      </c>
      <c r="Z11" s="56" t="n">
        <v>23</v>
      </c>
      <c r="AA11" s="56" t="n">
        <v>24</v>
      </c>
      <c r="AB11" s="56" t="n">
        <v>25</v>
      </c>
      <c r="AC11" s="56" t="n">
        <v>26</v>
      </c>
      <c r="AD11" s="56" t="n">
        <v>27</v>
      </c>
      <c r="AE11" s="56" t="n">
        <v>28</v>
      </c>
      <c r="AF11" s="56" t="n">
        <v>29</v>
      </c>
      <c r="AG11" s="56" t="n">
        <v>30</v>
      </c>
      <c r="AH11" s="56" t="n">
        <v>31</v>
      </c>
      <c r="AI11" s="56" t="n">
        <v>32</v>
      </c>
      <c r="AJ11" s="56" t="n">
        <v>33</v>
      </c>
      <c r="AK11" s="56" t="n">
        <v>34</v>
      </c>
      <c r="AL11" s="56" t="n">
        <v>35</v>
      </c>
      <c r="AM11" s="56" t="n">
        <v>36</v>
      </c>
      <c r="AN11" s="56" t="n">
        <v>37</v>
      </c>
      <c r="AO11" s="56" t="n">
        <v>38</v>
      </c>
      <c r="AP11" s="56" t="n">
        <v>39</v>
      </c>
      <c r="AQ11" s="56" t="n">
        <v>40</v>
      </c>
      <c r="AR11" s="56" t="n">
        <v>41</v>
      </c>
      <c r="AS11" s="56" t="n">
        <v>42</v>
      </c>
      <c r="AT11" s="56" t="n">
        <v>43</v>
      </c>
      <c r="AU11" s="56" t="n">
        <v>44</v>
      </c>
      <c r="AV11" s="56" t="n">
        <v>45</v>
      </c>
      <c r="AW11" s="56" t="n">
        <v>46</v>
      </c>
      <c r="AX11" s="56" t="n">
        <v>47</v>
      </c>
      <c r="AY11" s="56" t="n">
        <v>48</v>
      </c>
      <c r="AZ11" s="56" t="n">
        <v>49</v>
      </c>
      <c r="BA11" s="56" t="n">
        <v>50</v>
      </c>
      <c r="BB11" s="56" t="n">
        <v>51</v>
      </c>
      <c r="BC11" s="56" t="n">
        <v>52</v>
      </c>
      <c r="BD11" s="56" t="n">
        <v>53</v>
      </c>
      <c r="BE11" s="56" t="n">
        <v>54</v>
      </c>
      <c r="BF11" s="56" t="n">
        <v>55</v>
      </c>
      <c r="BG11" s="56" t="n">
        <v>56</v>
      </c>
      <c r="BH11" s="56" t="n">
        <v>57</v>
      </c>
      <c r="BI11" s="56" t="n">
        <v>58</v>
      </c>
      <c r="BJ11" s="56" t="n">
        <v>59</v>
      </c>
      <c r="BK11" s="56" t="n">
        <v>60</v>
      </c>
      <c r="BL11" s="56" t="n">
        <v>61</v>
      </c>
      <c r="BM11" s="56" t="n">
        <v>62</v>
      </c>
      <c r="BN11" s="56" t="n">
        <v>63</v>
      </c>
      <c r="BO11" s="56" t="n">
        <v>64</v>
      </c>
      <c r="BP11" s="56" t="n">
        <v>65</v>
      </c>
      <c r="BQ11" s="56" t="n">
        <v>66</v>
      </c>
      <c r="BR11" s="56" t="n">
        <v>67</v>
      </c>
      <c r="BS11" s="56" t="n">
        <v>68</v>
      </c>
      <c r="BT11" s="56" t="n">
        <v>69</v>
      </c>
      <c r="BU11" s="56" t="n">
        <v>70</v>
      </c>
      <c r="BV11" s="56" t="n">
        <v>71</v>
      </c>
      <c r="BW11" s="56" t="n">
        <v>72</v>
      </c>
      <c r="BX11" s="56" t="n">
        <v>73</v>
      </c>
      <c r="BY11" s="56" t="n">
        <v>74</v>
      </c>
      <c r="BZ11" s="56" t="n">
        <v>75</v>
      </c>
      <c r="CA11" s="56" t="n">
        <v>76</v>
      </c>
      <c r="CB11" s="56" t="n">
        <v>77</v>
      </c>
      <c r="CC11" s="56" t="n">
        <v>78</v>
      </c>
      <c r="CD11" s="56" t="n">
        <v>79</v>
      </c>
      <c r="CE11" s="56" t="n">
        <v>80</v>
      </c>
      <c r="CF11" s="56" t="n">
        <v>81</v>
      </c>
      <c r="CG11" s="56" t="n">
        <v>82</v>
      </c>
      <c r="CH11" s="56" t="n">
        <v>83</v>
      </c>
      <c r="CI11" s="56" t="n">
        <v>84</v>
      </c>
      <c r="CJ11" s="56" t="n">
        <v>85</v>
      </c>
      <c r="CK11" s="56" t="n">
        <v>86</v>
      </c>
      <c r="CL11" s="56" t="n">
        <v>87</v>
      </c>
      <c r="CM11" s="56" t="n">
        <v>88</v>
      </c>
      <c r="CN11" s="56" t="n">
        <v>89</v>
      </c>
      <c r="CO11" s="56" t="n">
        <v>90</v>
      </c>
      <c r="CP11" s="46" t="n"/>
      <c r="CQ11" s="46" t="n"/>
      <c r="CR11" s="46" t="n"/>
      <c r="CS11" s="46" t="n"/>
      <c r="CT11" s="46" t="n"/>
      <c r="CU11" s="46" t="n"/>
      <c r="CV11" s="46" t="n"/>
      <c r="CW11" s="46" t="n"/>
      <c r="CX11" s="46" t="n"/>
      <c r="CY11" s="46" t="n"/>
      <c r="CZ11" s="46" t="n"/>
      <c r="DA11" s="46" t="n"/>
    </row>
    <row r="12">
      <c r="A12" s="62" t="n"/>
      <c r="B12" s="52" t="inlineStr">
        <is>
          <t>Spot USD/GBP</t>
        </is>
      </c>
      <c r="C12" s="57" t="n">
        <v>0.7671653241273494</v>
      </c>
      <c r="D12" s="57" t="n">
        <v>0.7666360012266176</v>
      </c>
      <c r="E12" s="57" t="n">
        <v>0.7582075972401243</v>
      </c>
      <c r="F12" s="57" t="n">
        <v>0.7568876778686043</v>
      </c>
      <c r="G12" s="57" t="n">
        <v>0.7578628268283442</v>
      </c>
      <c r="H12" s="57" t="n">
        <v>0.7570595805889924</v>
      </c>
      <c r="I12" s="57" t="n">
        <v>0.7629510948348212</v>
      </c>
      <c r="J12" s="57" t="n">
        <v>0.7576905591756327</v>
      </c>
      <c r="K12" s="57" t="n">
        <v>0.753693096171239</v>
      </c>
      <c r="L12" s="57" t="n">
        <v>0.7544322897019993</v>
      </c>
      <c r="M12" s="57" t="n">
        <v>0.7524454477050414</v>
      </c>
      <c r="N12" s="57" t="n">
        <v>0.7551729346020238</v>
      </c>
      <c r="O12" s="57" t="n">
        <v>0.7497375918428549</v>
      </c>
      <c r="P12" s="57" t="n">
        <v>0.7648183556405354</v>
      </c>
      <c r="Q12" s="57" t="n">
        <v>0.7604562737642586</v>
      </c>
      <c r="R12" s="57" t="n">
        <v>0.768344218209758</v>
      </c>
      <c r="S12" s="57" t="n">
        <v>0.7642338555598013</v>
      </c>
      <c r="T12" s="57" t="n">
        <v>0.7593014426727411</v>
      </c>
      <c r="U12" s="57" t="n">
        <v>0.7588404917286385</v>
      </c>
      <c r="V12" s="57" t="n">
        <v>0.7587253414264036</v>
      </c>
      <c r="W12" s="57" t="n">
        <v>0.7574609907589759</v>
      </c>
      <c r="X12" s="57" t="n">
        <v>0.7539772298876574</v>
      </c>
      <c r="Y12" s="57" t="n">
        <v>0.751371252535878</v>
      </c>
      <c r="Z12" s="57" t="n">
        <v>0.7546030787805614</v>
      </c>
      <c r="AA12" s="57" t="n">
        <v>0.7635336336565626</v>
      </c>
      <c r="AB12" s="57" t="n">
        <v>0.7661074082586379</v>
      </c>
      <c r="AC12" s="57" t="n">
        <v>0.7666947788085563</v>
      </c>
      <c r="AD12" s="57" t="n">
        <v>0.7662835249042146</v>
      </c>
      <c r="AE12" s="57" t="n">
        <v>0.7655795437145919</v>
      </c>
      <c r="AF12" s="57" t="n">
        <v>0.7737542556484061</v>
      </c>
      <c r="AG12" s="57" t="n">
        <v>0.7758553805570642</v>
      </c>
      <c r="AH12" s="57" t="n">
        <v>0.7810669374365383</v>
      </c>
      <c r="AI12" s="57" t="n">
        <v>0.7784524365561264</v>
      </c>
      <c r="AJ12" s="57" t="n">
        <v>0.7756748371082842</v>
      </c>
      <c r="AK12" s="57" t="n">
        <v>0.777907429015947</v>
      </c>
      <c r="AL12" s="57" t="n">
        <v>0.7725587144622992</v>
      </c>
      <c r="AM12" s="57" t="n">
        <v>0.7720815318097591</v>
      </c>
      <c r="AN12" s="57" t="n">
        <v>0.7732755954222086</v>
      </c>
      <c r="AO12" s="57" t="n">
        <v>0.772499034376207</v>
      </c>
      <c r="AP12" s="57" t="n">
        <v>0.7670476336580501</v>
      </c>
      <c r="AQ12" s="57" t="n">
        <v>0.7645844483523204</v>
      </c>
      <c r="AR12" s="57" t="n">
        <v>0.7628346937218705</v>
      </c>
      <c r="AS12" s="57" t="n">
        <v>0.7624275693809087</v>
      </c>
      <c r="AT12" s="57" t="n">
        <v>0.7653451706719731</v>
      </c>
      <c r="AU12" s="57" t="n">
        <v>0.7597052343690648</v>
      </c>
      <c r="AV12" s="57" t="n">
        <v>0.7578053955744164</v>
      </c>
      <c r="AW12" s="57" t="n">
        <v>0.7653451706719731</v>
      </c>
      <c r="AX12" s="57" t="n">
        <v>0.7651694850409366</v>
      </c>
      <c r="AY12" s="57" t="n">
        <v>0.771962328238382</v>
      </c>
      <c r="AZ12" s="57" t="n">
        <v>0.7756748371082842</v>
      </c>
      <c r="BA12" s="57" t="n">
        <v>0.7768800497203232</v>
      </c>
      <c r="BB12" s="57" t="n">
        <v>0.7700600646850454</v>
      </c>
      <c r="BC12" s="57" t="n">
        <v>0.7760962359332557</v>
      </c>
      <c r="BD12" s="57" t="n">
        <v>0.7775445144234507</v>
      </c>
      <c r="BE12" s="57" t="n">
        <v>0.777363184079602</v>
      </c>
      <c r="BF12" s="57" t="n">
        <v>0.7785736530675802</v>
      </c>
      <c r="BG12" s="57" t="n">
        <v>0.7844983133286264</v>
      </c>
      <c r="BH12" s="57" t="n">
        <v>0.7819219641879741</v>
      </c>
      <c r="BI12" s="57" t="n">
        <v>0.7863489816780687</v>
      </c>
      <c r="BJ12" s="57" t="n">
        <v>0.7826563356030367</v>
      </c>
      <c r="BK12" s="57" t="n">
        <v>0.7859781498074354</v>
      </c>
      <c r="BL12" s="57" t="n">
        <v>0.7918910357934749</v>
      </c>
      <c r="BM12" s="57" t="n">
        <v>0.7932101213611487</v>
      </c>
      <c r="BN12" s="57" t="n">
        <v>0.7849293563579278</v>
      </c>
      <c r="BO12" s="57" t="n">
        <v>0.7840677434530343</v>
      </c>
      <c r="BP12" s="57" t="n">
        <v>0.7874635798094338</v>
      </c>
      <c r="BQ12" s="57" t="n">
        <v>0.7908889591901297</v>
      </c>
      <c r="BR12" s="57" t="n">
        <v>0.7915776141850708</v>
      </c>
      <c r="BS12" s="57" t="n">
        <v>0.7889546351084812</v>
      </c>
      <c r="BT12" s="57" t="n">
        <v>0.7870297497245397</v>
      </c>
      <c r="BU12" s="57" t="n">
        <v>0.7908264136022144</v>
      </c>
      <c r="BV12" s="57" t="n">
        <v>0.7901390644753477</v>
      </c>
      <c r="BW12" s="57" t="n">
        <v>0.7930214115781127</v>
      </c>
      <c r="BX12" s="57" t="n">
        <v>0.7912018355882585</v>
      </c>
      <c r="BY12" s="57" t="n">
        <v>0.7921419518377694</v>
      </c>
      <c r="BZ12" s="57" t="n">
        <v>0.7947230390209012</v>
      </c>
      <c r="CA12" s="57" t="n">
        <v>0.7909515146721506</v>
      </c>
      <c r="CB12" s="57" t="n">
        <v>0.7918283316177054</v>
      </c>
      <c r="CC12" s="57" t="n">
        <v>0.8008328661808282</v>
      </c>
      <c r="CD12" s="57" t="n">
        <v>0.7961149590000797</v>
      </c>
      <c r="CE12" s="57" t="n">
        <v>0.7857928650007858</v>
      </c>
      <c r="CF12" s="57" t="n">
        <v>0.7824113919098662</v>
      </c>
      <c r="CG12" s="57" t="n">
        <v>0.7852991989948169</v>
      </c>
      <c r="CH12" s="57" t="n">
        <v>0.7862253321802029</v>
      </c>
      <c r="CI12" s="57" t="n">
        <v>0.7858546168958743</v>
      </c>
      <c r="CJ12" s="57" t="n">
        <v>0.7843752451172642</v>
      </c>
      <c r="CK12" s="57" t="n">
        <v>0.781799702916113</v>
      </c>
      <c r="CL12" s="57" t="n">
        <v>0.7797270955165693</v>
      </c>
      <c r="CM12" s="57" t="n">
        <v>0.7844983133286264</v>
      </c>
      <c r="CN12" s="57" t="n">
        <v>0.7796055196070788</v>
      </c>
      <c r="CO12" s="57" t="n">
        <v>0.7791803023219572</v>
      </c>
      <c r="CP12" s="46" t="n"/>
      <c r="CQ12" s="46" t="n"/>
      <c r="CR12" s="46" t="n"/>
      <c r="CS12" s="46" t="n"/>
      <c r="CT12" s="46" t="n"/>
      <c r="CU12" s="46" t="n"/>
      <c r="CV12" s="46" t="n"/>
      <c r="CW12" s="46" t="n"/>
      <c r="CX12" s="46" t="n"/>
      <c r="CY12" s="46" t="n"/>
      <c r="CZ12" s="46" t="n"/>
      <c r="DA12" s="46" t="n"/>
    </row>
    <row r="13" ht="18" customHeight="1">
      <c r="A13" s="62" t="n"/>
      <c r="B13" s="52" t="inlineStr">
        <is>
          <t>Spot GBP/USD</t>
        </is>
      </c>
      <c r="C13" s="58">
        <f>1/C12</f>
        <v/>
      </c>
      <c r="D13" s="58">
        <f>1/D12</f>
        <v/>
      </c>
      <c r="E13" s="58">
        <f>1/E12</f>
        <v/>
      </c>
      <c r="F13" s="58">
        <f>1/F12</f>
        <v/>
      </c>
      <c r="G13" s="58">
        <f>1/G12</f>
        <v/>
      </c>
      <c r="H13" s="58">
        <f>1/H12</f>
        <v/>
      </c>
      <c r="I13" s="58">
        <f>1/I12</f>
        <v/>
      </c>
      <c r="J13" s="58">
        <f>1/J12</f>
        <v/>
      </c>
      <c r="K13" s="58">
        <f>1/K12</f>
        <v/>
      </c>
      <c r="L13" s="58">
        <f>1/L12</f>
        <v/>
      </c>
      <c r="M13" s="58">
        <f>1/M12</f>
        <v/>
      </c>
      <c r="N13" s="58">
        <f>1/N12</f>
        <v/>
      </c>
      <c r="O13" s="58">
        <f>1/O12</f>
        <v/>
      </c>
      <c r="P13" s="58">
        <f>1/P12</f>
        <v/>
      </c>
      <c r="Q13" s="58">
        <f>1/Q12</f>
        <v/>
      </c>
      <c r="R13" s="58">
        <f>1/R12</f>
        <v/>
      </c>
      <c r="S13" s="58">
        <f>1/S12</f>
        <v/>
      </c>
      <c r="T13" s="58">
        <f>1/T12</f>
        <v/>
      </c>
      <c r="U13" s="58">
        <f>1/U12</f>
        <v/>
      </c>
      <c r="V13" s="58">
        <f>1/V12</f>
        <v/>
      </c>
      <c r="W13" s="58">
        <f>1/W12</f>
        <v/>
      </c>
      <c r="X13" s="58">
        <f>1/X12</f>
        <v/>
      </c>
      <c r="Y13" s="58">
        <f>1/Y12</f>
        <v/>
      </c>
      <c r="Z13" s="58">
        <f>1/Z12</f>
        <v/>
      </c>
      <c r="AA13" s="58">
        <f>1/AA12</f>
        <v/>
      </c>
      <c r="AB13" s="58">
        <f>1/AB12</f>
        <v/>
      </c>
      <c r="AC13" s="58">
        <f>1/AC12</f>
        <v/>
      </c>
      <c r="AD13" s="58">
        <f>1/AD12</f>
        <v/>
      </c>
      <c r="AE13" s="58">
        <f>1/AE12</f>
        <v/>
      </c>
      <c r="AF13" s="58">
        <f>1/AF12</f>
        <v/>
      </c>
      <c r="AG13" s="58">
        <f>1/AG12</f>
        <v/>
      </c>
      <c r="AH13" s="58">
        <f>1/AH12</f>
        <v/>
      </c>
      <c r="AI13" s="58">
        <f>1/AI12</f>
        <v/>
      </c>
      <c r="AJ13" s="58">
        <f>1/AJ12</f>
        <v/>
      </c>
      <c r="AK13" s="58">
        <f>1/AK12</f>
        <v/>
      </c>
      <c r="AL13" s="58">
        <f>1/AL12</f>
        <v/>
      </c>
      <c r="AM13" s="58">
        <f>1/AM12</f>
        <v/>
      </c>
      <c r="AN13" s="58">
        <f>1/AN12</f>
        <v/>
      </c>
      <c r="AO13" s="58">
        <f>1/AO12</f>
        <v/>
      </c>
      <c r="AP13" s="58">
        <f>1/AP12</f>
        <v/>
      </c>
      <c r="AQ13" s="58">
        <f>1/AQ12</f>
        <v/>
      </c>
      <c r="AR13" s="58">
        <f>1/AR12</f>
        <v/>
      </c>
      <c r="AS13" s="58">
        <f>1/AS12</f>
        <v/>
      </c>
      <c r="AT13" s="58">
        <f>1/AT12</f>
        <v/>
      </c>
      <c r="AU13" s="58">
        <f>1/AU12</f>
        <v/>
      </c>
      <c r="AV13" s="58">
        <f>1/AV12</f>
        <v/>
      </c>
      <c r="AW13" s="58">
        <f>1/AW12</f>
        <v/>
      </c>
      <c r="AX13" s="58">
        <f>1/AX12</f>
        <v/>
      </c>
      <c r="AY13" s="58">
        <f>1/AY12</f>
        <v/>
      </c>
      <c r="AZ13" s="58">
        <f>1/AZ12</f>
        <v/>
      </c>
      <c r="BA13" s="58">
        <f>1/BA12</f>
        <v/>
      </c>
      <c r="BB13" s="58">
        <f>1/BB12</f>
        <v/>
      </c>
      <c r="BC13" s="58">
        <f>1/BC12</f>
        <v/>
      </c>
      <c r="BD13" s="58">
        <f>1/BD12</f>
        <v/>
      </c>
      <c r="BE13" s="58">
        <f>1/BE12</f>
        <v/>
      </c>
      <c r="BF13" s="58">
        <f>1/BF12</f>
        <v/>
      </c>
      <c r="BG13" s="58">
        <f>1/BG12</f>
        <v/>
      </c>
      <c r="BH13" s="58">
        <f>1/BH12</f>
        <v/>
      </c>
      <c r="BI13" s="58">
        <f>1/BI12</f>
        <v/>
      </c>
      <c r="BJ13" s="58">
        <f>1/BJ12</f>
        <v/>
      </c>
      <c r="BK13" s="58">
        <f>1/BK12</f>
        <v/>
      </c>
      <c r="BL13" s="58">
        <f>1/BL12</f>
        <v/>
      </c>
      <c r="BM13" s="58">
        <f>1/BM12</f>
        <v/>
      </c>
      <c r="BN13" s="58">
        <f>1/BN12</f>
        <v/>
      </c>
      <c r="BO13" s="58">
        <f>1/BO12</f>
        <v/>
      </c>
      <c r="BP13" s="58">
        <f>1/BP12</f>
        <v/>
      </c>
      <c r="BQ13" s="58">
        <f>1/BQ12</f>
        <v/>
      </c>
      <c r="BR13" s="58">
        <f>1/BR12</f>
        <v/>
      </c>
      <c r="BS13" s="58">
        <f>1/BS12</f>
        <v/>
      </c>
      <c r="BT13" s="58">
        <f>1/BT12</f>
        <v/>
      </c>
      <c r="BU13" s="58">
        <f>1/BU12</f>
        <v/>
      </c>
      <c r="BV13" s="58">
        <f>1/BV12</f>
        <v/>
      </c>
      <c r="BW13" s="58">
        <f>1/BW12</f>
        <v/>
      </c>
      <c r="BX13" s="58">
        <f>1/BX12</f>
        <v/>
      </c>
      <c r="BY13" s="58">
        <f>1/BY12</f>
        <v/>
      </c>
      <c r="BZ13" s="58">
        <f>1/BZ12</f>
        <v/>
      </c>
      <c r="CA13" s="58">
        <f>1/CA12</f>
        <v/>
      </c>
      <c r="CB13" s="58">
        <f>1/CB12</f>
        <v/>
      </c>
      <c r="CC13" s="58">
        <f>1/CC12</f>
        <v/>
      </c>
      <c r="CD13" s="58">
        <f>1/CD12</f>
        <v/>
      </c>
      <c r="CE13" s="58">
        <f>1/CE12</f>
        <v/>
      </c>
      <c r="CF13" s="58">
        <f>1/CF12</f>
        <v/>
      </c>
      <c r="CG13" s="58">
        <f>1/CG12</f>
        <v/>
      </c>
      <c r="CH13" s="58">
        <f>1/CH12</f>
        <v/>
      </c>
      <c r="CI13" s="58">
        <f>1/CI12</f>
        <v/>
      </c>
      <c r="CJ13" s="58">
        <f>1/CJ12</f>
        <v/>
      </c>
      <c r="CK13" s="58">
        <f>1/CK12</f>
        <v/>
      </c>
      <c r="CL13" s="58">
        <f>1/CL12</f>
        <v/>
      </c>
      <c r="CM13" s="58">
        <f>1/CM12</f>
        <v/>
      </c>
      <c r="CN13" s="58">
        <f>1/CN12</f>
        <v/>
      </c>
      <c r="CO13" s="58">
        <f>1/CO12</f>
        <v/>
      </c>
      <c r="CP13" s="46" t="n"/>
      <c r="CQ13" s="46" t="n"/>
      <c r="CR13" s="46" t="n"/>
      <c r="CS13" s="46" t="n"/>
      <c r="CT13" s="46" t="n"/>
      <c r="CU13" s="46" t="n"/>
      <c r="CV13" s="46" t="n"/>
      <c r="CW13" s="46" t="n"/>
      <c r="CX13" s="46" t="n"/>
      <c r="CY13" s="46" t="n"/>
      <c r="CZ13" s="46" t="n"/>
      <c r="DA13" s="46" t="n"/>
    </row>
    <row r="14">
      <c r="A14" s="62" t="n"/>
      <c r="B14" s="47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8" t="n"/>
      <c r="AL14" s="48" t="n"/>
      <c r="AM14" s="48" t="n"/>
      <c r="AN14" s="48" t="n"/>
      <c r="AO14" s="48" t="n"/>
      <c r="AP14" s="48" t="n"/>
      <c r="AQ14" s="48" t="n"/>
      <c r="AR14" s="48" t="n"/>
      <c r="AS14" s="48" t="n"/>
      <c r="AT14" s="48" t="n"/>
      <c r="AU14" s="48" t="n"/>
      <c r="AV14" s="48" t="n"/>
      <c r="AW14" s="48" t="n"/>
      <c r="AX14" s="48" t="n"/>
      <c r="AY14" s="48" t="n"/>
      <c r="AZ14" s="48" t="n"/>
      <c r="BA14" s="48" t="n"/>
      <c r="BB14" s="48" t="n"/>
      <c r="BC14" s="48" t="n"/>
      <c r="BD14" s="48" t="n"/>
      <c r="BE14" s="48" t="n"/>
      <c r="BF14" s="48" t="n"/>
      <c r="BG14" s="48" t="n"/>
      <c r="BH14" s="48" t="n"/>
      <c r="BI14" s="48" t="n"/>
      <c r="BJ14" s="48" t="n"/>
      <c r="BK14" s="48" t="n"/>
      <c r="BL14" s="48" t="n"/>
      <c r="BM14" s="48" t="n"/>
      <c r="BN14" s="48" t="n"/>
      <c r="BO14" s="48" t="n"/>
      <c r="BP14" s="48" t="n"/>
      <c r="BQ14" s="48" t="n"/>
      <c r="BR14" s="48" t="n"/>
      <c r="BS14" s="48" t="n"/>
      <c r="BT14" s="48" t="n"/>
      <c r="BU14" s="48" t="n"/>
      <c r="BV14" s="48" t="n"/>
      <c r="BW14" s="48" t="n"/>
      <c r="BX14" s="48" t="n"/>
      <c r="BY14" s="48" t="n"/>
      <c r="BZ14" s="48" t="n"/>
      <c r="CA14" s="48" t="n"/>
      <c r="CB14" s="48" t="n"/>
      <c r="CC14" s="48" t="n"/>
      <c r="CD14" s="48" t="n"/>
      <c r="CE14" s="48" t="n"/>
      <c r="CF14" s="48" t="n"/>
      <c r="CG14" s="48" t="n"/>
      <c r="CH14" s="48" t="n"/>
      <c r="CI14" s="48" t="n"/>
      <c r="CJ14" s="48" t="n"/>
      <c r="CK14" s="48" t="n"/>
      <c r="CL14" s="48" t="n"/>
      <c r="CM14" s="48" t="n"/>
      <c r="CN14" s="48" t="n"/>
      <c r="CO14" s="48" t="n"/>
      <c r="CP14" s="46" t="n"/>
      <c r="CQ14" s="46" t="n"/>
      <c r="CR14" s="46" t="n"/>
      <c r="CS14" s="46" t="n"/>
      <c r="CT14" s="46" t="n"/>
      <c r="CU14" s="46" t="n"/>
      <c r="CV14" s="46" t="n"/>
      <c r="CW14" s="46" t="n"/>
      <c r="CX14" s="46" t="n"/>
      <c r="CY14" s="46" t="n"/>
      <c r="CZ14" s="46" t="n"/>
      <c r="DA14" s="46" t="n"/>
    </row>
    <row r="15" ht="18" customHeight="1">
      <c r="A15" s="62" t="n"/>
      <c r="B15" s="51" t="inlineStr">
        <is>
          <t>Fund Performance</t>
        </is>
      </c>
      <c r="C15" s="49" t="n"/>
      <c r="D15" s="49" t="n"/>
      <c r="E15" s="49" t="n"/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  <c r="AA15" s="49" t="n"/>
      <c r="AB15" s="49" t="n"/>
      <c r="AC15" s="49" t="n"/>
      <c r="AD15" s="49" t="n"/>
      <c r="AE15" s="49" t="n"/>
      <c r="AF15" s="49" t="n"/>
      <c r="AG15" s="49" t="n"/>
      <c r="AH15" s="49" t="n"/>
      <c r="AI15" s="49" t="n"/>
      <c r="AJ15" s="49" t="n"/>
      <c r="AK15" s="49" t="n"/>
      <c r="AL15" s="49" t="n"/>
      <c r="AM15" s="49" t="n"/>
      <c r="AN15" s="49" t="n"/>
      <c r="AO15" s="49" t="n"/>
      <c r="AP15" s="49" t="n"/>
      <c r="AQ15" s="49" t="n"/>
      <c r="AR15" s="49" t="n"/>
      <c r="AS15" s="49" t="n"/>
      <c r="AT15" s="49" t="n"/>
      <c r="AU15" s="49" t="n"/>
      <c r="AV15" s="49" t="n"/>
      <c r="AW15" s="49" t="n"/>
      <c r="AX15" s="49" t="n"/>
      <c r="AY15" s="49" t="n"/>
      <c r="AZ15" s="49" t="n"/>
      <c r="BA15" s="49" t="n"/>
      <c r="BB15" s="49" t="n"/>
      <c r="BC15" s="49" t="n"/>
      <c r="BD15" s="49" t="n"/>
      <c r="BE15" s="49" t="n"/>
      <c r="BF15" s="49" t="n"/>
      <c r="BG15" s="49" t="n"/>
      <c r="BH15" s="49" t="n"/>
      <c r="BI15" s="49" t="n"/>
      <c r="BJ15" s="49" t="n"/>
      <c r="BK15" s="49" t="n"/>
      <c r="BL15" s="49" t="n"/>
      <c r="BM15" s="49" t="n"/>
      <c r="BN15" s="49" t="n"/>
      <c r="BO15" s="49" t="n"/>
      <c r="BP15" s="49" t="n"/>
      <c r="BQ15" s="49" t="n"/>
      <c r="BR15" s="49" t="n"/>
      <c r="BS15" s="49" t="n"/>
      <c r="BT15" s="49" t="n"/>
      <c r="BU15" s="49" t="n"/>
      <c r="BV15" s="49" t="n"/>
      <c r="BW15" s="49" t="n"/>
      <c r="BX15" s="49" t="n"/>
      <c r="BY15" s="49" t="n"/>
      <c r="BZ15" s="49" t="n"/>
      <c r="CA15" s="49" t="n"/>
      <c r="CB15" s="49" t="n"/>
      <c r="CC15" s="49" t="n"/>
      <c r="CD15" s="49" t="n"/>
      <c r="CE15" s="49" t="n"/>
      <c r="CF15" s="49" t="n"/>
      <c r="CG15" s="49" t="n"/>
      <c r="CH15" s="49" t="n"/>
      <c r="CI15" s="49" t="n"/>
      <c r="CJ15" s="49" t="n"/>
      <c r="CK15" s="49" t="n"/>
      <c r="CL15" s="49" t="n"/>
      <c r="CM15" s="49" t="n"/>
      <c r="CN15" s="49" t="n"/>
      <c r="CO15" s="49" t="n"/>
      <c r="CP15" s="46" t="n"/>
      <c r="CQ15" s="46" t="n"/>
      <c r="CR15" s="46" t="n"/>
      <c r="CS15" s="46" t="n"/>
      <c r="CT15" s="46" t="n"/>
      <c r="CU15" s="46" t="n"/>
      <c r="CV15" s="46" t="n"/>
      <c r="CW15" s="46" t="n"/>
      <c r="CX15" s="46" t="n"/>
      <c r="CY15" s="46" t="n"/>
      <c r="CZ15" s="46" t="n"/>
      <c r="DA15" s="46" t="n"/>
    </row>
    <row r="16" ht="18" customHeight="1">
      <c r="A16" s="62" t="n"/>
      <c r="B16" s="56" t="inlineStr">
        <is>
          <t>Day</t>
        </is>
      </c>
      <c r="C16" s="56" t="n">
        <v>0</v>
      </c>
      <c r="D16" s="56" t="n">
        <v>1</v>
      </c>
      <c r="E16" s="56" t="n">
        <v>2</v>
      </c>
      <c r="F16" s="56" t="n">
        <v>3</v>
      </c>
      <c r="G16" s="56" t="n">
        <v>4</v>
      </c>
      <c r="H16" s="56" t="n">
        <v>5</v>
      </c>
      <c r="I16" s="56" t="n">
        <v>6</v>
      </c>
      <c r="J16" s="56" t="n">
        <v>7</v>
      </c>
      <c r="K16" s="56" t="n">
        <v>8</v>
      </c>
      <c r="L16" s="56" t="n">
        <v>9</v>
      </c>
      <c r="M16" s="56" t="n">
        <v>10</v>
      </c>
      <c r="N16" s="56" t="n">
        <v>11</v>
      </c>
      <c r="O16" s="56" t="n">
        <v>12</v>
      </c>
      <c r="P16" s="56" t="n">
        <v>13</v>
      </c>
      <c r="Q16" s="56" t="n">
        <v>14</v>
      </c>
      <c r="R16" s="56" t="n">
        <v>15</v>
      </c>
      <c r="S16" s="56" t="n">
        <v>16</v>
      </c>
      <c r="T16" s="56" t="n">
        <v>17</v>
      </c>
      <c r="U16" s="56" t="n">
        <v>18</v>
      </c>
      <c r="V16" s="56" t="n">
        <v>19</v>
      </c>
      <c r="W16" s="56" t="n">
        <v>20</v>
      </c>
      <c r="X16" s="56" t="n">
        <v>21</v>
      </c>
      <c r="Y16" s="56" t="n">
        <v>22</v>
      </c>
      <c r="Z16" s="56" t="n">
        <v>23</v>
      </c>
      <c r="AA16" s="56" t="n">
        <v>24</v>
      </c>
      <c r="AB16" s="56" t="n">
        <v>25</v>
      </c>
      <c r="AC16" s="56" t="n">
        <v>26</v>
      </c>
      <c r="AD16" s="56" t="n">
        <v>27</v>
      </c>
      <c r="AE16" s="56" t="n">
        <v>28</v>
      </c>
      <c r="AF16" s="56" t="n">
        <v>29</v>
      </c>
      <c r="AG16" s="56" t="n">
        <v>30</v>
      </c>
      <c r="AH16" s="56" t="n">
        <v>31</v>
      </c>
      <c r="AI16" s="56" t="n">
        <v>32</v>
      </c>
      <c r="AJ16" s="56" t="n">
        <v>33</v>
      </c>
      <c r="AK16" s="56" t="n">
        <v>34</v>
      </c>
      <c r="AL16" s="56" t="n">
        <v>35</v>
      </c>
      <c r="AM16" s="56" t="n">
        <v>36</v>
      </c>
      <c r="AN16" s="56" t="n">
        <v>37</v>
      </c>
      <c r="AO16" s="56" t="n">
        <v>38</v>
      </c>
      <c r="AP16" s="56" t="n">
        <v>39</v>
      </c>
      <c r="AQ16" s="56" t="n">
        <v>40</v>
      </c>
      <c r="AR16" s="56" t="n">
        <v>41</v>
      </c>
      <c r="AS16" s="56" t="n">
        <v>42</v>
      </c>
      <c r="AT16" s="56" t="n">
        <v>43</v>
      </c>
      <c r="AU16" s="56" t="n">
        <v>44</v>
      </c>
      <c r="AV16" s="56" t="n">
        <v>45</v>
      </c>
      <c r="AW16" s="56" t="n">
        <v>46</v>
      </c>
      <c r="AX16" s="56" t="n">
        <v>47</v>
      </c>
      <c r="AY16" s="56" t="n">
        <v>48</v>
      </c>
      <c r="AZ16" s="56" t="n">
        <v>49</v>
      </c>
      <c r="BA16" s="56" t="n">
        <v>50</v>
      </c>
      <c r="BB16" s="56" t="n">
        <v>51</v>
      </c>
      <c r="BC16" s="56" t="n">
        <v>52</v>
      </c>
      <c r="BD16" s="56" t="n">
        <v>53</v>
      </c>
      <c r="BE16" s="56" t="n">
        <v>54</v>
      </c>
      <c r="BF16" s="56" t="n">
        <v>55</v>
      </c>
      <c r="BG16" s="56" t="n">
        <v>56</v>
      </c>
      <c r="BH16" s="56" t="n">
        <v>57</v>
      </c>
      <c r="BI16" s="56" t="n">
        <v>58</v>
      </c>
      <c r="BJ16" s="56" t="n">
        <v>59</v>
      </c>
      <c r="BK16" s="56" t="n">
        <v>60</v>
      </c>
      <c r="BL16" s="56" t="n">
        <v>61</v>
      </c>
      <c r="BM16" s="56" t="n">
        <v>62</v>
      </c>
      <c r="BN16" s="56" t="n">
        <v>63</v>
      </c>
      <c r="BO16" s="56" t="n">
        <v>64</v>
      </c>
      <c r="BP16" s="56" t="n">
        <v>65</v>
      </c>
      <c r="BQ16" s="56" t="n">
        <v>66</v>
      </c>
      <c r="BR16" s="56" t="n">
        <v>67</v>
      </c>
      <c r="BS16" s="56" t="n">
        <v>68</v>
      </c>
      <c r="BT16" s="56" t="n">
        <v>69</v>
      </c>
      <c r="BU16" s="56" t="n">
        <v>70</v>
      </c>
      <c r="BV16" s="56" t="n">
        <v>71</v>
      </c>
      <c r="BW16" s="56" t="n">
        <v>72</v>
      </c>
      <c r="BX16" s="56" t="n">
        <v>73</v>
      </c>
      <c r="BY16" s="56" t="n">
        <v>74</v>
      </c>
      <c r="BZ16" s="56" t="n">
        <v>75</v>
      </c>
      <c r="CA16" s="56" t="n">
        <v>76</v>
      </c>
      <c r="CB16" s="56" t="n">
        <v>77</v>
      </c>
      <c r="CC16" s="56" t="n">
        <v>78</v>
      </c>
      <c r="CD16" s="56" t="n">
        <v>79</v>
      </c>
      <c r="CE16" s="56" t="n">
        <v>80</v>
      </c>
      <c r="CF16" s="56" t="n">
        <v>81</v>
      </c>
      <c r="CG16" s="56" t="n">
        <v>82</v>
      </c>
      <c r="CH16" s="56" t="n">
        <v>83</v>
      </c>
      <c r="CI16" s="56" t="n">
        <v>84</v>
      </c>
      <c r="CJ16" s="56" t="n">
        <v>85</v>
      </c>
      <c r="CK16" s="56" t="n">
        <v>86</v>
      </c>
      <c r="CL16" s="56" t="n">
        <v>87</v>
      </c>
      <c r="CM16" s="56" t="n">
        <v>88</v>
      </c>
      <c r="CN16" s="56" t="n">
        <v>89</v>
      </c>
      <c r="CO16" s="56" t="n">
        <v>90</v>
      </c>
      <c r="CP16" s="46" t="n"/>
      <c r="CQ16" s="46" t="n"/>
      <c r="CR16" s="46" t="n"/>
      <c r="CS16" s="46" t="n"/>
      <c r="CT16" s="46" t="n"/>
      <c r="CU16" s="46" t="n"/>
      <c r="CV16" s="46" t="n"/>
      <c r="CW16" s="46" t="n"/>
      <c r="CX16" s="46" t="n"/>
      <c r="CY16" s="46" t="n"/>
      <c r="CZ16" s="46" t="n"/>
      <c r="DA16" s="46" t="n"/>
    </row>
    <row r="17">
      <c r="A17" s="62" t="n"/>
      <c r="B17" s="52" t="inlineStr">
        <is>
          <t>NAV of GBP fund</t>
        </is>
      </c>
      <c r="C17" s="59" t="n">
        <v>100.1855574707517</v>
      </c>
      <c r="D17" s="59" t="n">
        <v>99.81915571207847</v>
      </c>
      <c r="E17" s="59" t="n">
        <v>100.664520529434</v>
      </c>
      <c r="F17" s="59" t="n">
        <v>100.9556623111011</v>
      </c>
      <c r="G17" s="59" t="n">
        <v>100.6909206109507</v>
      </c>
      <c r="H17" s="59" t="n">
        <v>101.294191073926</v>
      </c>
      <c r="I17" s="59" t="n">
        <v>101.7515213823897</v>
      </c>
      <c r="J17" s="59" t="n">
        <v>101.4431133269026</v>
      </c>
      <c r="K17" s="59" t="n">
        <v>102.2236239444278</v>
      </c>
      <c r="L17" s="59" t="n">
        <v>102.6985044818439</v>
      </c>
      <c r="M17" s="59" t="n">
        <v>102.7651210711346</v>
      </c>
      <c r="N17" s="59" t="n">
        <v>102.8033639280232</v>
      </c>
      <c r="O17" s="59" t="n">
        <v>103.0252307548592</v>
      </c>
      <c r="P17" s="59" t="n">
        <v>101.8053493459035</v>
      </c>
      <c r="Q17" s="59" t="n">
        <v>99.72055695224327</v>
      </c>
      <c r="R17" s="59" t="n">
        <v>101.4341542781537</v>
      </c>
      <c r="S17" s="59" t="n">
        <v>101.3113060673648</v>
      </c>
      <c r="T17" s="59" t="n">
        <v>100.9107364465704</v>
      </c>
      <c r="U17" s="59" t="n">
        <v>99.17054195495595</v>
      </c>
      <c r="V17" s="59" t="n">
        <v>100.4178174593661</v>
      </c>
      <c r="W17" s="59" t="n">
        <v>101.5889667479839</v>
      </c>
      <c r="X17" s="59" t="n">
        <v>102.4080721690212</v>
      </c>
      <c r="Y17" s="59" t="n">
        <v>103.3067938337624</v>
      </c>
      <c r="Z17" s="59" t="n">
        <v>103.0911926658611</v>
      </c>
      <c r="AA17" s="59" t="n">
        <v>103.4409643104949</v>
      </c>
      <c r="AB17" s="59" t="n">
        <v>103.4024885283615</v>
      </c>
      <c r="AC17" s="59" t="n">
        <v>104.6502149867835</v>
      </c>
      <c r="AD17" s="59" t="n">
        <v>103.6114047843783</v>
      </c>
      <c r="AE17" s="59" t="n">
        <v>104.6171092786479</v>
      </c>
      <c r="AF17" s="59" t="n">
        <v>103.931281928834</v>
      </c>
      <c r="AG17" s="59" t="n">
        <v>104.6374891649848</v>
      </c>
      <c r="AH17" s="59" t="n">
        <v>104.5194258424828</v>
      </c>
      <c r="AI17" s="59" t="n">
        <v>103.143470667714</v>
      </c>
      <c r="AJ17" s="59" t="n">
        <v>99.32372198098321</v>
      </c>
      <c r="AK17" s="59" t="n">
        <v>96.62314926311505</v>
      </c>
      <c r="AL17" s="59" t="n">
        <v>95.94863061637145</v>
      </c>
      <c r="AM17" s="59" t="n">
        <v>91.66855301257591</v>
      </c>
      <c r="AN17" s="59" t="n">
        <v>91.57257767269107</v>
      </c>
      <c r="AO17" s="59" t="n">
        <v>94.94770815600559</v>
      </c>
      <c r="AP17" s="59" t="n">
        <v>93.1178500326612</v>
      </c>
      <c r="AQ17" s="59" t="n">
        <v>96.85666076002299</v>
      </c>
      <c r="AR17" s="59" t="n">
        <v>93.29910683980405</v>
      </c>
      <c r="AS17" s="59" t="n">
        <v>92.0979470458817</v>
      </c>
      <c r="AT17" s="59" t="n">
        <v>84.33659795967569</v>
      </c>
      <c r="AU17" s="59" t="n">
        <v>89.46689486350013</v>
      </c>
      <c r="AV17" s="59" t="n">
        <v>85.01137617841351</v>
      </c>
      <c r="AW17" s="59" t="n">
        <v>77.00324395123846</v>
      </c>
      <c r="AX17" s="59" t="n">
        <v>83.32416508287275</v>
      </c>
      <c r="AY17" s="59" t="n">
        <v>73.47897965949902</v>
      </c>
      <c r="AZ17" s="59" t="n">
        <v>78.20081311845978</v>
      </c>
      <c r="BA17" s="59" t="n">
        <v>73.7589882586613</v>
      </c>
      <c r="BB17" s="59" t="n">
        <v>74.83911608714776</v>
      </c>
      <c r="BC17" s="59" t="n">
        <v>70.8257445374626</v>
      </c>
      <c r="BD17" s="59" t="n">
        <v>69.16840088330491</v>
      </c>
      <c r="BE17" s="59" t="n">
        <v>75.87179809024032</v>
      </c>
      <c r="BF17" s="59" t="n">
        <v>76.64403993286409</v>
      </c>
      <c r="BG17" s="59" t="n">
        <v>81.15521462440461</v>
      </c>
      <c r="BH17" s="59" t="n">
        <v>78.71767643474153</v>
      </c>
      <c r="BI17" s="59" t="n">
        <v>81.09872450522371</v>
      </c>
      <c r="BJ17" s="59" t="n">
        <v>79.63469692984208</v>
      </c>
      <c r="BK17" s="59" t="n">
        <v>76.34851224100228</v>
      </c>
      <c r="BL17" s="59" t="n">
        <v>77.70754027242229</v>
      </c>
      <c r="BM17" s="59" t="n">
        <v>77.24818710437005</v>
      </c>
      <c r="BN17" s="59" t="n">
        <v>82.54874019416178</v>
      </c>
      <c r="BO17" s="59" t="n">
        <v>81.96913757652101</v>
      </c>
      <c r="BP17" s="59" t="n">
        <v>85.25351555587922</v>
      </c>
      <c r="BQ17" s="59" t="n">
        <v>85.71878363054233</v>
      </c>
      <c r="BR17" s="59" t="n">
        <v>85.03128088926215</v>
      </c>
      <c r="BS17" s="59" t="n">
        <v>88.0956076797778</v>
      </c>
      <c r="BT17" s="59" t="n">
        <v>85.52769495279101</v>
      </c>
      <c r="BU17" s="59" t="n">
        <v>86.59508450225515</v>
      </c>
      <c r="BV17" s="59" t="n">
        <v>88.39501651039843</v>
      </c>
      <c r="BW17" s="59" t="n">
        <v>87.1120470195108</v>
      </c>
      <c r="BX17" s="59" t="n">
        <v>84.19439429828039</v>
      </c>
      <c r="BY17" s="59" t="n">
        <v>86.68078566768723</v>
      </c>
      <c r="BZ17" s="59" t="n">
        <v>86.51980817231751</v>
      </c>
      <c r="CA17" s="59" t="n">
        <v>87.84732156105986</v>
      </c>
      <c r="CB17" s="59" t="n">
        <v>89.29168528032065</v>
      </c>
      <c r="CC17" s="59" t="n">
        <v>88.04540276149726</v>
      </c>
      <c r="CD17" s="59" t="n">
        <v>90.67757612600488</v>
      </c>
      <c r="CE17" s="59" t="n">
        <v>90.17337866288521</v>
      </c>
      <c r="CF17" s="59" t="n">
        <v>87.67954270440313</v>
      </c>
      <c r="CG17" s="59" t="n">
        <v>87.44995582221465</v>
      </c>
      <c r="CH17" s="59" t="n">
        <v>89.03101837924257</v>
      </c>
      <c r="CI17" s="59" t="n">
        <v>88.24266191979342</v>
      </c>
      <c r="CJ17" s="59" t="n">
        <v>88.95388338278724</v>
      </c>
      <c r="CK17" s="59" t="n">
        <v>90.1931976239286</v>
      </c>
      <c r="CL17" s="59" t="n">
        <v>90.0108798115163</v>
      </c>
      <c r="CM17" s="59" t="n">
        <v>88.15523383307341</v>
      </c>
      <c r="CN17" s="59" t="n">
        <v>87.45066077176581</v>
      </c>
      <c r="CO17" s="59" t="n">
        <v>87.61792455880857</v>
      </c>
      <c r="CP17" s="46" t="n"/>
      <c r="CQ17" s="46" t="n"/>
      <c r="CR17" s="46" t="n"/>
      <c r="CS17" s="46" t="n"/>
      <c r="CT17" s="46" t="n"/>
      <c r="CU17" s="46" t="n"/>
      <c r="CV17" s="46" t="n"/>
      <c r="CW17" s="46" t="n"/>
      <c r="CX17" s="46" t="n"/>
      <c r="CY17" s="46" t="n"/>
      <c r="CZ17" s="46" t="n"/>
      <c r="DA17" s="46" t="n"/>
    </row>
    <row r="18" ht="18" customHeight="1">
      <c r="A18" s="62" t="n"/>
      <c r="B18" s="52" t="inlineStr">
        <is>
          <t>Number of Shares</t>
        </is>
      </c>
      <c r="C18" s="104">
        <f>$C$8/$C$17</f>
        <v/>
      </c>
      <c r="D18" s="104">
        <f>$C$8/$C$17</f>
        <v/>
      </c>
      <c r="E18" s="104">
        <f>$C$8/$C$17</f>
        <v/>
      </c>
      <c r="F18" s="104">
        <f>$C$8/$C$17</f>
        <v/>
      </c>
      <c r="G18" s="104">
        <f>$C$8/$C$17</f>
        <v/>
      </c>
      <c r="H18" s="104">
        <f>$C$8/$C$17</f>
        <v/>
      </c>
      <c r="I18" s="104">
        <f>$C$8/$C$17</f>
        <v/>
      </c>
      <c r="J18" s="104">
        <f>$C$8/$C$17</f>
        <v/>
      </c>
      <c r="K18" s="104">
        <f>$C$8/$C$17</f>
        <v/>
      </c>
      <c r="L18" s="104">
        <f>$C$8/$C$17</f>
        <v/>
      </c>
      <c r="M18" s="104">
        <f>$C$8/$C$17</f>
        <v/>
      </c>
      <c r="N18" s="104">
        <f>$C$8/$C$17</f>
        <v/>
      </c>
      <c r="O18" s="104">
        <f>$C$8/$C$17</f>
        <v/>
      </c>
      <c r="P18" s="104">
        <f>$C$8/$C$17</f>
        <v/>
      </c>
      <c r="Q18" s="104">
        <f>$C$8/$C$17</f>
        <v/>
      </c>
      <c r="R18" s="104">
        <f>$C$8/$C$17</f>
        <v/>
      </c>
      <c r="S18" s="104">
        <f>$C$8/$C$17</f>
        <v/>
      </c>
      <c r="T18" s="104">
        <f>$C$8/$C$17</f>
        <v/>
      </c>
      <c r="U18" s="104">
        <f>$C$8/$C$17</f>
        <v/>
      </c>
      <c r="V18" s="104">
        <f>$C$8/$C$17</f>
        <v/>
      </c>
      <c r="W18" s="104">
        <f>$C$8/$C$17</f>
        <v/>
      </c>
      <c r="X18" s="104">
        <f>$C$8/$C$17</f>
        <v/>
      </c>
      <c r="Y18" s="104">
        <f>$C$8/$C$17</f>
        <v/>
      </c>
      <c r="Z18" s="104">
        <f>$C$8/$C$17</f>
        <v/>
      </c>
      <c r="AA18" s="104">
        <f>$C$8/$C$17</f>
        <v/>
      </c>
      <c r="AB18" s="104">
        <f>$C$8/$C$17</f>
        <v/>
      </c>
      <c r="AC18" s="104">
        <f>$C$8/$C$17</f>
        <v/>
      </c>
      <c r="AD18" s="104">
        <f>$C$8/$C$17</f>
        <v/>
      </c>
      <c r="AE18" s="104">
        <f>$C$8/$C$17</f>
        <v/>
      </c>
      <c r="AF18" s="104">
        <f>$C$8/$C$17</f>
        <v/>
      </c>
      <c r="AG18" s="104">
        <f>$C$8/$C$17</f>
        <v/>
      </c>
      <c r="AH18" s="104">
        <f>$C$8/$C$17</f>
        <v/>
      </c>
      <c r="AI18" s="104">
        <f>$C$8/$C$17</f>
        <v/>
      </c>
      <c r="AJ18" s="104">
        <f>$C$8/$C$17</f>
        <v/>
      </c>
      <c r="AK18" s="104">
        <f>$C$8/$C$17</f>
        <v/>
      </c>
      <c r="AL18" s="104">
        <f>$C$8/$C$17</f>
        <v/>
      </c>
      <c r="AM18" s="104">
        <f>$C$8/$C$17</f>
        <v/>
      </c>
      <c r="AN18" s="104">
        <f>$C$8/$C$17</f>
        <v/>
      </c>
      <c r="AO18" s="104">
        <f>$C$8/$C$17</f>
        <v/>
      </c>
      <c r="AP18" s="104">
        <f>$C$8/$C$17</f>
        <v/>
      </c>
      <c r="AQ18" s="104">
        <f>$C$8/$C$17</f>
        <v/>
      </c>
      <c r="AR18" s="104">
        <f>$C$8/$C$17</f>
        <v/>
      </c>
      <c r="AS18" s="104">
        <f>$C$8/$C$17</f>
        <v/>
      </c>
      <c r="AT18" s="104">
        <f>$C$8/$C$17</f>
        <v/>
      </c>
      <c r="AU18" s="104">
        <f>$C$8/$C$17</f>
        <v/>
      </c>
      <c r="AV18" s="104">
        <f>$C$8/$C$17</f>
        <v/>
      </c>
      <c r="AW18" s="104">
        <f>$C$8/$C$17</f>
        <v/>
      </c>
      <c r="AX18" s="104">
        <f>$C$8/$C$17</f>
        <v/>
      </c>
      <c r="AY18" s="104">
        <f>$C$8/$C$17</f>
        <v/>
      </c>
      <c r="AZ18" s="104">
        <f>$C$8/$C$17</f>
        <v/>
      </c>
      <c r="BA18" s="104">
        <f>$C$8/$C$17</f>
        <v/>
      </c>
      <c r="BB18" s="104">
        <f>$C$8/$C$17</f>
        <v/>
      </c>
      <c r="BC18" s="104">
        <f>$C$8/$C$17</f>
        <v/>
      </c>
      <c r="BD18" s="104">
        <f>$C$8/$C$17</f>
        <v/>
      </c>
      <c r="BE18" s="104">
        <f>$C$8/$C$17</f>
        <v/>
      </c>
      <c r="BF18" s="104">
        <f>$C$8/$C$17</f>
        <v/>
      </c>
      <c r="BG18" s="104">
        <f>$C$8/$C$17</f>
        <v/>
      </c>
      <c r="BH18" s="104">
        <f>$C$8/$C$17</f>
        <v/>
      </c>
      <c r="BI18" s="104">
        <f>$C$8/$C$17</f>
        <v/>
      </c>
      <c r="BJ18" s="104">
        <f>$C$8/$C$17</f>
        <v/>
      </c>
      <c r="BK18" s="104">
        <f>$C$8/$C$17</f>
        <v/>
      </c>
      <c r="BL18" s="104">
        <f>$C$8/$C$17</f>
        <v/>
      </c>
      <c r="BM18" s="104">
        <f>$C$8/$C$17</f>
        <v/>
      </c>
      <c r="BN18" s="104">
        <f>$C$8/$C$17</f>
        <v/>
      </c>
      <c r="BO18" s="104">
        <f>$C$8/$C$17</f>
        <v/>
      </c>
      <c r="BP18" s="104">
        <f>$C$8/$C$17</f>
        <v/>
      </c>
      <c r="BQ18" s="104">
        <f>$C$8/$C$17</f>
        <v/>
      </c>
      <c r="BR18" s="104">
        <f>$C$8/$C$17</f>
        <v/>
      </c>
      <c r="BS18" s="104">
        <f>$C$8/$C$17</f>
        <v/>
      </c>
      <c r="BT18" s="104">
        <f>$C$8/$C$17</f>
        <v/>
      </c>
      <c r="BU18" s="104">
        <f>$C$8/$C$17</f>
        <v/>
      </c>
      <c r="BV18" s="104">
        <f>$C$8/$C$17</f>
        <v/>
      </c>
      <c r="BW18" s="104">
        <f>$C$8/$C$17</f>
        <v/>
      </c>
      <c r="BX18" s="104">
        <f>$C$8/$C$17</f>
        <v/>
      </c>
      <c r="BY18" s="104">
        <f>$C$8/$C$17</f>
        <v/>
      </c>
      <c r="BZ18" s="104">
        <f>$C$8/$C$17</f>
        <v/>
      </c>
      <c r="CA18" s="104">
        <f>$C$8/$C$17</f>
        <v/>
      </c>
      <c r="CB18" s="104">
        <f>$C$8/$C$17</f>
        <v/>
      </c>
      <c r="CC18" s="104">
        <f>$C$8/$C$17</f>
        <v/>
      </c>
      <c r="CD18" s="104">
        <f>$C$8/$C$17</f>
        <v/>
      </c>
      <c r="CE18" s="104">
        <f>$C$8/$C$17</f>
        <v/>
      </c>
      <c r="CF18" s="104">
        <f>$C$8/$C$17</f>
        <v/>
      </c>
      <c r="CG18" s="104">
        <f>$C$8/$C$17</f>
        <v/>
      </c>
      <c r="CH18" s="104">
        <f>$C$8/$C$17</f>
        <v/>
      </c>
      <c r="CI18" s="104">
        <f>$C$8/$C$17</f>
        <v/>
      </c>
      <c r="CJ18" s="104">
        <f>$C$8/$C$17</f>
        <v/>
      </c>
      <c r="CK18" s="104">
        <f>$C$8/$C$17</f>
        <v/>
      </c>
      <c r="CL18" s="104">
        <f>$C$8/$C$17</f>
        <v/>
      </c>
      <c r="CM18" s="104">
        <f>$C$8/$C$17</f>
        <v/>
      </c>
      <c r="CN18" s="104">
        <f>$C$8/$C$17</f>
        <v/>
      </c>
      <c r="CO18" s="104">
        <f>$C$8/$C$17</f>
        <v/>
      </c>
      <c r="CP18" s="46" t="n"/>
      <c r="CQ18" s="46" t="n"/>
      <c r="CR18" s="46" t="n"/>
      <c r="CS18" s="46" t="n"/>
      <c r="CT18" s="46" t="n"/>
      <c r="CU18" s="46" t="n"/>
      <c r="CV18" s="46" t="n"/>
      <c r="CW18" s="46" t="n"/>
      <c r="CX18" s="46" t="n"/>
      <c r="CY18" s="46" t="n"/>
      <c r="CZ18" s="46" t="n"/>
      <c r="DA18" s="46" t="n"/>
    </row>
    <row r="19">
      <c r="A19" s="62" t="n"/>
      <c r="B19" s="62" t="n"/>
      <c r="C19" s="62" t="n"/>
      <c r="D19" s="62" t="n"/>
      <c r="E19" s="62" t="n"/>
      <c r="F19" s="62" t="n"/>
      <c r="G19" s="62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  <c r="AZ19" s="62" t="n"/>
      <c r="BA19" s="62" t="n"/>
      <c r="BB19" s="62" t="n"/>
      <c r="BC19" s="62" t="n"/>
      <c r="BD19" s="62" t="n"/>
      <c r="BE19" s="62" t="n"/>
      <c r="BF19" s="62" t="n"/>
      <c r="BG19" s="62" t="n"/>
      <c r="BH19" s="62" t="n"/>
      <c r="BI19" s="62" t="n"/>
      <c r="BJ19" s="62" t="n"/>
      <c r="BK19" s="62" t="n"/>
      <c r="BL19" s="62" t="n"/>
      <c r="BM19" s="62" t="n"/>
      <c r="BN19" s="62" t="n"/>
      <c r="BO19" s="62" t="n"/>
      <c r="BP19" s="62" t="n"/>
      <c r="BQ19" s="62" t="n"/>
      <c r="BR19" s="62" t="n"/>
      <c r="BS19" s="62" t="n"/>
      <c r="BT19" s="62" t="n"/>
      <c r="BU19" s="62" t="n"/>
      <c r="BV19" s="62" t="n"/>
      <c r="BW19" s="62" t="n"/>
      <c r="BX19" s="62" t="n"/>
      <c r="BY19" s="62" t="n"/>
      <c r="BZ19" s="62" t="n"/>
      <c r="CA19" s="62" t="n"/>
      <c r="CB19" s="62" t="n"/>
      <c r="CC19" s="62" t="n"/>
      <c r="CD19" s="62" t="n"/>
      <c r="CE19" s="62" t="n"/>
      <c r="CF19" s="62" t="n"/>
      <c r="CG19" s="62" t="n"/>
      <c r="CH19" s="62" t="n"/>
      <c r="CI19" s="62" t="n"/>
      <c r="CJ19" s="62" t="n"/>
      <c r="CK19" s="62" t="n"/>
      <c r="CL19" s="62" t="n"/>
      <c r="CM19" s="62" t="n"/>
      <c r="CN19" s="62" t="n"/>
      <c r="CO19" s="62" t="n"/>
      <c r="CP19" s="46" t="n"/>
      <c r="CQ19" s="46" t="n"/>
      <c r="CR19" s="46" t="n"/>
      <c r="CS19" s="46" t="n"/>
      <c r="CT19" s="46" t="n"/>
      <c r="CU19" s="46" t="n"/>
      <c r="CV19" s="46" t="n"/>
      <c r="CW19" s="46" t="n"/>
      <c r="CX19" s="46" t="n"/>
      <c r="CY19" s="46" t="n"/>
      <c r="CZ19" s="46" t="n"/>
      <c r="DA19" s="46" t="n"/>
    </row>
    <row r="20" ht="18" customHeight="1">
      <c r="A20" s="62" t="n"/>
      <c r="B20" s="51" t="inlineStr">
        <is>
          <t>Value of Investment</t>
        </is>
      </c>
      <c r="C20" s="62" t="n"/>
      <c r="D20" s="62" t="n"/>
      <c r="E20" s="62" t="n"/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  <c r="AZ20" s="62" t="n"/>
      <c r="BA20" s="62" t="n"/>
      <c r="BB20" s="62" t="n"/>
      <c r="BC20" s="62" t="n"/>
      <c r="BD20" s="62" t="n"/>
      <c r="BE20" s="62" t="n"/>
      <c r="BF20" s="62" t="n"/>
      <c r="BG20" s="62" t="n"/>
      <c r="BH20" s="62" t="n"/>
      <c r="BI20" s="62" t="n"/>
      <c r="BJ20" s="62" t="n"/>
      <c r="BK20" s="62" t="n"/>
      <c r="BL20" s="62" t="n"/>
      <c r="BM20" s="62" t="n"/>
      <c r="BN20" s="62" t="n"/>
      <c r="BO20" s="62" t="n"/>
      <c r="BP20" s="62" t="n"/>
      <c r="BQ20" s="62" t="n"/>
      <c r="BR20" s="62" t="n"/>
      <c r="BS20" s="62" t="n"/>
      <c r="BT20" s="62" t="n"/>
      <c r="BU20" s="62" t="n"/>
      <c r="BV20" s="62" t="n"/>
      <c r="BW20" s="62" t="n"/>
      <c r="BX20" s="62" t="n"/>
      <c r="BY20" s="62" t="n"/>
      <c r="BZ20" s="62" t="n"/>
      <c r="CA20" s="62" t="n"/>
      <c r="CB20" s="62" t="n"/>
      <c r="CC20" s="62" t="n"/>
      <c r="CD20" s="62" t="n"/>
      <c r="CE20" s="62" t="n"/>
      <c r="CF20" s="62" t="n"/>
      <c r="CG20" s="62" t="n"/>
      <c r="CH20" s="62" t="n"/>
      <c r="CI20" s="62" t="n"/>
      <c r="CJ20" s="62" t="n"/>
      <c r="CK20" s="62" t="n"/>
      <c r="CL20" s="62" t="n"/>
      <c r="CM20" s="62" t="n"/>
      <c r="CN20" s="62" t="n"/>
      <c r="CO20" s="62" t="n"/>
      <c r="CP20" s="46" t="n"/>
      <c r="CQ20" s="46" t="n"/>
      <c r="CR20" s="46" t="n"/>
      <c r="CS20" s="46" t="n"/>
      <c r="CT20" s="46" t="n"/>
      <c r="CU20" s="46" t="n"/>
      <c r="CV20" s="46" t="n"/>
      <c r="CW20" s="46" t="n"/>
      <c r="CX20" s="46" t="n"/>
      <c r="CY20" s="46" t="n"/>
      <c r="CZ20" s="46" t="n"/>
      <c r="DA20" s="46" t="n"/>
    </row>
    <row r="21" ht="18" customHeight="1">
      <c r="A21" s="62" t="n"/>
      <c r="B21" s="56" t="inlineStr">
        <is>
          <t>Day</t>
        </is>
      </c>
      <c r="C21" s="56" t="n">
        <v>0</v>
      </c>
      <c r="D21" s="56" t="n">
        <v>1</v>
      </c>
      <c r="E21" s="56" t="n">
        <v>2</v>
      </c>
      <c r="F21" s="56" t="n">
        <v>3</v>
      </c>
      <c r="G21" s="56" t="n">
        <v>4</v>
      </c>
      <c r="H21" s="56" t="n">
        <v>5</v>
      </c>
      <c r="I21" s="56" t="n">
        <v>6</v>
      </c>
      <c r="J21" s="56" t="n">
        <v>7</v>
      </c>
      <c r="K21" s="56" t="n">
        <v>8</v>
      </c>
      <c r="L21" s="56" t="n">
        <v>9</v>
      </c>
      <c r="M21" s="56" t="n">
        <v>10</v>
      </c>
      <c r="N21" s="56" t="n">
        <v>11</v>
      </c>
      <c r="O21" s="56" t="n">
        <v>12</v>
      </c>
      <c r="P21" s="56" t="n">
        <v>13</v>
      </c>
      <c r="Q21" s="56" t="n">
        <v>14</v>
      </c>
      <c r="R21" s="56" t="n">
        <v>15</v>
      </c>
      <c r="S21" s="56" t="n">
        <v>16</v>
      </c>
      <c r="T21" s="56" t="n">
        <v>17</v>
      </c>
      <c r="U21" s="56" t="n">
        <v>18</v>
      </c>
      <c r="V21" s="56" t="n">
        <v>19</v>
      </c>
      <c r="W21" s="56" t="n">
        <v>20</v>
      </c>
      <c r="X21" s="56" t="n">
        <v>21</v>
      </c>
      <c r="Y21" s="56" t="n">
        <v>22</v>
      </c>
      <c r="Z21" s="56" t="n">
        <v>23</v>
      </c>
      <c r="AA21" s="56" t="n">
        <v>24</v>
      </c>
      <c r="AB21" s="56" t="n">
        <v>25</v>
      </c>
      <c r="AC21" s="56" t="n">
        <v>26</v>
      </c>
      <c r="AD21" s="56" t="n">
        <v>27</v>
      </c>
      <c r="AE21" s="56" t="n">
        <v>28</v>
      </c>
      <c r="AF21" s="56" t="n">
        <v>29</v>
      </c>
      <c r="AG21" s="56" t="n">
        <v>30</v>
      </c>
      <c r="AH21" s="56" t="n">
        <v>31</v>
      </c>
      <c r="AI21" s="56" t="n">
        <v>32</v>
      </c>
      <c r="AJ21" s="56" t="n">
        <v>33</v>
      </c>
      <c r="AK21" s="56" t="n">
        <v>34</v>
      </c>
      <c r="AL21" s="56" t="n">
        <v>35</v>
      </c>
      <c r="AM21" s="56" t="n">
        <v>36</v>
      </c>
      <c r="AN21" s="56" t="n">
        <v>37</v>
      </c>
      <c r="AO21" s="56" t="n">
        <v>38</v>
      </c>
      <c r="AP21" s="56" t="n">
        <v>39</v>
      </c>
      <c r="AQ21" s="56" t="n">
        <v>40</v>
      </c>
      <c r="AR21" s="56" t="n">
        <v>41</v>
      </c>
      <c r="AS21" s="56" t="n">
        <v>42</v>
      </c>
      <c r="AT21" s="56" t="n">
        <v>43</v>
      </c>
      <c r="AU21" s="56" t="n">
        <v>44</v>
      </c>
      <c r="AV21" s="56" t="n">
        <v>45</v>
      </c>
      <c r="AW21" s="56" t="n">
        <v>46</v>
      </c>
      <c r="AX21" s="56" t="n">
        <v>47</v>
      </c>
      <c r="AY21" s="56" t="n">
        <v>48</v>
      </c>
      <c r="AZ21" s="56" t="n">
        <v>49</v>
      </c>
      <c r="BA21" s="56" t="n">
        <v>50</v>
      </c>
      <c r="BB21" s="56" t="n">
        <v>51</v>
      </c>
      <c r="BC21" s="56" t="n">
        <v>52</v>
      </c>
      <c r="BD21" s="56" t="n">
        <v>53</v>
      </c>
      <c r="BE21" s="56" t="n">
        <v>54</v>
      </c>
      <c r="BF21" s="56" t="n">
        <v>55</v>
      </c>
      <c r="BG21" s="56" t="n">
        <v>56</v>
      </c>
      <c r="BH21" s="56" t="n">
        <v>57</v>
      </c>
      <c r="BI21" s="56" t="n">
        <v>58</v>
      </c>
      <c r="BJ21" s="56" t="n">
        <v>59</v>
      </c>
      <c r="BK21" s="56" t="n">
        <v>60</v>
      </c>
      <c r="BL21" s="56" t="n">
        <v>61</v>
      </c>
      <c r="BM21" s="56" t="n">
        <v>62</v>
      </c>
      <c r="BN21" s="56" t="n">
        <v>63</v>
      </c>
      <c r="BO21" s="56" t="n">
        <v>64</v>
      </c>
      <c r="BP21" s="56" t="n">
        <v>65</v>
      </c>
      <c r="BQ21" s="56" t="n">
        <v>66</v>
      </c>
      <c r="BR21" s="56" t="n">
        <v>67</v>
      </c>
      <c r="BS21" s="56" t="n">
        <v>68</v>
      </c>
      <c r="BT21" s="56" t="n">
        <v>69</v>
      </c>
      <c r="BU21" s="56" t="n">
        <v>70</v>
      </c>
      <c r="BV21" s="56" t="n">
        <v>71</v>
      </c>
      <c r="BW21" s="56" t="n">
        <v>72</v>
      </c>
      <c r="BX21" s="56" t="n">
        <v>73</v>
      </c>
      <c r="BY21" s="56" t="n">
        <v>74</v>
      </c>
      <c r="BZ21" s="56" t="n">
        <v>75</v>
      </c>
      <c r="CA21" s="56" t="n">
        <v>76</v>
      </c>
      <c r="CB21" s="56" t="n">
        <v>77</v>
      </c>
      <c r="CC21" s="56" t="n">
        <v>78</v>
      </c>
      <c r="CD21" s="56" t="n">
        <v>79</v>
      </c>
      <c r="CE21" s="56" t="n">
        <v>80</v>
      </c>
      <c r="CF21" s="56" t="n">
        <v>81</v>
      </c>
      <c r="CG21" s="56" t="n">
        <v>82</v>
      </c>
      <c r="CH21" s="56" t="n">
        <v>83</v>
      </c>
      <c r="CI21" s="56" t="n">
        <v>84</v>
      </c>
      <c r="CJ21" s="56" t="n">
        <v>85</v>
      </c>
      <c r="CK21" s="56" t="n">
        <v>86</v>
      </c>
      <c r="CL21" s="56" t="n">
        <v>87</v>
      </c>
      <c r="CM21" s="56" t="n">
        <v>88</v>
      </c>
      <c r="CN21" s="56" t="n">
        <v>89</v>
      </c>
      <c r="CO21" s="56" t="n">
        <v>90</v>
      </c>
      <c r="CP21" s="46" t="n"/>
      <c r="CQ21" s="46" t="n"/>
      <c r="CR21" s="46" t="n"/>
      <c r="CS21" s="46" t="n"/>
      <c r="CT21" s="46" t="n"/>
      <c r="CU21" s="46" t="n"/>
      <c r="CV21" s="46" t="n"/>
      <c r="CW21" s="46" t="n"/>
      <c r="CX21" s="46" t="n"/>
      <c r="CY21" s="46" t="n"/>
      <c r="CZ21" s="46" t="n"/>
      <c r="DA21" s="46" t="n"/>
    </row>
    <row r="22">
      <c r="A22" s="62" t="n"/>
      <c r="B22" s="52" t="inlineStr">
        <is>
          <t>Value of Investment (GBP)</t>
        </is>
      </c>
      <c r="C22" s="105">
        <f>C18*C17</f>
        <v/>
      </c>
      <c r="D22" s="105">
        <f>D18*D17</f>
        <v/>
      </c>
      <c r="E22" s="105">
        <f>E18*E17</f>
        <v/>
      </c>
      <c r="F22" s="105">
        <f>F18*F17</f>
        <v/>
      </c>
      <c r="G22" s="105">
        <f>G18*G17</f>
        <v/>
      </c>
      <c r="H22" s="105">
        <f>H18*H17</f>
        <v/>
      </c>
      <c r="I22" s="105">
        <f>I18*I17</f>
        <v/>
      </c>
      <c r="J22" s="105">
        <f>J18*J17</f>
        <v/>
      </c>
      <c r="K22" s="105">
        <f>K18*K17</f>
        <v/>
      </c>
      <c r="L22" s="105">
        <f>L18*L17</f>
        <v/>
      </c>
      <c r="M22" s="105">
        <f>M18*M17</f>
        <v/>
      </c>
      <c r="N22" s="105">
        <f>N18*N17</f>
        <v/>
      </c>
      <c r="O22" s="105">
        <f>O18*O17</f>
        <v/>
      </c>
      <c r="P22" s="105">
        <f>P18*P17</f>
        <v/>
      </c>
      <c r="Q22" s="105">
        <f>Q18*Q17</f>
        <v/>
      </c>
      <c r="R22" s="105">
        <f>R18*R17</f>
        <v/>
      </c>
      <c r="S22" s="105">
        <f>S18*S17</f>
        <v/>
      </c>
      <c r="T22" s="105">
        <f>T18*T17</f>
        <v/>
      </c>
      <c r="U22" s="105">
        <f>U18*U17</f>
        <v/>
      </c>
      <c r="V22" s="105">
        <f>V18*V17</f>
        <v/>
      </c>
      <c r="W22" s="105">
        <f>W18*W17</f>
        <v/>
      </c>
      <c r="X22" s="105">
        <f>X18*X17</f>
        <v/>
      </c>
      <c r="Y22" s="105">
        <f>Y18*Y17</f>
        <v/>
      </c>
      <c r="Z22" s="105">
        <f>Z18*Z17</f>
        <v/>
      </c>
      <c r="AA22" s="105">
        <f>AA18*AA17</f>
        <v/>
      </c>
      <c r="AB22" s="105">
        <f>AB18*AB17</f>
        <v/>
      </c>
      <c r="AC22" s="105">
        <f>AC18*AC17</f>
        <v/>
      </c>
      <c r="AD22" s="105">
        <f>AD18*AD17</f>
        <v/>
      </c>
      <c r="AE22" s="105">
        <f>AE18*AE17</f>
        <v/>
      </c>
      <c r="AF22" s="105">
        <f>AF18*AF17</f>
        <v/>
      </c>
      <c r="AG22" s="105">
        <f>AG18*AG17</f>
        <v/>
      </c>
      <c r="AH22" s="105">
        <f>AH18*AH17</f>
        <v/>
      </c>
      <c r="AI22" s="105">
        <f>AI18*AI17</f>
        <v/>
      </c>
      <c r="AJ22" s="105">
        <f>AJ18*AJ17</f>
        <v/>
      </c>
      <c r="AK22" s="105">
        <f>AK18*AK17</f>
        <v/>
      </c>
      <c r="AL22" s="105">
        <f>AL18*AL17</f>
        <v/>
      </c>
      <c r="AM22" s="105">
        <f>AM18*AM17</f>
        <v/>
      </c>
      <c r="AN22" s="105">
        <f>AN18*AN17</f>
        <v/>
      </c>
      <c r="AO22" s="105">
        <f>AO18*AO17</f>
        <v/>
      </c>
      <c r="AP22" s="105">
        <f>AP18*AP17</f>
        <v/>
      </c>
      <c r="AQ22" s="105">
        <f>AQ18*AQ17</f>
        <v/>
      </c>
      <c r="AR22" s="105">
        <f>AR18*AR17</f>
        <v/>
      </c>
      <c r="AS22" s="105">
        <f>AS18*AS17</f>
        <v/>
      </c>
      <c r="AT22" s="105">
        <f>AT18*AT17</f>
        <v/>
      </c>
      <c r="AU22" s="105">
        <f>AU18*AU17</f>
        <v/>
      </c>
      <c r="AV22" s="105">
        <f>AV18*AV17</f>
        <v/>
      </c>
      <c r="AW22" s="105">
        <f>AW18*AW17</f>
        <v/>
      </c>
      <c r="AX22" s="105">
        <f>AX18*AX17</f>
        <v/>
      </c>
      <c r="AY22" s="105">
        <f>AY18*AY17</f>
        <v/>
      </c>
      <c r="AZ22" s="105">
        <f>AZ18*AZ17</f>
        <v/>
      </c>
      <c r="BA22" s="105">
        <f>BA18*BA17</f>
        <v/>
      </c>
      <c r="BB22" s="105">
        <f>BB18*BB17</f>
        <v/>
      </c>
      <c r="BC22" s="105">
        <f>BC18*BC17</f>
        <v/>
      </c>
      <c r="BD22" s="105">
        <f>BD18*BD17</f>
        <v/>
      </c>
      <c r="BE22" s="105">
        <f>BE18*BE17</f>
        <v/>
      </c>
      <c r="BF22" s="105">
        <f>BF18*BF17</f>
        <v/>
      </c>
      <c r="BG22" s="105">
        <f>BG18*BG17</f>
        <v/>
      </c>
      <c r="BH22" s="105">
        <f>BH18*BH17</f>
        <v/>
      </c>
      <c r="BI22" s="105">
        <f>BI18*BI17</f>
        <v/>
      </c>
      <c r="BJ22" s="105">
        <f>BJ18*BJ17</f>
        <v/>
      </c>
      <c r="BK22" s="105">
        <f>BK18*BK17</f>
        <v/>
      </c>
      <c r="BL22" s="105">
        <f>BL18*BL17</f>
        <v/>
      </c>
      <c r="BM22" s="105">
        <f>BM18*BM17</f>
        <v/>
      </c>
      <c r="BN22" s="105">
        <f>BN18*BN17</f>
        <v/>
      </c>
      <c r="BO22" s="105">
        <f>BO18*BO17</f>
        <v/>
      </c>
      <c r="BP22" s="105">
        <f>BP18*BP17</f>
        <v/>
      </c>
      <c r="BQ22" s="105">
        <f>BQ18*BQ17</f>
        <v/>
      </c>
      <c r="BR22" s="105">
        <f>BR18*BR17</f>
        <v/>
      </c>
      <c r="BS22" s="105">
        <f>BS18*BS17</f>
        <v/>
      </c>
      <c r="BT22" s="105">
        <f>BT18*BT17</f>
        <v/>
      </c>
      <c r="BU22" s="105">
        <f>BU18*BU17</f>
        <v/>
      </c>
      <c r="BV22" s="105">
        <f>BV18*BV17</f>
        <v/>
      </c>
      <c r="BW22" s="105">
        <f>BW18*BW17</f>
        <v/>
      </c>
      <c r="BX22" s="105">
        <f>BX18*BX17</f>
        <v/>
      </c>
      <c r="BY22" s="105">
        <f>BY18*BY17</f>
        <v/>
      </c>
      <c r="BZ22" s="105">
        <f>BZ18*BZ17</f>
        <v/>
      </c>
      <c r="CA22" s="105">
        <f>CA18*CA17</f>
        <v/>
      </c>
      <c r="CB22" s="105">
        <f>CB18*CB17</f>
        <v/>
      </c>
      <c r="CC22" s="105">
        <f>CC18*CC17</f>
        <v/>
      </c>
      <c r="CD22" s="105">
        <f>CD18*CD17</f>
        <v/>
      </c>
      <c r="CE22" s="105">
        <f>CE18*CE17</f>
        <v/>
      </c>
      <c r="CF22" s="105">
        <f>CF18*CF17</f>
        <v/>
      </c>
      <c r="CG22" s="105">
        <f>CG18*CG17</f>
        <v/>
      </c>
      <c r="CH22" s="105">
        <f>CH18*CH17</f>
        <v/>
      </c>
      <c r="CI22" s="105">
        <f>CI18*CI17</f>
        <v/>
      </c>
      <c r="CJ22" s="105">
        <f>CJ18*CJ17</f>
        <v/>
      </c>
      <c r="CK22" s="105">
        <f>CK18*CK17</f>
        <v/>
      </c>
      <c r="CL22" s="105">
        <f>CL18*CL17</f>
        <v/>
      </c>
      <c r="CM22" s="105">
        <f>CM18*CM17</f>
        <v/>
      </c>
      <c r="CN22" s="105">
        <f>CN18*CN17</f>
        <v/>
      </c>
      <c r="CO22" s="105">
        <f>CO18*CO17</f>
        <v/>
      </c>
      <c r="CP22" s="46" t="n"/>
      <c r="CQ22" s="46" t="n"/>
      <c r="CR22" s="46" t="n"/>
      <c r="CS22" s="46" t="n"/>
      <c r="CT22" s="46" t="n"/>
      <c r="CU22" s="46" t="n"/>
      <c r="CV22" s="46" t="n"/>
      <c r="CW22" s="46" t="n"/>
      <c r="CX22" s="46" t="n"/>
      <c r="CY22" s="46" t="n"/>
      <c r="CZ22" s="46" t="n"/>
      <c r="DA22" s="46" t="n"/>
    </row>
    <row r="23" ht="18" customHeight="1">
      <c r="A23" s="62" t="n"/>
      <c r="B23" s="52" t="inlineStr">
        <is>
          <t>Value of Investment (USD)</t>
        </is>
      </c>
      <c r="C23" s="104">
        <f>C22*C13</f>
        <v/>
      </c>
      <c r="D23" s="104">
        <f>D22*D13</f>
        <v/>
      </c>
      <c r="E23" s="104">
        <f>E22*E13</f>
        <v/>
      </c>
      <c r="F23" s="104">
        <f>F22*F13</f>
        <v/>
      </c>
      <c r="G23" s="104">
        <f>G22*G13</f>
        <v/>
      </c>
      <c r="H23" s="104">
        <f>H22*H13</f>
        <v/>
      </c>
      <c r="I23" s="104">
        <f>I22*I13</f>
        <v/>
      </c>
      <c r="J23" s="104">
        <f>J22*J13</f>
        <v/>
      </c>
      <c r="K23" s="104">
        <f>K22*K13</f>
        <v/>
      </c>
      <c r="L23" s="104">
        <f>L22*L13</f>
        <v/>
      </c>
      <c r="M23" s="104">
        <f>M22*M13</f>
        <v/>
      </c>
      <c r="N23" s="104">
        <f>N22*N13</f>
        <v/>
      </c>
      <c r="O23" s="104">
        <f>O22*O13</f>
        <v/>
      </c>
      <c r="P23" s="104">
        <f>P22*P13</f>
        <v/>
      </c>
      <c r="Q23" s="104">
        <f>Q22*Q13</f>
        <v/>
      </c>
      <c r="R23" s="104">
        <f>R22*R13</f>
        <v/>
      </c>
      <c r="S23" s="104">
        <f>S22*S13</f>
        <v/>
      </c>
      <c r="T23" s="104">
        <f>T22*T13</f>
        <v/>
      </c>
      <c r="U23" s="104">
        <f>U22*U13</f>
        <v/>
      </c>
      <c r="V23" s="104">
        <f>V22*V13</f>
        <v/>
      </c>
      <c r="W23" s="104">
        <f>W22*W13</f>
        <v/>
      </c>
      <c r="X23" s="104">
        <f>X22*X13</f>
        <v/>
      </c>
      <c r="Y23" s="104">
        <f>Y22*Y13</f>
        <v/>
      </c>
      <c r="Z23" s="104">
        <f>Z22*Z13</f>
        <v/>
      </c>
      <c r="AA23" s="104">
        <f>AA22*AA13</f>
        <v/>
      </c>
      <c r="AB23" s="104">
        <f>AB22*AB13</f>
        <v/>
      </c>
      <c r="AC23" s="104">
        <f>AC22*AC13</f>
        <v/>
      </c>
      <c r="AD23" s="104">
        <f>AD22*AD13</f>
        <v/>
      </c>
      <c r="AE23" s="104">
        <f>AE22*AE13</f>
        <v/>
      </c>
      <c r="AF23" s="104">
        <f>AF22*AF13</f>
        <v/>
      </c>
      <c r="AG23" s="104">
        <f>AG22*AG13</f>
        <v/>
      </c>
      <c r="AH23" s="104">
        <f>AH22*AH13</f>
        <v/>
      </c>
      <c r="AI23" s="104">
        <f>AI22*AI13</f>
        <v/>
      </c>
      <c r="AJ23" s="104">
        <f>AJ22*AJ13</f>
        <v/>
      </c>
      <c r="AK23" s="104">
        <f>AK22*AK13</f>
        <v/>
      </c>
      <c r="AL23" s="104">
        <f>AL22*AL13</f>
        <v/>
      </c>
      <c r="AM23" s="104">
        <f>AM22*AM13</f>
        <v/>
      </c>
      <c r="AN23" s="104">
        <f>AN22*AN13</f>
        <v/>
      </c>
      <c r="AO23" s="104">
        <f>AO22*AO13</f>
        <v/>
      </c>
      <c r="AP23" s="104">
        <f>AP22*AP13</f>
        <v/>
      </c>
      <c r="AQ23" s="104">
        <f>AQ22*AQ13</f>
        <v/>
      </c>
      <c r="AR23" s="104">
        <f>AR22*AR13</f>
        <v/>
      </c>
      <c r="AS23" s="104">
        <f>AS22*AS13</f>
        <v/>
      </c>
      <c r="AT23" s="104">
        <f>AT22*AT13</f>
        <v/>
      </c>
      <c r="AU23" s="104">
        <f>AU22*AU13</f>
        <v/>
      </c>
      <c r="AV23" s="104">
        <f>AV22*AV13</f>
        <v/>
      </c>
      <c r="AW23" s="104">
        <f>AW22*AW13</f>
        <v/>
      </c>
      <c r="AX23" s="104">
        <f>AX22*AX13</f>
        <v/>
      </c>
      <c r="AY23" s="104">
        <f>AY22*AY13</f>
        <v/>
      </c>
      <c r="AZ23" s="104">
        <f>AZ22*AZ13</f>
        <v/>
      </c>
      <c r="BA23" s="104">
        <f>BA22*BA13</f>
        <v/>
      </c>
      <c r="BB23" s="104">
        <f>BB22*BB13</f>
        <v/>
      </c>
      <c r="BC23" s="104">
        <f>BC22*BC13</f>
        <v/>
      </c>
      <c r="BD23" s="104">
        <f>BD22*BD13</f>
        <v/>
      </c>
      <c r="BE23" s="104">
        <f>BE22*BE13</f>
        <v/>
      </c>
      <c r="BF23" s="104">
        <f>BF22*BF13</f>
        <v/>
      </c>
      <c r="BG23" s="104">
        <f>BG22*BG13</f>
        <v/>
      </c>
      <c r="BH23" s="104">
        <f>BH22*BH13</f>
        <v/>
      </c>
      <c r="BI23" s="104">
        <f>BI22*BI13</f>
        <v/>
      </c>
      <c r="BJ23" s="104">
        <f>BJ22*BJ13</f>
        <v/>
      </c>
      <c r="BK23" s="104">
        <f>BK22*BK13</f>
        <v/>
      </c>
      <c r="BL23" s="104">
        <f>BL22*BL13</f>
        <v/>
      </c>
      <c r="BM23" s="104">
        <f>BM22*BM13</f>
        <v/>
      </c>
      <c r="BN23" s="104">
        <f>BN22*BN13</f>
        <v/>
      </c>
      <c r="BO23" s="104">
        <f>BO22*BO13</f>
        <v/>
      </c>
      <c r="BP23" s="104">
        <f>BP22*BP13</f>
        <v/>
      </c>
      <c r="BQ23" s="104">
        <f>BQ22*BQ13</f>
        <v/>
      </c>
      <c r="BR23" s="104">
        <f>BR22*BR13</f>
        <v/>
      </c>
      <c r="BS23" s="104">
        <f>BS22*BS13</f>
        <v/>
      </c>
      <c r="BT23" s="104">
        <f>BT22*BT13</f>
        <v/>
      </c>
      <c r="BU23" s="104">
        <f>BU22*BU13</f>
        <v/>
      </c>
      <c r="BV23" s="104">
        <f>BV22*BV13</f>
        <v/>
      </c>
      <c r="BW23" s="104">
        <f>BW22*BW13</f>
        <v/>
      </c>
      <c r="BX23" s="104">
        <f>BX22*BX13</f>
        <v/>
      </c>
      <c r="BY23" s="104">
        <f>BY22*BY13</f>
        <v/>
      </c>
      <c r="BZ23" s="104">
        <f>BZ22*BZ13</f>
        <v/>
      </c>
      <c r="CA23" s="104">
        <f>CA22*CA13</f>
        <v/>
      </c>
      <c r="CB23" s="104">
        <f>CB22*CB13</f>
        <v/>
      </c>
      <c r="CC23" s="104">
        <f>CC22*CC13</f>
        <v/>
      </c>
      <c r="CD23" s="104">
        <f>CD22*CD13</f>
        <v/>
      </c>
      <c r="CE23" s="104">
        <f>CE22*CE13</f>
        <v/>
      </c>
      <c r="CF23" s="104">
        <f>CF22*CF13</f>
        <v/>
      </c>
      <c r="CG23" s="104">
        <f>CG22*CG13</f>
        <v/>
      </c>
      <c r="CH23" s="104">
        <f>CH22*CH13</f>
        <v/>
      </c>
      <c r="CI23" s="104">
        <f>CI22*CI13</f>
        <v/>
      </c>
      <c r="CJ23" s="104">
        <f>CJ22*CJ13</f>
        <v/>
      </c>
      <c r="CK23" s="104">
        <f>CK22*CK13</f>
        <v/>
      </c>
      <c r="CL23" s="104">
        <f>CL22*CL13</f>
        <v/>
      </c>
      <c r="CM23" s="104">
        <f>CM22*CM13</f>
        <v/>
      </c>
      <c r="CN23" s="104">
        <f>CN22*CN13</f>
        <v/>
      </c>
      <c r="CO23" s="104">
        <f>CO22*CO13</f>
        <v/>
      </c>
      <c r="CP23" s="46" t="n"/>
      <c r="CQ23" s="46" t="n"/>
      <c r="CR23" s="46" t="n"/>
      <c r="CS23" s="46" t="n"/>
      <c r="CT23" s="46" t="n"/>
      <c r="CU23" s="46" t="n"/>
      <c r="CV23" s="46" t="n"/>
      <c r="CW23" s="46" t="n"/>
      <c r="CX23" s="46" t="n"/>
      <c r="CY23" s="46" t="n"/>
      <c r="CZ23" s="46" t="n"/>
      <c r="DA23" s="46" t="n"/>
    </row>
    <row r="24">
      <c r="A24" s="62" t="n"/>
      <c r="B24" s="62" t="n"/>
      <c r="C24" s="62" t="n"/>
      <c r="D24" s="62" t="n"/>
      <c r="E24" s="62" t="n"/>
      <c r="F24" s="62" t="n"/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  <c r="AZ24" s="62" t="n"/>
      <c r="BA24" s="62" t="n"/>
      <c r="BB24" s="62" t="n"/>
      <c r="BC24" s="62" t="n"/>
      <c r="BD24" s="62" t="n"/>
      <c r="BE24" s="62" t="n"/>
      <c r="BF24" s="62" t="n"/>
      <c r="BG24" s="62" t="n"/>
      <c r="BH24" s="62" t="n"/>
      <c r="BI24" s="62" t="n"/>
      <c r="BJ24" s="62" t="n"/>
      <c r="BK24" s="62" t="n"/>
      <c r="BL24" s="62" t="n"/>
      <c r="BM24" s="62" t="n"/>
      <c r="BN24" s="62" t="n"/>
      <c r="BO24" s="62" t="n"/>
      <c r="BP24" s="62" t="n"/>
      <c r="BQ24" s="62" t="n"/>
      <c r="BR24" s="62" t="n"/>
      <c r="BS24" s="62" t="n"/>
      <c r="BT24" s="62" t="n"/>
      <c r="BU24" s="62" t="n"/>
      <c r="BV24" s="62" t="n"/>
      <c r="BW24" s="62" t="n"/>
      <c r="BX24" s="62" t="n"/>
      <c r="BY24" s="62" t="n"/>
      <c r="BZ24" s="62" t="n"/>
      <c r="CA24" s="62" t="n"/>
      <c r="CB24" s="62" t="n"/>
      <c r="CC24" s="62" t="n"/>
      <c r="CD24" s="62" t="n"/>
      <c r="CE24" s="62" t="n"/>
      <c r="CF24" s="62" t="n"/>
      <c r="CG24" s="62" t="n"/>
      <c r="CH24" s="62" t="n"/>
      <c r="CI24" s="62" t="n"/>
      <c r="CJ24" s="62" t="n"/>
      <c r="CK24" s="62" t="n"/>
      <c r="CL24" s="62" t="n"/>
      <c r="CM24" s="62" t="n"/>
      <c r="CN24" s="62" t="n"/>
      <c r="CO24" s="62" t="n"/>
      <c r="CP24" s="46" t="n"/>
      <c r="CQ24" s="46" t="n"/>
      <c r="CR24" s="46" t="n"/>
      <c r="CS24" s="46" t="n"/>
      <c r="CT24" s="46" t="n"/>
      <c r="CU24" s="46" t="n"/>
      <c r="CV24" s="46" t="n"/>
      <c r="CW24" s="46" t="n"/>
      <c r="CX24" s="46" t="n"/>
      <c r="CY24" s="46" t="n"/>
      <c r="CZ24" s="46" t="n"/>
      <c r="DA24" s="46" t="n"/>
    </row>
    <row r="25" ht="18" customHeight="1">
      <c r="A25" s="62" t="n"/>
      <c r="B25" s="51" t="inlineStr">
        <is>
          <t>Performance (rebased to 100)</t>
        </is>
      </c>
      <c r="C25" s="62" t="n"/>
      <c r="D25" s="62" t="n"/>
      <c r="E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  <c r="AZ25" s="62" t="n"/>
      <c r="BA25" s="62" t="n"/>
      <c r="BB25" s="62" t="n"/>
      <c r="BC25" s="62" t="n"/>
      <c r="BD25" s="62" t="n"/>
      <c r="BE25" s="62" t="n"/>
      <c r="BF25" s="62" t="n"/>
      <c r="BG25" s="62" t="n"/>
      <c r="BH25" s="62" t="n"/>
      <c r="BI25" s="62" t="n"/>
      <c r="BJ25" s="62" t="n"/>
      <c r="BK25" s="62" t="n"/>
      <c r="BL25" s="62" t="n"/>
      <c r="BM25" s="62" t="n"/>
      <c r="BN25" s="62" t="n"/>
      <c r="BO25" s="62" t="n"/>
      <c r="BP25" s="62" t="n"/>
      <c r="BQ25" s="62" t="n"/>
      <c r="BR25" s="62" t="n"/>
      <c r="BS25" s="62" t="n"/>
      <c r="BT25" s="62" t="n"/>
      <c r="BU25" s="62" t="n"/>
      <c r="BV25" s="62" t="n"/>
      <c r="BW25" s="62" t="n"/>
      <c r="BX25" s="62" t="n"/>
      <c r="BY25" s="62" t="n"/>
      <c r="BZ25" s="62" t="n"/>
      <c r="CA25" s="62" t="n"/>
      <c r="CB25" s="62" t="n"/>
      <c r="CC25" s="62" t="n"/>
      <c r="CD25" s="62" t="n"/>
      <c r="CE25" s="62" t="n"/>
      <c r="CF25" s="62" t="n"/>
      <c r="CG25" s="62" t="n"/>
      <c r="CH25" s="62" t="n"/>
      <c r="CI25" s="62" t="n"/>
      <c r="CJ25" s="62" t="n"/>
      <c r="CK25" s="62" t="n"/>
      <c r="CL25" s="62" t="n"/>
      <c r="CM25" s="62" t="n"/>
      <c r="CN25" s="62" t="n"/>
      <c r="CO25" s="62" t="n"/>
      <c r="CP25" s="46" t="n"/>
      <c r="CQ25" s="46" t="n"/>
      <c r="CR25" s="46" t="n"/>
      <c r="CS25" s="46" t="n"/>
      <c r="CT25" s="46" t="n"/>
      <c r="CU25" s="46" t="n"/>
      <c r="CV25" s="46" t="n"/>
      <c r="CW25" s="46" t="n"/>
      <c r="CX25" s="46" t="n"/>
      <c r="CY25" s="46" t="n"/>
      <c r="CZ25" s="46" t="n"/>
      <c r="DA25" s="46" t="n"/>
    </row>
    <row r="26" ht="18" customHeight="1">
      <c r="A26" s="62" t="n"/>
      <c r="B26" s="56" t="inlineStr">
        <is>
          <t>Day</t>
        </is>
      </c>
      <c r="C26" s="56" t="n">
        <v>0</v>
      </c>
      <c r="D26" s="56" t="n">
        <v>1</v>
      </c>
      <c r="E26" s="56" t="n">
        <v>2</v>
      </c>
      <c r="F26" s="56" t="n">
        <v>3</v>
      </c>
      <c r="G26" s="56" t="n">
        <v>4</v>
      </c>
      <c r="H26" s="56" t="n">
        <v>5</v>
      </c>
      <c r="I26" s="56" t="n">
        <v>6</v>
      </c>
      <c r="J26" s="56" t="n">
        <v>7</v>
      </c>
      <c r="K26" s="56" t="n">
        <v>8</v>
      </c>
      <c r="L26" s="56" t="n">
        <v>9</v>
      </c>
      <c r="M26" s="56" t="n">
        <v>10</v>
      </c>
      <c r="N26" s="56" t="n">
        <v>11</v>
      </c>
      <c r="O26" s="56" t="n">
        <v>12</v>
      </c>
      <c r="P26" s="56" t="n">
        <v>13</v>
      </c>
      <c r="Q26" s="56" t="n">
        <v>14</v>
      </c>
      <c r="R26" s="56" t="n">
        <v>15</v>
      </c>
      <c r="S26" s="56" t="n">
        <v>16</v>
      </c>
      <c r="T26" s="56" t="n">
        <v>17</v>
      </c>
      <c r="U26" s="56" t="n">
        <v>18</v>
      </c>
      <c r="V26" s="56" t="n">
        <v>19</v>
      </c>
      <c r="W26" s="56" t="n">
        <v>20</v>
      </c>
      <c r="X26" s="56" t="n">
        <v>21</v>
      </c>
      <c r="Y26" s="56" t="n">
        <v>22</v>
      </c>
      <c r="Z26" s="56" t="n">
        <v>23</v>
      </c>
      <c r="AA26" s="56" t="n">
        <v>24</v>
      </c>
      <c r="AB26" s="56" t="n">
        <v>25</v>
      </c>
      <c r="AC26" s="56" t="n">
        <v>26</v>
      </c>
      <c r="AD26" s="56" t="n">
        <v>27</v>
      </c>
      <c r="AE26" s="56" t="n">
        <v>28</v>
      </c>
      <c r="AF26" s="56" t="n">
        <v>29</v>
      </c>
      <c r="AG26" s="56" t="n">
        <v>30</v>
      </c>
      <c r="AH26" s="56" t="n">
        <v>31</v>
      </c>
      <c r="AI26" s="56" t="n">
        <v>32</v>
      </c>
      <c r="AJ26" s="56" t="n">
        <v>33</v>
      </c>
      <c r="AK26" s="56" t="n">
        <v>34</v>
      </c>
      <c r="AL26" s="56" t="n">
        <v>35</v>
      </c>
      <c r="AM26" s="56" t="n">
        <v>36</v>
      </c>
      <c r="AN26" s="56" t="n">
        <v>37</v>
      </c>
      <c r="AO26" s="56" t="n">
        <v>38</v>
      </c>
      <c r="AP26" s="56" t="n">
        <v>39</v>
      </c>
      <c r="AQ26" s="56" t="n">
        <v>40</v>
      </c>
      <c r="AR26" s="56" t="n">
        <v>41</v>
      </c>
      <c r="AS26" s="56" t="n">
        <v>42</v>
      </c>
      <c r="AT26" s="56" t="n">
        <v>43</v>
      </c>
      <c r="AU26" s="56" t="n">
        <v>44</v>
      </c>
      <c r="AV26" s="56" t="n">
        <v>45</v>
      </c>
      <c r="AW26" s="56" t="n">
        <v>46</v>
      </c>
      <c r="AX26" s="56" t="n">
        <v>47</v>
      </c>
      <c r="AY26" s="56" t="n">
        <v>48</v>
      </c>
      <c r="AZ26" s="56" t="n">
        <v>49</v>
      </c>
      <c r="BA26" s="56" t="n">
        <v>50</v>
      </c>
      <c r="BB26" s="56" t="n">
        <v>51</v>
      </c>
      <c r="BC26" s="56" t="n">
        <v>52</v>
      </c>
      <c r="BD26" s="56" t="n">
        <v>53</v>
      </c>
      <c r="BE26" s="56" t="n">
        <v>54</v>
      </c>
      <c r="BF26" s="56" t="n">
        <v>55</v>
      </c>
      <c r="BG26" s="56" t="n">
        <v>56</v>
      </c>
      <c r="BH26" s="56" t="n">
        <v>57</v>
      </c>
      <c r="BI26" s="56" t="n">
        <v>58</v>
      </c>
      <c r="BJ26" s="56" t="n">
        <v>59</v>
      </c>
      <c r="BK26" s="56" t="n">
        <v>60</v>
      </c>
      <c r="BL26" s="56" t="n">
        <v>61</v>
      </c>
      <c r="BM26" s="56" t="n">
        <v>62</v>
      </c>
      <c r="BN26" s="56" t="n">
        <v>63</v>
      </c>
      <c r="BO26" s="56" t="n">
        <v>64</v>
      </c>
      <c r="BP26" s="56" t="n">
        <v>65</v>
      </c>
      <c r="BQ26" s="56" t="n">
        <v>66</v>
      </c>
      <c r="BR26" s="56" t="n">
        <v>67</v>
      </c>
      <c r="BS26" s="56" t="n">
        <v>68</v>
      </c>
      <c r="BT26" s="56" t="n">
        <v>69</v>
      </c>
      <c r="BU26" s="56" t="n">
        <v>70</v>
      </c>
      <c r="BV26" s="56" t="n">
        <v>71</v>
      </c>
      <c r="BW26" s="56" t="n">
        <v>72</v>
      </c>
      <c r="BX26" s="56" t="n">
        <v>73</v>
      </c>
      <c r="BY26" s="56" t="n">
        <v>74</v>
      </c>
      <c r="BZ26" s="56" t="n">
        <v>75</v>
      </c>
      <c r="CA26" s="56" t="n">
        <v>76</v>
      </c>
      <c r="CB26" s="56" t="n">
        <v>77</v>
      </c>
      <c r="CC26" s="56" t="n">
        <v>78</v>
      </c>
      <c r="CD26" s="56" t="n">
        <v>79</v>
      </c>
      <c r="CE26" s="56" t="n">
        <v>80</v>
      </c>
      <c r="CF26" s="56" t="n">
        <v>81</v>
      </c>
      <c r="CG26" s="56" t="n">
        <v>82</v>
      </c>
      <c r="CH26" s="56" t="n">
        <v>83</v>
      </c>
      <c r="CI26" s="56" t="n">
        <v>84</v>
      </c>
      <c r="CJ26" s="56" t="n">
        <v>85</v>
      </c>
      <c r="CK26" s="56" t="n">
        <v>86</v>
      </c>
      <c r="CL26" s="56" t="n">
        <v>87</v>
      </c>
      <c r="CM26" s="56" t="n">
        <v>88</v>
      </c>
      <c r="CN26" s="56" t="n">
        <v>89</v>
      </c>
      <c r="CO26" s="56" t="n">
        <v>90</v>
      </c>
      <c r="CP26" s="46" t="n"/>
      <c r="CQ26" s="46" t="n"/>
      <c r="CR26" s="46" t="n"/>
      <c r="CS26" s="46" t="n"/>
      <c r="CT26" s="46" t="n"/>
      <c r="CU26" s="46" t="n"/>
      <c r="CV26" s="46" t="n"/>
      <c r="CW26" s="46" t="n"/>
      <c r="CX26" s="46" t="n"/>
      <c r="CY26" s="46" t="n"/>
      <c r="CZ26" s="46" t="n"/>
      <c r="DA26" s="46" t="n"/>
    </row>
    <row r="27" ht="18" customHeight="1">
      <c r="A27" s="62" t="n"/>
      <c r="B27" s="52" t="inlineStr">
        <is>
          <t>Value of Investment (GBP)</t>
        </is>
      </c>
      <c r="C27" s="106">
        <f>C22/$C$22*100</f>
        <v/>
      </c>
      <c r="D27" s="106">
        <f>D22/$C$22*100</f>
        <v/>
      </c>
      <c r="E27" s="106">
        <f>E22/$C$22*100</f>
        <v/>
      </c>
      <c r="F27" s="106">
        <f>F22/$C$22*100</f>
        <v/>
      </c>
      <c r="G27" s="106">
        <f>G22/$C$22*100</f>
        <v/>
      </c>
      <c r="H27" s="106">
        <f>H22/$C$22*100</f>
        <v/>
      </c>
      <c r="I27" s="106">
        <f>I22/$C$22*100</f>
        <v/>
      </c>
      <c r="J27" s="106">
        <f>J22/$C$22*100</f>
        <v/>
      </c>
      <c r="K27" s="106">
        <f>K22/$C$22*100</f>
        <v/>
      </c>
      <c r="L27" s="106">
        <f>L22/$C$22*100</f>
        <v/>
      </c>
      <c r="M27" s="106">
        <f>M22/$C$22*100</f>
        <v/>
      </c>
      <c r="N27" s="106">
        <f>N22/$C$22*100</f>
        <v/>
      </c>
      <c r="O27" s="106">
        <f>O22/$C$22*100</f>
        <v/>
      </c>
      <c r="P27" s="106">
        <f>P22/$C$22*100</f>
        <v/>
      </c>
      <c r="Q27" s="106">
        <f>Q22/$C$22*100</f>
        <v/>
      </c>
      <c r="R27" s="106">
        <f>R22/$C$22*100</f>
        <v/>
      </c>
      <c r="S27" s="106">
        <f>S22/$C$22*100</f>
        <v/>
      </c>
      <c r="T27" s="106">
        <f>T22/$C$22*100</f>
        <v/>
      </c>
      <c r="U27" s="106">
        <f>U22/$C$22*100</f>
        <v/>
      </c>
      <c r="V27" s="106">
        <f>V22/$C$22*100</f>
        <v/>
      </c>
      <c r="W27" s="106">
        <f>W22/$C$22*100</f>
        <v/>
      </c>
      <c r="X27" s="106">
        <f>X22/$C$22*100</f>
        <v/>
      </c>
      <c r="Y27" s="106">
        <f>Y22/$C$22*100</f>
        <v/>
      </c>
      <c r="Z27" s="106">
        <f>Z22/$C$22*100</f>
        <v/>
      </c>
      <c r="AA27" s="106">
        <f>AA22/$C$22*100</f>
        <v/>
      </c>
      <c r="AB27" s="106">
        <f>AB22/$C$22*100</f>
        <v/>
      </c>
      <c r="AC27" s="106">
        <f>AC22/$C$22*100</f>
        <v/>
      </c>
      <c r="AD27" s="106">
        <f>AD22/$C$22*100</f>
        <v/>
      </c>
      <c r="AE27" s="106">
        <f>AE22/$C$22*100</f>
        <v/>
      </c>
      <c r="AF27" s="106">
        <f>AF22/$C$22*100</f>
        <v/>
      </c>
      <c r="AG27" s="106">
        <f>AG22/$C$22*100</f>
        <v/>
      </c>
      <c r="AH27" s="106">
        <f>AH22/$C$22*100</f>
        <v/>
      </c>
      <c r="AI27" s="106">
        <f>AI22/$C$22*100</f>
        <v/>
      </c>
      <c r="AJ27" s="106">
        <f>AJ22/$C$22*100</f>
        <v/>
      </c>
      <c r="AK27" s="106">
        <f>AK22/$C$22*100</f>
        <v/>
      </c>
      <c r="AL27" s="106">
        <f>AL22/$C$22*100</f>
        <v/>
      </c>
      <c r="AM27" s="106">
        <f>AM22/$C$22*100</f>
        <v/>
      </c>
      <c r="AN27" s="106">
        <f>AN22/$C$22*100</f>
        <v/>
      </c>
      <c r="AO27" s="106">
        <f>AO22/$C$22*100</f>
        <v/>
      </c>
      <c r="AP27" s="106">
        <f>AP22/$C$22*100</f>
        <v/>
      </c>
      <c r="AQ27" s="106">
        <f>AQ22/$C$22*100</f>
        <v/>
      </c>
      <c r="AR27" s="106">
        <f>AR22/$C$22*100</f>
        <v/>
      </c>
      <c r="AS27" s="106">
        <f>AS22/$C$22*100</f>
        <v/>
      </c>
      <c r="AT27" s="106">
        <f>AT22/$C$22*100</f>
        <v/>
      </c>
      <c r="AU27" s="106">
        <f>AU22/$C$22*100</f>
        <v/>
      </c>
      <c r="AV27" s="106">
        <f>AV22/$C$22*100</f>
        <v/>
      </c>
      <c r="AW27" s="106">
        <f>AW22/$C$22*100</f>
        <v/>
      </c>
      <c r="AX27" s="106">
        <f>AX22/$C$22*100</f>
        <v/>
      </c>
      <c r="AY27" s="106">
        <f>AY22/$C$22*100</f>
        <v/>
      </c>
      <c r="AZ27" s="106">
        <f>AZ22/$C$22*100</f>
        <v/>
      </c>
      <c r="BA27" s="106">
        <f>BA22/$C$22*100</f>
        <v/>
      </c>
      <c r="BB27" s="106">
        <f>BB22/$C$22*100</f>
        <v/>
      </c>
      <c r="BC27" s="106">
        <f>BC22/$C$22*100</f>
        <v/>
      </c>
      <c r="BD27" s="106">
        <f>BD22/$C$22*100</f>
        <v/>
      </c>
      <c r="BE27" s="106">
        <f>BE22/$C$22*100</f>
        <v/>
      </c>
      <c r="BF27" s="106">
        <f>BF22/$C$22*100</f>
        <v/>
      </c>
      <c r="BG27" s="106">
        <f>BG22/$C$22*100</f>
        <v/>
      </c>
      <c r="BH27" s="106">
        <f>BH22/$C$22*100</f>
        <v/>
      </c>
      <c r="BI27" s="106">
        <f>BI22/$C$22*100</f>
        <v/>
      </c>
      <c r="BJ27" s="106">
        <f>BJ22/$C$22*100</f>
        <v/>
      </c>
      <c r="BK27" s="106">
        <f>BK22/$C$22*100</f>
        <v/>
      </c>
      <c r="BL27" s="106">
        <f>BL22/$C$22*100</f>
        <v/>
      </c>
      <c r="BM27" s="106">
        <f>BM22/$C$22*100</f>
        <v/>
      </c>
      <c r="BN27" s="106">
        <f>BN22/$C$22*100</f>
        <v/>
      </c>
      <c r="BO27" s="106">
        <f>BO22/$C$22*100</f>
        <v/>
      </c>
      <c r="BP27" s="106">
        <f>BP22/$C$22*100</f>
        <v/>
      </c>
      <c r="BQ27" s="106">
        <f>BQ22/$C$22*100</f>
        <v/>
      </c>
      <c r="BR27" s="106">
        <f>BR22/$C$22*100</f>
        <v/>
      </c>
      <c r="BS27" s="106">
        <f>BS22/$C$22*100</f>
        <v/>
      </c>
      <c r="BT27" s="106">
        <f>BT22/$C$22*100</f>
        <v/>
      </c>
      <c r="BU27" s="106">
        <f>BU22/$C$22*100</f>
        <v/>
      </c>
      <c r="BV27" s="106">
        <f>BV22/$C$22*100</f>
        <v/>
      </c>
      <c r="BW27" s="106">
        <f>BW22/$C$22*100</f>
        <v/>
      </c>
      <c r="BX27" s="106">
        <f>BX22/$C$22*100</f>
        <v/>
      </c>
      <c r="BY27" s="106">
        <f>BY22/$C$22*100</f>
        <v/>
      </c>
      <c r="BZ27" s="106">
        <f>BZ22/$C$22*100</f>
        <v/>
      </c>
      <c r="CA27" s="106">
        <f>CA22/$C$22*100</f>
        <v/>
      </c>
      <c r="CB27" s="106">
        <f>CB22/$C$22*100</f>
        <v/>
      </c>
      <c r="CC27" s="106">
        <f>CC22/$C$22*100</f>
        <v/>
      </c>
      <c r="CD27" s="106">
        <f>CD22/$C$22*100</f>
        <v/>
      </c>
      <c r="CE27" s="106">
        <f>CE22/$C$22*100</f>
        <v/>
      </c>
      <c r="CF27" s="106">
        <f>CF22/$C$22*100</f>
        <v/>
      </c>
      <c r="CG27" s="106">
        <f>CG22/$C$22*100</f>
        <v/>
      </c>
      <c r="CH27" s="106">
        <f>CH22/$C$22*100</f>
        <v/>
      </c>
      <c r="CI27" s="106">
        <f>CI22/$C$22*100</f>
        <v/>
      </c>
      <c r="CJ27" s="106">
        <f>CJ22/$C$22*100</f>
        <v/>
      </c>
      <c r="CK27" s="106">
        <f>CK22/$C$22*100</f>
        <v/>
      </c>
      <c r="CL27" s="106">
        <f>CL22/$C$22*100</f>
        <v/>
      </c>
      <c r="CM27" s="106">
        <f>CM22/$C$22*100</f>
        <v/>
      </c>
      <c r="CN27" s="106">
        <f>CN22/$C$22*100</f>
        <v/>
      </c>
      <c r="CO27" s="106">
        <f>CO22/$C$22*100</f>
        <v/>
      </c>
      <c r="CP27" s="46" t="n"/>
      <c r="CQ27" s="46" t="n"/>
      <c r="CR27" s="46" t="n"/>
      <c r="CS27" s="46" t="n"/>
      <c r="CT27" s="46" t="n"/>
      <c r="CU27" s="46" t="n"/>
      <c r="CV27" s="46" t="n"/>
      <c r="CW27" s="46" t="n"/>
      <c r="CX27" s="46" t="n"/>
      <c r="CY27" s="46" t="n"/>
      <c r="CZ27" s="46" t="n"/>
      <c r="DA27" s="46" t="n"/>
    </row>
    <row r="28" ht="18" customHeight="1">
      <c r="A28" s="62" t="n"/>
      <c r="B28" s="52" t="inlineStr">
        <is>
          <t>Value of Investment (USD)</t>
        </is>
      </c>
      <c r="C28" s="106">
        <f>C23/$C$23*100</f>
        <v/>
      </c>
      <c r="D28" s="106">
        <f>D23/$C$23*100</f>
        <v/>
      </c>
      <c r="E28" s="106">
        <f>E23/$C$23*100</f>
        <v/>
      </c>
      <c r="F28" s="106">
        <f>F23/$C$23*100</f>
        <v/>
      </c>
      <c r="G28" s="106">
        <f>G23/$C$23*100</f>
        <v/>
      </c>
      <c r="H28" s="106">
        <f>H23/$C$23*100</f>
        <v/>
      </c>
      <c r="I28" s="106">
        <f>I23/$C$23*100</f>
        <v/>
      </c>
      <c r="J28" s="106">
        <f>J23/$C$23*100</f>
        <v/>
      </c>
      <c r="K28" s="106">
        <f>K23/$C$23*100</f>
        <v/>
      </c>
      <c r="L28" s="106">
        <f>L23/$C$23*100</f>
        <v/>
      </c>
      <c r="M28" s="106">
        <f>M23/$C$23*100</f>
        <v/>
      </c>
      <c r="N28" s="106">
        <f>N23/$C$23*100</f>
        <v/>
      </c>
      <c r="O28" s="106">
        <f>O23/$C$23*100</f>
        <v/>
      </c>
      <c r="P28" s="106">
        <f>P23/$C$23*100</f>
        <v/>
      </c>
      <c r="Q28" s="106">
        <f>Q23/$C$23*100</f>
        <v/>
      </c>
      <c r="R28" s="106">
        <f>R23/$C$23*100</f>
        <v/>
      </c>
      <c r="S28" s="106">
        <f>S23/$C$23*100</f>
        <v/>
      </c>
      <c r="T28" s="106">
        <f>T23/$C$23*100</f>
        <v/>
      </c>
      <c r="U28" s="106">
        <f>U23/$C$23*100</f>
        <v/>
      </c>
      <c r="V28" s="106">
        <f>V23/$C$23*100</f>
        <v/>
      </c>
      <c r="W28" s="106">
        <f>W23/$C$23*100</f>
        <v/>
      </c>
      <c r="X28" s="106">
        <f>X23/$C$23*100</f>
        <v/>
      </c>
      <c r="Y28" s="106">
        <f>Y23/$C$23*100</f>
        <v/>
      </c>
      <c r="Z28" s="106">
        <f>Z23/$C$23*100</f>
        <v/>
      </c>
      <c r="AA28" s="106">
        <f>AA23/$C$23*100</f>
        <v/>
      </c>
      <c r="AB28" s="106">
        <f>AB23/$C$23*100</f>
        <v/>
      </c>
      <c r="AC28" s="106">
        <f>AC23/$C$23*100</f>
        <v/>
      </c>
      <c r="AD28" s="106">
        <f>AD23/$C$23*100</f>
        <v/>
      </c>
      <c r="AE28" s="106">
        <f>AE23/$C$23*100</f>
        <v/>
      </c>
      <c r="AF28" s="106">
        <f>AF23/$C$23*100</f>
        <v/>
      </c>
      <c r="AG28" s="106">
        <f>AG23/$C$23*100</f>
        <v/>
      </c>
      <c r="AH28" s="106">
        <f>AH23/$C$23*100</f>
        <v/>
      </c>
      <c r="AI28" s="106">
        <f>AI23/$C$23*100</f>
        <v/>
      </c>
      <c r="AJ28" s="106">
        <f>AJ23/$C$23*100</f>
        <v/>
      </c>
      <c r="AK28" s="106">
        <f>AK23/$C$23*100</f>
        <v/>
      </c>
      <c r="AL28" s="106">
        <f>AL23/$C$23*100</f>
        <v/>
      </c>
      <c r="AM28" s="106">
        <f>AM23/$C$23*100</f>
        <v/>
      </c>
      <c r="AN28" s="106">
        <f>AN23/$C$23*100</f>
        <v/>
      </c>
      <c r="AO28" s="106">
        <f>AO23/$C$23*100</f>
        <v/>
      </c>
      <c r="AP28" s="106">
        <f>AP23/$C$23*100</f>
        <v/>
      </c>
      <c r="AQ28" s="106">
        <f>AQ23/$C$23*100</f>
        <v/>
      </c>
      <c r="AR28" s="106">
        <f>AR23/$C$23*100</f>
        <v/>
      </c>
      <c r="AS28" s="106">
        <f>AS23/$C$23*100</f>
        <v/>
      </c>
      <c r="AT28" s="106">
        <f>AT23/$C$23*100</f>
        <v/>
      </c>
      <c r="AU28" s="106">
        <f>AU23/$C$23*100</f>
        <v/>
      </c>
      <c r="AV28" s="106">
        <f>AV23/$C$23*100</f>
        <v/>
      </c>
      <c r="AW28" s="106">
        <f>AW23/$C$23*100</f>
        <v/>
      </c>
      <c r="AX28" s="106">
        <f>AX23/$C$23*100</f>
        <v/>
      </c>
      <c r="AY28" s="106">
        <f>AY23/$C$23*100</f>
        <v/>
      </c>
      <c r="AZ28" s="106">
        <f>AZ23/$C$23*100</f>
        <v/>
      </c>
      <c r="BA28" s="106">
        <f>BA23/$C$23*100</f>
        <v/>
      </c>
      <c r="BB28" s="106">
        <f>BB23/$C$23*100</f>
        <v/>
      </c>
      <c r="BC28" s="106">
        <f>BC23/$C$23*100</f>
        <v/>
      </c>
      <c r="BD28" s="106">
        <f>BD23/$C$23*100</f>
        <v/>
      </c>
      <c r="BE28" s="106">
        <f>BE23/$C$23*100</f>
        <v/>
      </c>
      <c r="BF28" s="106">
        <f>BF23/$C$23*100</f>
        <v/>
      </c>
      <c r="BG28" s="106">
        <f>BG23/$C$23*100</f>
        <v/>
      </c>
      <c r="BH28" s="106">
        <f>BH23/$C$23*100</f>
        <v/>
      </c>
      <c r="BI28" s="106">
        <f>BI23/$C$23*100</f>
        <v/>
      </c>
      <c r="BJ28" s="106">
        <f>BJ23/$C$23*100</f>
        <v/>
      </c>
      <c r="BK28" s="106">
        <f>BK23/$C$23*100</f>
        <v/>
      </c>
      <c r="BL28" s="106">
        <f>BL23/$C$23*100</f>
        <v/>
      </c>
      <c r="BM28" s="106">
        <f>BM23/$C$23*100</f>
        <v/>
      </c>
      <c r="BN28" s="106">
        <f>BN23/$C$23*100</f>
        <v/>
      </c>
      <c r="BO28" s="106">
        <f>BO23/$C$23*100</f>
        <v/>
      </c>
      <c r="BP28" s="106">
        <f>BP23/$C$23*100</f>
        <v/>
      </c>
      <c r="BQ28" s="106">
        <f>BQ23/$C$23*100</f>
        <v/>
      </c>
      <c r="BR28" s="106">
        <f>BR23/$C$23*100</f>
        <v/>
      </c>
      <c r="BS28" s="106">
        <f>BS23/$C$23*100</f>
        <v/>
      </c>
      <c r="BT28" s="106">
        <f>BT23/$C$23*100</f>
        <v/>
      </c>
      <c r="BU28" s="106">
        <f>BU23/$C$23*100</f>
        <v/>
      </c>
      <c r="BV28" s="106">
        <f>BV23/$C$23*100</f>
        <v/>
      </c>
      <c r="BW28" s="106">
        <f>BW23/$C$23*100</f>
        <v/>
      </c>
      <c r="BX28" s="106">
        <f>BX23/$C$23*100</f>
        <v/>
      </c>
      <c r="BY28" s="106">
        <f>BY23/$C$23*100</f>
        <v/>
      </c>
      <c r="BZ28" s="106">
        <f>BZ23/$C$23*100</f>
        <v/>
      </c>
      <c r="CA28" s="106">
        <f>CA23/$C$23*100</f>
        <v/>
      </c>
      <c r="CB28" s="106">
        <f>CB23/$C$23*100</f>
        <v/>
      </c>
      <c r="CC28" s="106">
        <f>CC23/$C$23*100</f>
        <v/>
      </c>
      <c r="CD28" s="106">
        <f>CD23/$C$23*100</f>
        <v/>
      </c>
      <c r="CE28" s="106">
        <f>CE23/$C$23*100</f>
        <v/>
      </c>
      <c r="CF28" s="106">
        <f>CF23/$C$23*100</f>
        <v/>
      </c>
      <c r="CG28" s="106">
        <f>CG23/$C$23*100</f>
        <v/>
      </c>
      <c r="CH28" s="106">
        <f>CH23/$C$23*100</f>
        <v/>
      </c>
      <c r="CI28" s="106">
        <f>CI23/$C$23*100</f>
        <v/>
      </c>
      <c r="CJ28" s="106">
        <f>CJ23/$C$23*100</f>
        <v/>
      </c>
      <c r="CK28" s="106">
        <f>CK23/$C$23*100</f>
        <v/>
      </c>
      <c r="CL28" s="106">
        <f>CL23/$C$23*100</f>
        <v/>
      </c>
      <c r="CM28" s="106">
        <f>CM23/$C$23*100</f>
        <v/>
      </c>
      <c r="CN28" s="106">
        <f>CN23/$C$23*100</f>
        <v/>
      </c>
      <c r="CO28" s="106">
        <f>CO23/$C$23*100</f>
        <v/>
      </c>
      <c r="CP28" s="46" t="n"/>
      <c r="CQ28" s="46" t="n"/>
      <c r="CR28" s="46" t="n"/>
      <c r="CS28" s="46" t="n"/>
      <c r="CT28" s="46" t="n"/>
      <c r="CU28" s="46" t="n"/>
      <c r="CV28" s="46" t="n"/>
      <c r="CW28" s="46" t="n"/>
      <c r="CX28" s="46" t="n"/>
      <c r="CY28" s="46" t="n"/>
      <c r="CZ28" s="46" t="n"/>
      <c r="DA28" s="46" t="n"/>
    </row>
    <row r="29">
      <c r="A29" s="46" t="n"/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46" t="n"/>
      <c r="AI29" s="46" t="n"/>
      <c r="AJ29" s="46" t="n"/>
      <c r="AK29" s="46" t="n"/>
      <c r="AL29" s="46" t="n"/>
      <c r="AM29" s="46" t="n"/>
      <c r="AN29" s="46" t="n"/>
      <c r="AO29" s="46" t="n"/>
      <c r="AP29" s="46" t="n"/>
      <c r="AQ29" s="46" t="n"/>
      <c r="AR29" s="46" t="n"/>
      <c r="AS29" s="46" t="n"/>
      <c r="AT29" s="46" t="n"/>
      <c r="AU29" s="46" t="n"/>
      <c r="AV29" s="46" t="n"/>
      <c r="AW29" s="46" t="n"/>
      <c r="AX29" s="46" t="n"/>
      <c r="AY29" s="46" t="n"/>
      <c r="AZ29" s="46" t="n"/>
      <c r="BA29" s="46" t="n"/>
      <c r="BB29" s="46" t="n"/>
      <c r="BC29" s="46" t="n"/>
      <c r="BD29" s="46" t="n"/>
      <c r="BE29" s="46" t="n"/>
      <c r="BF29" s="46" t="n"/>
      <c r="BG29" s="46" t="n"/>
      <c r="BH29" s="46" t="n"/>
      <c r="BI29" s="46" t="n"/>
      <c r="BJ29" s="46" t="n"/>
      <c r="BK29" s="46" t="n"/>
      <c r="BL29" s="46" t="n"/>
      <c r="BM29" s="46" t="n"/>
      <c r="BN29" s="46" t="n"/>
      <c r="BO29" s="46" t="n"/>
      <c r="BP29" s="46" t="n"/>
      <c r="BQ29" s="46" t="n"/>
      <c r="BR29" s="46" t="n"/>
      <c r="BS29" s="46" t="n"/>
      <c r="BT29" s="46" t="n"/>
      <c r="BU29" s="46" t="n"/>
      <c r="BV29" s="46" t="n"/>
      <c r="BW29" s="46" t="n"/>
      <c r="BX29" s="46" t="n"/>
      <c r="BY29" s="46" t="n"/>
      <c r="BZ29" s="46" t="n"/>
      <c r="CA29" s="46" t="n"/>
      <c r="CB29" s="46" t="n"/>
      <c r="CC29" s="46" t="n"/>
      <c r="CD29" s="46" t="n"/>
      <c r="CE29" s="46" t="n"/>
      <c r="CF29" s="46" t="n"/>
      <c r="CG29" s="46" t="n"/>
      <c r="CH29" s="46" t="n"/>
      <c r="CI29" s="46" t="n"/>
      <c r="CJ29" s="46" t="n"/>
      <c r="CK29" s="46" t="n"/>
      <c r="CL29" s="46" t="n"/>
      <c r="CM29" s="46" t="n"/>
      <c r="CN29" s="46" t="n"/>
      <c r="CO29" s="46" t="n"/>
      <c r="CP29" s="46" t="n"/>
      <c r="CQ29" s="46" t="n"/>
      <c r="CR29" s="46" t="n"/>
      <c r="CS29" s="46" t="n"/>
      <c r="CT29" s="46" t="n"/>
      <c r="CU29" s="46" t="n"/>
      <c r="CV29" s="46" t="n"/>
      <c r="CW29" s="46" t="n"/>
      <c r="CX29" s="46" t="n"/>
      <c r="CY29" s="46" t="n"/>
      <c r="CZ29" s="46" t="n"/>
      <c r="DA29" s="46" t="n"/>
    </row>
    <row r="30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46" t="n"/>
      <c r="AI30" s="46" t="n"/>
      <c r="AJ30" s="46" t="n"/>
      <c r="AK30" s="46" t="n"/>
      <c r="AL30" s="46" t="n"/>
      <c r="AM30" s="46" t="n"/>
      <c r="AN30" s="46" t="n"/>
      <c r="AO30" s="46" t="n"/>
      <c r="AP30" s="46" t="n"/>
      <c r="AQ30" s="46" t="n"/>
      <c r="AR30" s="46" t="n"/>
      <c r="AS30" s="46" t="n"/>
      <c r="AT30" s="46" t="n"/>
      <c r="AU30" s="46" t="n"/>
      <c r="AV30" s="46" t="n"/>
      <c r="AW30" s="46" t="n"/>
      <c r="AX30" s="46" t="n"/>
      <c r="AY30" s="46" t="n"/>
      <c r="AZ30" s="46" t="n"/>
      <c r="BA30" s="46" t="n"/>
      <c r="BB30" s="46" t="n"/>
      <c r="BC30" s="46" t="n"/>
      <c r="BD30" s="46" t="n"/>
      <c r="BE30" s="46" t="n"/>
      <c r="BF30" s="46" t="n"/>
      <c r="BG30" s="46" t="n"/>
      <c r="BH30" s="46" t="n"/>
      <c r="BI30" s="46" t="n"/>
      <c r="BJ30" s="46" t="n"/>
      <c r="BK30" s="46" t="n"/>
      <c r="BL30" s="46" t="n"/>
      <c r="BM30" s="46" t="n"/>
      <c r="BN30" s="46" t="n"/>
      <c r="BO30" s="46" t="n"/>
      <c r="BP30" s="46" t="n"/>
      <c r="BQ30" s="46" t="n"/>
      <c r="BR30" s="46" t="n"/>
      <c r="BS30" s="46" t="n"/>
      <c r="BT30" s="46" t="n"/>
      <c r="BU30" s="46" t="n"/>
      <c r="BV30" s="46" t="n"/>
      <c r="BW30" s="46" t="n"/>
      <c r="BX30" s="46" t="n"/>
      <c r="BY30" s="46" t="n"/>
      <c r="BZ30" s="46" t="n"/>
      <c r="CA30" s="46" t="n"/>
      <c r="CB30" s="46" t="n"/>
      <c r="CC30" s="46" t="n"/>
      <c r="CD30" s="46" t="n"/>
      <c r="CE30" s="46" t="n"/>
      <c r="CF30" s="46" t="n"/>
      <c r="CG30" s="46" t="n"/>
      <c r="CH30" s="46" t="n"/>
      <c r="CI30" s="46" t="n"/>
      <c r="CJ30" s="46" t="n"/>
      <c r="CK30" s="46" t="n"/>
      <c r="CL30" s="46" t="n"/>
      <c r="CM30" s="46" t="n"/>
      <c r="CN30" s="46" t="n"/>
      <c r="CO30" s="46" t="n"/>
      <c r="CP30" s="46" t="n"/>
      <c r="CQ30" s="46" t="n"/>
      <c r="CR30" s="46" t="n"/>
      <c r="CS30" s="46" t="n"/>
      <c r="CT30" s="46" t="n"/>
      <c r="CU30" s="46" t="n"/>
      <c r="CV30" s="46" t="n"/>
      <c r="CW30" s="46" t="n"/>
      <c r="CX30" s="46" t="n"/>
      <c r="CY30" s="46" t="n"/>
      <c r="CZ30" s="46" t="n"/>
      <c r="DA30" s="46" t="n"/>
    </row>
    <row r="31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46" t="n"/>
      <c r="AI31" s="46" t="n"/>
      <c r="AJ31" s="46" t="n"/>
      <c r="AK31" s="46" t="n"/>
      <c r="AL31" s="46" t="n"/>
      <c r="AM31" s="46" t="n"/>
      <c r="AN31" s="46" t="n"/>
      <c r="AO31" s="46" t="n"/>
      <c r="AP31" s="46" t="n"/>
      <c r="AQ31" s="46" t="n"/>
      <c r="AR31" s="46" t="n"/>
      <c r="AS31" s="46" t="n"/>
      <c r="AT31" s="46" t="n"/>
      <c r="AU31" s="46" t="n"/>
      <c r="AV31" s="46" t="n"/>
      <c r="AW31" s="46" t="n"/>
      <c r="AX31" s="46" t="n"/>
      <c r="AY31" s="46" t="n"/>
      <c r="AZ31" s="46" t="n"/>
      <c r="BA31" s="46" t="n"/>
      <c r="BB31" s="46" t="n"/>
      <c r="BC31" s="46" t="n"/>
      <c r="BD31" s="46" t="n"/>
      <c r="BE31" s="46" t="n"/>
      <c r="BF31" s="46" t="n"/>
      <c r="BG31" s="46" t="n"/>
      <c r="BH31" s="46" t="n"/>
      <c r="BI31" s="46" t="n"/>
      <c r="BJ31" s="46" t="n"/>
      <c r="BK31" s="46" t="n"/>
      <c r="BL31" s="46" t="n"/>
      <c r="BM31" s="46" t="n"/>
      <c r="BN31" s="46" t="n"/>
      <c r="BO31" s="46" t="n"/>
      <c r="BP31" s="46" t="n"/>
      <c r="BQ31" s="46" t="n"/>
      <c r="BR31" s="46" t="n"/>
      <c r="BS31" s="46" t="n"/>
      <c r="BT31" s="46" t="n"/>
      <c r="BU31" s="46" t="n"/>
      <c r="BV31" s="46" t="n"/>
      <c r="BW31" s="46" t="n"/>
      <c r="BX31" s="46" t="n"/>
      <c r="BY31" s="46" t="n"/>
      <c r="BZ31" s="46" t="n"/>
      <c r="CA31" s="46" t="n"/>
      <c r="CB31" s="46" t="n"/>
      <c r="CC31" s="46" t="n"/>
      <c r="CD31" s="46" t="n"/>
      <c r="CE31" s="46" t="n"/>
      <c r="CF31" s="46" t="n"/>
      <c r="CG31" s="46" t="n"/>
      <c r="CH31" s="46" t="n"/>
      <c r="CI31" s="46" t="n"/>
      <c r="CJ31" s="46" t="n"/>
      <c r="CK31" s="46" t="n"/>
      <c r="CL31" s="46" t="n"/>
      <c r="CM31" s="46" t="n"/>
      <c r="CN31" s="46" t="n"/>
      <c r="CO31" s="46" t="n"/>
      <c r="CP31" s="46" t="n"/>
      <c r="CQ31" s="46" t="n"/>
      <c r="CR31" s="46" t="n"/>
      <c r="CS31" s="46" t="n"/>
      <c r="CT31" s="46" t="n"/>
      <c r="CU31" s="46" t="n"/>
      <c r="CV31" s="46" t="n"/>
      <c r="CW31" s="46" t="n"/>
      <c r="CX31" s="46" t="n"/>
      <c r="CY31" s="46" t="n"/>
      <c r="CZ31" s="46" t="n"/>
      <c r="DA31" s="46" t="n"/>
    </row>
    <row r="32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6" t="n"/>
      <c r="AH32" s="46" t="n"/>
      <c r="AI32" s="46" t="n"/>
      <c r="AJ32" s="46" t="n"/>
      <c r="AK32" s="46" t="n"/>
      <c r="AL32" s="46" t="n"/>
      <c r="AM32" s="46" t="n"/>
      <c r="AN32" s="46" t="n"/>
      <c r="AO32" s="46" t="n"/>
      <c r="AP32" s="46" t="n"/>
      <c r="AQ32" s="46" t="n"/>
      <c r="AR32" s="46" t="n"/>
      <c r="AS32" s="46" t="n"/>
      <c r="AT32" s="46" t="n"/>
      <c r="AU32" s="46" t="n"/>
      <c r="AV32" s="46" t="n"/>
      <c r="AW32" s="46" t="n"/>
      <c r="AX32" s="46" t="n"/>
      <c r="AY32" s="46" t="n"/>
      <c r="AZ32" s="46" t="n"/>
      <c r="BA32" s="46" t="n"/>
      <c r="BB32" s="46" t="n"/>
      <c r="BC32" s="46" t="n"/>
      <c r="BD32" s="46" t="n"/>
      <c r="BE32" s="46" t="n"/>
      <c r="BF32" s="46" t="n"/>
      <c r="BG32" s="46" t="n"/>
      <c r="BH32" s="46" t="n"/>
      <c r="BI32" s="46" t="n"/>
      <c r="BJ32" s="46" t="n"/>
      <c r="BK32" s="46" t="n"/>
      <c r="BL32" s="46" t="n"/>
      <c r="BM32" s="46" t="n"/>
      <c r="BN32" s="46" t="n"/>
      <c r="BO32" s="46" t="n"/>
      <c r="BP32" s="46" t="n"/>
      <c r="BQ32" s="46" t="n"/>
      <c r="BR32" s="46" t="n"/>
      <c r="BS32" s="46" t="n"/>
      <c r="BT32" s="46" t="n"/>
      <c r="BU32" s="46" t="n"/>
      <c r="BV32" s="46" t="n"/>
      <c r="BW32" s="46" t="n"/>
      <c r="BX32" s="46" t="n"/>
      <c r="BY32" s="46" t="n"/>
      <c r="BZ32" s="46" t="n"/>
      <c r="CA32" s="46" t="n"/>
      <c r="CB32" s="46" t="n"/>
      <c r="CC32" s="46" t="n"/>
      <c r="CD32" s="46" t="n"/>
      <c r="CE32" s="46" t="n"/>
      <c r="CF32" s="46" t="n"/>
      <c r="CG32" s="46" t="n"/>
      <c r="CH32" s="46" t="n"/>
      <c r="CI32" s="46" t="n"/>
      <c r="CJ32" s="46" t="n"/>
      <c r="CK32" s="46" t="n"/>
      <c r="CL32" s="46" t="n"/>
      <c r="CM32" s="46" t="n"/>
      <c r="CN32" s="46" t="n"/>
      <c r="CO32" s="46" t="n"/>
      <c r="CP32" s="46" t="n"/>
      <c r="CQ32" s="46" t="n"/>
      <c r="CR32" s="46" t="n"/>
      <c r="CS32" s="46" t="n"/>
      <c r="CT32" s="46" t="n"/>
      <c r="CU32" s="46" t="n"/>
      <c r="CV32" s="46" t="n"/>
      <c r="CW32" s="46" t="n"/>
      <c r="CX32" s="46" t="n"/>
      <c r="CY32" s="46" t="n"/>
      <c r="CZ32" s="46" t="n"/>
      <c r="DA32" s="46" t="n"/>
    </row>
    <row r="33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6" t="n"/>
      <c r="AH33" s="46" t="n"/>
      <c r="AI33" s="46" t="n"/>
      <c r="AJ33" s="46" t="n"/>
      <c r="AK33" s="46" t="n"/>
      <c r="AL33" s="46" t="n"/>
      <c r="AM33" s="46" t="n"/>
      <c r="AN33" s="46" t="n"/>
      <c r="AO33" s="46" t="n"/>
      <c r="AP33" s="46" t="n"/>
      <c r="AQ33" s="46" t="n"/>
      <c r="AR33" s="46" t="n"/>
      <c r="AS33" s="46" t="n"/>
      <c r="AT33" s="46" t="n"/>
      <c r="AU33" s="46" t="n"/>
      <c r="AV33" s="46" t="n"/>
      <c r="AW33" s="46" t="n"/>
      <c r="AX33" s="46" t="n"/>
      <c r="AY33" s="46" t="n"/>
      <c r="AZ33" s="46" t="n"/>
      <c r="BA33" s="46" t="n"/>
      <c r="BB33" s="46" t="n"/>
      <c r="BC33" s="46" t="n"/>
      <c r="BD33" s="46" t="n"/>
      <c r="BE33" s="46" t="n"/>
      <c r="BF33" s="46" t="n"/>
      <c r="BG33" s="46" t="n"/>
      <c r="BH33" s="46" t="n"/>
      <c r="BI33" s="46" t="n"/>
      <c r="BJ33" s="46" t="n"/>
      <c r="BK33" s="46" t="n"/>
      <c r="BL33" s="46" t="n"/>
      <c r="BM33" s="46" t="n"/>
      <c r="BN33" s="46" t="n"/>
      <c r="BO33" s="46" t="n"/>
      <c r="BP33" s="46" t="n"/>
      <c r="BQ33" s="46" t="n"/>
      <c r="BR33" s="46" t="n"/>
      <c r="BS33" s="46" t="n"/>
      <c r="BT33" s="46" t="n"/>
      <c r="BU33" s="46" t="n"/>
      <c r="BV33" s="46" t="n"/>
      <c r="BW33" s="46" t="n"/>
      <c r="BX33" s="46" t="n"/>
      <c r="BY33" s="46" t="n"/>
      <c r="BZ33" s="46" t="n"/>
      <c r="CA33" s="46" t="n"/>
      <c r="CB33" s="46" t="n"/>
      <c r="CC33" s="46" t="n"/>
      <c r="CD33" s="46" t="n"/>
      <c r="CE33" s="46" t="n"/>
      <c r="CF33" s="46" t="n"/>
      <c r="CG33" s="46" t="n"/>
      <c r="CH33" s="46" t="n"/>
      <c r="CI33" s="46" t="n"/>
      <c r="CJ33" s="46" t="n"/>
      <c r="CK33" s="46" t="n"/>
      <c r="CL33" s="46" t="n"/>
      <c r="CM33" s="46" t="n"/>
      <c r="CN33" s="46" t="n"/>
      <c r="CO33" s="46" t="n"/>
      <c r="CP33" s="46" t="n"/>
      <c r="CQ33" s="46" t="n"/>
      <c r="CR33" s="46" t="n"/>
      <c r="CS33" s="46" t="n"/>
      <c r="CT33" s="46" t="n"/>
      <c r="CU33" s="46" t="n"/>
      <c r="CV33" s="46" t="n"/>
      <c r="CW33" s="46" t="n"/>
      <c r="CX33" s="46" t="n"/>
      <c r="CY33" s="46" t="n"/>
      <c r="CZ33" s="46" t="n"/>
      <c r="DA33" s="46" t="n"/>
    </row>
    <row r="34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46" t="n"/>
      <c r="AI34" s="46" t="n"/>
      <c r="AJ34" s="46" t="n"/>
      <c r="AK34" s="46" t="n"/>
      <c r="AL34" s="46" t="n"/>
      <c r="AM34" s="46" t="n"/>
      <c r="AN34" s="46" t="n"/>
      <c r="AO34" s="46" t="n"/>
      <c r="AP34" s="46" t="n"/>
      <c r="AQ34" s="46" t="n"/>
      <c r="AR34" s="46" t="n"/>
      <c r="AS34" s="46" t="n"/>
      <c r="AT34" s="46" t="n"/>
      <c r="AU34" s="46" t="n"/>
      <c r="AV34" s="46" t="n"/>
      <c r="AW34" s="46" t="n"/>
      <c r="AX34" s="46" t="n"/>
      <c r="AY34" s="46" t="n"/>
      <c r="AZ34" s="46" t="n"/>
      <c r="BA34" s="46" t="n"/>
      <c r="BB34" s="46" t="n"/>
      <c r="BC34" s="46" t="n"/>
      <c r="BD34" s="46" t="n"/>
      <c r="BE34" s="46" t="n"/>
      <c r="BF34" s="46" t="n"/>
      <c r="BG34" s="46" t="n"/>
      <c r="BH34" s="46" t="n"/>
      <c r="BI34" s="46" t="n"/>
      <c r="BJ34" s="46" t="n"/>
      <c r="BK34" s="46" t="n"/>
      <c r="BL34" s="46" t="n"/>
      <c r="BM34" s="46" t="n"/>
      <c r="BN34" s="46" t="n"/>
      <c r="BO34" s="46" t="n"/>
      <c r="BP34" s="46" t="n"/>
      <c r="BQ34" s="46" t="n"/>
      <c r="BR34" s="46" t="n"/>
      <c r="BS34" s="46" t="n"/>
      <c r="BT34" s="46" t="n"/>
      <c r="BU34" s="46" t="n"/>
      <c r="BV34" s="46" t="n"/>
      <c r="BW34" s="46" t="n"/>
      <c r="BX34" s="46" t="n"/>
      <c r="BY34" s="46" t="n"/>
      <c r="BZ34" s="46" t="n"/>
      <c r="CA34" s="46" t="n"/>
      <c r="CB34" s="46" t="n"/>
      <c r="CC34" s="46" t="n"/>
      <c r="CD34" s="46" t="n"/>
      <c r="CE34" s="46" t="n"/>
      <c r="CF34" s="46" t="n"/>
      <c r="CG34" s="46" t="n"/>
      <c r="CH34" s="46" t="n"/>
      <c r="CI34" s="46" t="n"/>
      <c r="CJ34" s="46" t="n"/>
      <c r="CK34" s="46" t="n"/>
      <c r="CL34" s="46" t="n"/>
      <c r="CM34" s="46" t="n"/>
      <c r="CN34" s="46" t="n"/>
      <c r="CO34" s="46" t="n"/>
      <c r="CP34" s="46" t="n"/>
      <c r="CQ34" s="46" t="n"/>
      <c r="CR34" s="46" t="n"/>
      <c r="CS34" s="46" t="n"/>
      <c r="CT34" s="46" t="n"/>
      <c r="CU34" s="46" t="n"/>
      <c r="CV34" s="46" t="n"/>
      <c r="CW34" s="46" t="n"/>
      <c r="CX34" s="46" t="n"/>
      <c r="CY34" s="46" t="n"/>
      <c r="CZ34" s="46" t="n"/>
      <c r="DA34" s="46" t="n"/>
    </row>
    <row r="35">
      <c r="A35" s="46" t="n"/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46" t="n"/>
      <c r="AI35" s="46" t="n"/>
      <c r="AJ35" s="46" t="n"/>
      <c r="AK35" s="46" t="n"/>
      <c r="AL35" s="46" t="n"/>
      <c r="AM35" s="46" t="n"/>
      <c r="AN35" s="46" t="n"/>
      <c r="AO35" s="46" t="n"/>
      <c r="AP35" s="46" t="n"/>
      <c r="AQ35" s="46" t="n"/>
      <c r="AR35" s="46" t="n"/>
      <c r="AS35" s="46" t="n"/>
      <c r="AT35" s="46" t="n"/>
      <c r="AU35" s="46" t="n"/>
      <c r="AV35" s="46" t="n"/>
      <c r="AW35" s="46" t="n"/>
      <c r="AX35" s="46" t="n"/>
      <c r="AY35" s="46" t="n"/>
      <c r="AZ35" s="46" t="n"/>
      <c r="BA35" s="46" t="n"/>
      <c r="BB35" s="46" t="n"/>
      <c r="BC35" s="46" t="n"/>
      <c r="BD35" s="46" t="n"/>
      <c r="BE35" s="46" t="n"/>
      <c r="BF35" s="46" t="n"/>
      <c r="BG35" s="46" t="n"/>
      <c r="BH35" s="46" t="n"/>
      <c r="BI35" s="46" t="n"/>
      <c r="BJ35" s="46" t="n"/>
      <c r="BK35" s="46" t="n"/>
      <c r="BL35" s="46" t="n"/>
      <c r="BM35" s="46" t="n"/>
      <c r="BN35" s="46" t="n"/>
      <c r="BO35" s="46" t="n"/>
      <c r="BP35" s="46" t="n"/>
      <c r="BQ35" s="46" t="n"/>
      <c r="BR35" s="46" t="n"/>
      <c r="BS35" s="46" t="n"/>
      <c r="BT35" s="46" t="n"/>
      <c r="BU35" s="46" t="n"/>
      <c r="BV35" s="46" t="n"/>
      <c r="BW35" s="46" t="n"/>
      <c r="BX35" s="46" t="n"/>
      <c r="BY35" s="46" t="n"/>
      <c r="BZ35" s="46" t="n"/>
      <c r="CA35" s="46" t="n"/>
      <c r="CB35" s="46" t="n"/>
      <c r="CC35" s="46" t="n"/>
      <c r="CD35" s="46" t="n"/>
      <c r="CE35" s="46" t="n"/>
      <c r="CF35" s="46" t="n"/>
      <c r="CG35" s="46" t="n"/>
      <c r="CH35" s="46" t="n"/>
      <c r="CI35" s="46" t="n"/>
      <c r="CJ35" s="46" t="n"/>
      <c r="CK35" s="46" t="n"/>
      <c r="CL35" s="46" t="n"/>
      <c r="CM35" s="46" t="n"/>
      <c r="CN35" s="46" t="n"/>
      <c r="CO35" s="46" t="n"/>
      <c r="CP35" s="46" t="n"/>
      <c r="CQ35" s="46" t="n"/>
      <c r="CR35" s="46" t="n"/>
      <c r="CS35" s="46" t="n"/>
      <c r="CT35" s="46" t="n"/>
      <c r="CU35" s="46" t="n"/>
      <c r="CV35" s="46" t="n"/>
      <c r="CW35" s="46" t="n"/>
      <c r="CX35" s="46" t="n"/>
      <c r="CY35" s="46" t="n"/>
      <c r="CZ35" s="46" t="n"/>
      <c r="DA35" s="46" t="n"/>
    </row>
    <row r="36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46" t="n"/>
      <c r="AI36" s="46" t="n"/>
      <c r="AJ36" s="46" t="n"/>
      <c r="AK36" s="46" t="n"/>
      <c r="AL36" s="46" t="n"/>
      <c r="AM36" s="46" t="n"/>
      <c r="AN36" s="46" t="n"/>
      <c r="AO36" s="46" t="n"/>
      <c r="AP36" s="46" t="n"/>
      <c r="AQ36" s="46" t="n"/>
      <c r="AR36" s="46" t="n"/>
      <c r="AS36" s="46" t="n"/>
      <c r="AT36" s="46" t="n"/>
      <c r="AU36" s="46" t="n"/>
      <c r="AV36" s="46" t="n"/>
      <c r="AW36" s="46" t="n"/>
      <c r="AX36" s="46" t="n"/>
      <c r="AY36" s="46" t="n"/>
      <c r="AZ36" s="46" t="n"/>
      <c r="BA36" s="46" t="n"/>
      <c r="BB36" s="46" t="n"/>
      <c r="BC36" s="46" t="n"/>
      <c r="BD36" s="46" t="n"/>
      <c r="BE36" s="46" t="n"/>
      <c r="BF36" s="46" t="n"/>
      <c r="BG36" s="46" t="n"/>
      <c r="BH36" s="46" t="n"/>
      <c r="BI36" s="46" t="n"/>
      <c r="BJ36" s="46" t="n"/>
      <c r="BK36" s="46" t="n"/>
      <c r="BL36" s="46" t="n"/>
      <c r="BM36" s="46" t="n"/>
      <c r="BN36" s="46" t="n"/>
      <c r="BO36" s="46" t="n"/>
      <c r="BP36" s="46" t="n"/>
      <c r="BQ36" s="46" t="n"/>
      <c r="BR36" s="46" t="n"/>
      <c r="BS36" s="46" t="n"/>
      <c r="BT36" s="46" t="n"/>
      <c r="BU36" s="46" t="n"/>
      <c r="BV36" s="46" t="n"/>
      <c r="BW36" s="46" t="n"/>
      <c r="BX36" s="46" t="n"/>
      <c r="BY36" s="46" t="n"/>
      <c r="BZ36" s="46" t="n"/>
      <c r="CA36" s="46" t="n"/>
      <c r="CB36" s="46" t="n"/>
      <c r="CC36" s="46" t="n"/>
      <c r="CD36" s="46" t="n"/>
      <c r="CE36" s="46" t="n"/>
      <c r="CF36" s="46" t="n"/>
      <c r="CG36" s="46" t="n"/>
      <c r="CH36" s="46" t="n"/>
      <c r="CI36" s="46" t="n"/>
      <c r="CJ36" s="46" t="n"/>
      <c r="CK36" s="46" t="n"/>
      <c r="CL36" s="46" t="n"/>
      <c r="CM36" s="46" t="n"/>
      <c r="CN36" s="46" t="n"/>
      <c r="CO36" s="46" t="n"/>
      <c r="CP36" s="46" t="n"/>
      <c r="CQ36" s="46" t="n"/>
      <c r="CR36" s="46" t="n"/>
      <c r="CS36" s="46" t="n"/>
      <c r="CT36" s="46" t="n"/>
      <c r="CU36" s="46" t="n"/>
      <c r="CV36" s="46" t="n"/>
      <c r="CW36" s="46" t="n"/>
      <c r="CX36" s="46" t="n"/>
      <c r="CY36" s="46" t="n"/>
      <c r="CZ36" s="46" t="n"/>
      <c r="DA36" s="46" t="n"/>
    </row>
    <row r="37">
      <c r="A37" s="46" t="n"/>
      <c r="B37" s="46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46" t="n"/>
      <c r="AI37" s="46" t="n"/>
      <c r="AJ37" s="46" t="n"/>
      <c r="AK37" s="46" t="n"/>
      <c r="AL37" s="46" t="n"/>
      <c r="AM37" s="46" t="n"/>
      <c r="AN37" s="46" t="n"/>
      <c r="AO37" s="46" t="n"/>
      <c r="AP37" s="46" t="n"/>
      <c r="AQ37" s="46" t="n"/>
      <c r="AR37" s="46" t="n"/>
      <c r="AS37" s="46" t="n"/>
      <c r="AT37" s="46" t="n"/>
      <c r="AU37" s="46" t="n"/>
      <c r="AV37" s="46" t="n"/>
      <c r="AW37" s="46" t="n"/>
      <c r="AX37" s="46" t="n"/>
      <c r="AY37" s="46" t="n"/>
      <c r="AZ37" s="46" t="n"/>
      <c r="BA37" s="46" t="n"/>
      <c r="BB37" s="46" t="n"/>
      <c r="BC37" s="46" t="n"/>
      <c r="BD37" s="46" t="n"/>
      <c r="BE37" s="46" t="n"/>
      <c r="BF37" s="46" t="n"/>
      <c r="BG37" s="46" t="n"/>
      <c r="BH37" s="46" t="n"/>
      <c r="BI37" s="46" t="n"/>
      <c r="BJ37" s="46" t="n"/>
      <c r="BK37" s="46" t="n"/>
      <c r="BL37" s="46" t="n"/>
      <c r="BM37" s="46" t="n"/>
      <c r="BN37" s="46" t="n"/>
      <c r="BO37" s="46" t="n"/>
      <c r="BP37" s="46" t="n"/>
      <c r="BQ37" s="46" t="n"/>
      <c r="BR37" s="46" t="n"/>
      <c r="BS37" s="46" t="n"/>
      <c r="BT37" s="46" t="n"/>
      <c r="BU37" s="46" t="n"/>
      <c r="BV37" s="46" t="n"/>
      <c r="BW37" s="46" t="n"/>
      <c r="BX37" s="46" t="n"/>
      <c r="BY37" s="46" t="n"/>
      <c r="BZ37" s="46" t="n"/>
      <c r="CA37" s="46" t="n"/>
      <c r="CB37" s="46" t="n"/>
      <c r="CC37" s="46" t="n"/>
      <c r="CD37" s="46" t="n"/>
      <c r="CE37" s="46" t="n"/>
      <c r="CF37" s="46" t="n"/>
      <c r="CG37" s="46" t="n"/>
      <c r="CH37" s="46" t="n"/>
      <c r="CI37" s="46" t="n"/>
      <c r="CJ37" s="46" t="n"/>
      <c r="CK37" s="46" t="n"/>
      <c r="CL37" s="46" t="n"/>
      <c r="CM37" s="46" t="n"/>
      <c r="CN37" s="46" t="n"/>
      <c r="CO37" s="46" t="n"/>
      <c r="CP37" s="46" t="n"/>
      <c r="CQ37" s="46" t="n"/>
      <c r="CR37" s="46" t="n"/>
      <c r="CS37" s="46" t="n"/>
      <c r="CT37" s="46" t="n"/>
      <c r="CU37" s="46" t="n"/>
      <c r="CV37" s="46" t="n"/>
      <c r="CW37" s="46" t="n"/>
      <c r="CX37" s="46" t="n"/>
      <c r="CY37" s="46" t="n"/>
      <c r="CZ37" s="46" t="n"/>
      <c r="DA37" s="46" t="n"/>
    </row>
    <row r="38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46" t="n"/>
      <c r="AI38" s="46" t="n"/>
      <c r="AJ38" s="46" t="n"/>
      <c r="AK38" s="46" t="n"/>
      <c r="AL38" s="46" t="n"/>
      <c r="AM38" s="46" t="n"/>
      <c r="AN38" s="46" t="n"/>
      <c r="AO38" s="46" t="n"/>
      <c r="AP38" s="46" t="n"/>
      <c r="AQ38" s="46" t="n"/>
      <c r="AR38" s="46" t="n"/>
      <c r="AS38" s="46" t="n"/>
      <c r="AT38" s="46" t="n"/>
      <c r="AU38" s="46" t="n"/>
      <c r="AV38" s="46" t="n"/>
      <c r="AW38" s="46" t="n"/>
      <c r="AX38" s="46" t="n"/>
      <c r="AY38" s="46" t="n"/>
      <c r="AZ38" s="46" t="n"/>
      <c r="BA38" s="46" t="n"/>
      <c r="BB38" s="46" t="n"/>
      <c r="BC38" s="46" t="n"/>
      <c r="BD38" s="46" t="n"/>
      <c r="BE38" s="46" t="n"/>
      <c r="BF38" s="46" t="n"/>
      <c r="BG38" s="46" t="n"/>
      <c r="BH38" s="46" t="n"/>
      <c r="BI38" s="46" t="n"/>
      <c r="BJ38" s="46" t="n"/>
      <c r="BK38" s="46" t="n"/>
      <c r="BL38" s="46" t="n"/>
      <c r="BM38" s="46" t="n"/>
      <c r="BN38" s="46" t="n"/>
      <c r="BO38" s="46" t="n"/>
      <c r="BP38" s="46" t="n"/>
      <c r="BQ38" s="46" t="n"/>
      <c r="BR38" s="46" t="n"/>
      <c r="BS38" s="46" t="n"/>
      <c r="BT38" s="46" t="n"/>
      <c r="BU38" s="46" t="n"/>
      <c r="BV38" s="46" t="n"/>
      <c r="BW38" s="46" t="n"/>
      <c r="BX38" s="46" t="n"/>
      <c r="BY38" s="46" t="n"/>
      <c r="BZ38" s="46" t="n"/>
      <c r="CA38" s="46" t="n"/>
      <c r="CB38" s="46" t="n"/>
      <c r="CC38" s="46" t="n"/>
      <c r="CD38" s="46" t="n"/>
      <c r="CE38" s="46" t="n"/>
      <c r="CF38" s="46" t="n"/>
      <c r="CG38" s="46" t="n"/>
      <c r="CH38" s="46" t="n"/>
      <c r="CI38" s="46" t="n"/>
      <c r="CJ38" s="46" t="n"/>
      <c r="CK38" s="46" t="n"/>
      <c r="CL38" s="46" t="n"/>
      <c r="CM38" s="46" t="n"/>
      <c r="CN38" s="46" t="n"/>
      <c r="CO38" s="46" t="n"/>
      <c r="CP38" s="46" t="n"/>
      <c r="CQ38" s="46" t="n"/>
      <c r="CR38" s="46" t="n"/>
      <c r="CS38" s="46" t="n"/>
      <c r="CT38" s="46" t="n"/>
      <c r="CU38" s="46" t="n"/>
      <c r="CV38" s="46" t="n"/>
      <c r="CW38" s="46" t="n"/>
      <c r="CX38" s="46" t="n"/>
      <c r="CY38" s="46" t="n"/>
      <c r="CZ38" s="46" t="n"/>
      <c r="DA38" s="46" t="n"/>
    </row>
    <row r="39">
      <c r="A39" s="46" t="n"/>
      <c r="B39" s="46" t="n"/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46" t="n"/>
      <c r="AI39" s="46" t="n"/>
      <c r="AJ39" s="46" t="n"/>
      <c r="AK39" s="46" t="n"/>
      <c r="AL39" s="46" t="n"/>
      <c r="AM39" s="46" t="n"/>
      <c r="AN39" s="46" t="n"/>
      <c r="AO39" s="46" t="n"/>
      <c r="AP39" s="46" t="n"/>
      <c r="AQ39" s="46" t="n"/>
      <c r="AR39" s="46" t="n"/>
      <c r="AS39" s="46" t="n"/>
      <c r="AT39" s="46" t="n"/>
      <c r="AU39" s="46" t="n"/>
      <c r="AV39" s="46" t="n"/>
      <c r="AW39" s="46" t="n"/>
      <c r="AX39" s="46" t="n"/>
      <c r="AY39" s="46" t="n"/>
      <c r="AZ39" s="46" t="n"/>
      <c r="BA39" s="46" t="n"/>
      <c r="BB39" s="46" t="n"/>
      <c r="BC39" s="46" t="n"/>
      <c r="BD39" s="46" t="n"/>
      <c r="BE39" s="46" t="n"/>
      <c r="BF39" s="46" t="n"/>
      <c r="BG39" s="46" t="n"/>
      <c r="BH39" s="46" t="n"/>
      <c r="BI39" s="46" t="n"/>
      <c r="BJ39" s="46" t="n"/>
      <c r="BK39" s="46" t="n"/>
      <c r="BL39" s="46" t="n"/>
      <c r="BM39" s="46" t="n"/>
      <c r="BN39" s="46" t="n"/>
      <c r="BO39" s="46" t="n"/>
      <c r="BP39" s="46" t="n"/>
      <c r="BQ39" s="46" t="n"/>
      <c r="BR39" s="46" t="n"/>
      <c r="BS39" s="46" t="n"/>
      <c r="BT39" s="46" t="n"/>
      <c r="BU39" s="46" t="n"/>
      <c r="BV39" s="46" t="n"/>
      <c r="BW39" s="46" t="n"/>
      <c r="BX39" s="46" t="n"/>
      <c r="BY39" s="46" t="n"/>
      <c r="BZ39" s="46" t="n"/>
      <c r="CA39" s="46" t="n"/>
      <c r="CB39" s="46" t="n"/>
      <c r="CC39" s="46" t="n"/>
      <c r="CD39" s="46" t="n"/>
      <c r="CE39" s="46" t="n"/>
      <c r="CF39" s="46" t="n"/>
      <c r="CG39" s="46" t="n"/>
      <c r="CH39" s="46" t="n"/>
      <c r="CI39" s="46" t="n"/>
      <c r="CJ39" s="46" t="n"/>
      <c r="CK39" s="46" t="n"/>
      <c r="CL39" s="46" t="n"/>
      <c r="CM39" s="46" t="n"/>
      <c r="CN39" s="46" t="n"/>
      <c r="CO39" s="46" t="n"/>
      <c r="CP39" s="46" t="n"/>
      <c r="CQ39" s="46" t="n"/>
      <c r="CR39" s="46" t="n"/>
      <c r="CS39" s="46" t="n"/>
      <c r="CT39" s="46" t="n"/>
      <c r="CU39" s="46" t="n"/>
      <c r="CV39" s="46" t="n"/>
      <c r="CW39" s="46" t="n"/>
      <c r="CX39" s="46" t="n"/>
      <c r="CY39" s="46" t="n"/>
      <c r="CZ39" s="46" t="n"/>
      <c r="DA39" s="46" t="n"/>
    </row>
    <row r="40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46" t="n"/>
      <c r="AI40" s="46" t="n"/>
      <c r="AJ40" s="46" t="n"/>
      <c r="AK40" s="46" t="n"/>
      <c r="AL40" s="46" t="n"/>
      <c r="AM40" s="46" t="n"/>
      <c r="AN40" s="46" t="n"/>
      <c r="AO40" s="46" t="n"/>
      <c r="AP40" s="46" t="n"/>
      <c r="AQ40" s="46" t="n"/>
      <c r="AR40" s="46" t="n"/>
      <c r="AS40" s="46" t="n"/>
      <c r="AT40" s="46" t="n"/>
      <c r="AU40" s="46" t="n"/>
      <c r="AV40" s="46" t="n"/>
      <c r="AW40" s="46" t="n"/>
      <c r="AX40" s="46" t="n"/>
      <c r="AY40" s="46" t="n"/>
      <c r="AZ40" s="46" t="n"/>
      <c r="BA40" s="46" t="n"/>
      <c r="BB40" s="46" t="n"/>
      <c r="BC40" s="46" t="n"/>
      <c r="BD40" s="46" t="n"/>
      <c r="BE40" s="46" t="n"/>
      <c r="BF40" s="46" t="n"/>
      <c r="BG40" s="46" t="n"/>
      <c r="BH40" s="46" t="n"/>
      <c r="BI40" s="46" t="n"/>
      <c r="BJ40" s="46" t="n"/>
      <c r="BK40" s="46" t="n"/>
      <c r="BL40" s="46" t="n"/>
      <c r="BM40" s="46" t="n"/>
      <c r="BN40" s="46" t="n"/>
      <c r="BO40" s="46" t="n"/>
      <c r="BP40" s="46" t="n"/>
      <c r="BQ40" s="46" t="n"/>
      <c r="BR40" s="46" t="n"/>
      <c r="BS40" s="46" t="n"/>
      <c r="BT40" s="46" t="n"/>
      <c r="BU40" s="46" t="n"/>
      <c r="BV40" s="46" t="n"/>
      <c r="BW40" s="46" t="n"/>
      <c r="BX40" s="46" t="n"/>
      <c r="BY40" s="46" t="n"/>
      <c r="BZ40" s="46" t="n"/>
      <c r="CA40" s="46" t="n"/>
      <c r="CB40" s="46" t="n"/>
      <c r="CC40" s="46" t="n"/>
      <c r="CD40" s="46" t="n"/>
      <c r="CE40" s="46" t="n"/>
      <c r="CF40" s="46" t="n"/>
      <c r="CG40" s="46" t="n"/>
      <c r="CH40" s="46" t="n"/>
      <c r="CI40" s="46" t="n"/>
      <c r="CJ40" s="46" t="n"/>
      <c r="CK40" s="46" t="n"/>
      <c r="CL40" s="46" t="n"/>
      <c r="CM40" s="46" t="n"/>
      <c r="CN40" s="46" t="n"/>
      <c r="CO40" s="46" t="n"/>
      <c r="CP40" s="46" t="n"/>
      <c r="CQ40" s="46" t="n"/>
      <c r="CR40" s="46" t="n"/>
      <c r="CS40" s="46" t="n"/>
      <c r="CT40" s="46" t="n"/>
      <c r="CU40" s="46" t="n"/>
      <c r="CV40" s="46" t="n"/>
      <c r="CW40" s="46" t="n"/>
      <c r="CX40" s="46" t="n"/>
      <c r="CY40" s="46" t="n"/>
      <c r="CZ40" s="46" t="n"/>
      <c r="DA40" s="46" t="n"/>
    </row>
    <row r="41">
      <c r="A41" s="46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46" t="n"/>
      <c r="AI41" s="46" t="n"/>
      <c r="AJ41" s="46" t="n"/>
      <c r="AK41" s="46" t="n"/>
      <c r="AL41" s="46" t="n"/>
      <c r="AM41" s="46" t="n"/>
      <c r="AN41" s="46" t="n"/>
      <c r="AO41" s="46" t="n"/>
      <c r="AP41" s="46" t="n"/>
      <c r="AQ41" s="46" t="n"/>
      <c r="AR41" s="46" t="n"/>
      <c r="AS41" s="46" t="n"/>
      <c r="AT41" s="46" t="n"/>
      <c r="AU41" s="46" t="n"/>
      <c r="AV41" s="46" t="n"/>
      <c r="AW41" s="46" t="n"/>
      <c r="AX41" s="46" t="n"/>
      <c r="AY41" s="46" t="n"/>
      <c r="AZ41" s="46" t="n"/>
      <c r="BA41" s="46" t="n"/>
      <c r="BB41" s="46" t="n"/>
      <c r="BC41" s="46" t="n"/>
      <c r="BD41" s="46" t="n"/>
      <c r="BE41" s="46" t="n"/>
      <c r="BF41" s="46" t="n"/>
      <c r="BG41" s="46" t="n"/>
      <c r="BH41" s="46" t="n"/>
      <c r="BI41" s="46" t="n"/>
      <c r="BJ41" s="46" t="n"/>
      <c r="BK41" s="46" t="n"/>
      <c r="BL41" s="46" t="n"/>
      <c r="BM41" s="46" t="n"/>
      <c r="BN41" s="46" t="n"/>
      <c r="BO41" s="46" t="n"/>
      <c r="BP41" s="46" t="n"/>
      <c r="BQ41" s="46" t="n"/>
      <c r="BR41" s="46" t="n"/>
      <c r="BS41" s="46" t="n"/>
      <c r="BT41" s="46" t="n"/>
      <c r="BU41" s="46" t="n"/>
      <c r="BV41" s="46" t="n"/>
      <c r="BW41" s="46" t="n"/>
      <c r="BX41" s="46" t="n"/>
      <c r="BY41" s="46" t="n"/>
      <c r="BZ41" s="46" t="n"/>
      <c r="CA41" s="46" t="n"/>
      <c r="CB41" s="46" t="n"/>
      <c r="CC41" s="46" t="n"/>
      <c r="CD41" s="46" t="n"/>
      <c r="CE41" s="46" t="n"/>
      <c r="CF41" s="46" t="n"/>
      <c r="CG41" s="46" t="n"/>
      <c r="CH41" s="46" t="n"/>
      <c r="CI41" s="46" t="n"/>
      <c r="CJ41" s="46" t="n"/>
      <c r="CK41" s="46" t="n"/>
      <c r="CL41" s="46" t="n"/>
      <c r="CM41" s="46" t="n"/>
      <c r="CN41" s="46" t="n"/>
      <c r="CO41" s="46" t="n"/>
      <c r="CP41" s="46" t="n"/>
      <c r="CQ41" s="46" t="n"/>
      <c r="CR41" s="46" t="n"/>
      <c r="CS41" s="46" t="n"/>
      <c r="CT41" s="46" t="n"/>
      <c r="CU41" s="46" t="n"/>
      <c r="CV41" s="46" t="n"/>
      <c r="CW41" s="46" t="n"/>
      <c r="CX41" s="46" t="n"/>
      <c r="CY41" s="46" t="n"/>
      <c r="CZ41" s="46" t="n"/>
      <c r="DA41" s="46" t="n"/>
    </row>
    <row r="42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46" t="n"/>
      <c r="AI42" s="46" t="n"/>
      <c r="AJ42" s="46" t="n"/>
      <c r="AK42" s="46" t="n"/>
      <c r="AL42" s="46" t="n"/>
      <c r="AM42" s="46" t="n"/>
      <c r="AN42" s="46" t="n"/>
      <c r="AO42" s="46" t="n"/>
      <c r="AP42" s="46" t="n"/>
      <c r="AQ42" s="46" t="n"/>
      <c r="AR42" s="46" t="n"/>
      <c r="AS42" s="46" t="n"/>
      <c r="AT42" s="46" t="n"/>
      <c r="AU42" s="46" t="n"/>
      <c r="AV42" s="46" t="n"/>
      <c r="AW42" s="46" t="n"/>
      <c r="AX42" s="46" t="n"/>
      <c r="AY42" s="46" t="n"/>
      <c r="AZ42" s="46" t="n"/>
      <c r="BA42" s="46" t="n"/>
      <c r="BB42" s="46" t="n"/>
      <c r="BC42" s="46" t="n"/>
      <c r="BD42" s="46" t="n"/>
      <c r="BE42" s="46" t="n"/>
      <c r="BF42" s="46" t="n"/>
      <c r="BG42" s="46" t="n"/>
      <c r="BH42" s="46" t="n"/>
      <c r="BI42" s="46" t="n"/>
      <c r="BJ42" s="46" t="n"/>
      <c r="BK42" s="46" t="n"/>
      <c r="BL42" s="46" t="n"/>
      <c r="BM42" s="46" t="n"/>
      <c r="BN42" s="46" t="n"/>
      <c r="BO42" s="46" t="n"/>
      <c r="BP42" s="46" t="n"/>
      <c r="BQ42" s="46" t="n"/>
      <c r="BR42" s="46" t="n"/>
      <c r="BS42" s="46" t="n"/>
      <c r="BT42" s="46" t="n"/>
      <c r="BU42" s="46" t="n"/>
      <c r="BV42" s="46" t="n"/>
      <c r="BW42" s="46" t="n"/>
      <c r="BX42" s="46" t="n"/>
      <c r="BY42" s="46" t="n"/>
      <c r="BZ42" s="46" t="n"/>
      <c r="CA42" s="46" t="n"/>
      <c r="CB42" s="46" t="n"/>
      <c r="CC42" s="46" t="n"/>
      <c r="CD42" s="46" t="n"/>
      <c r="CE42" s="46" t="n"/>
      <c r="CF42" s="46" t="n"/>
      <c r="CG42" s="46" t="n"/>
      <c r="CH42" s="46" t="n"/>
      <c r="CI42" s="46" t="n"/>
      <c r="CJ42" s="46" t="n"/>
      <c r="CK42" s="46" t="n"/>
      <c r="CL42" s="46" t="n"/>
      <c r="CM42" s="46" t="n"/>
      <c r="CN42" s="46" t="n"/>
      <c r="CO42" s="46" t="n"/>
      <c r="CP42" s="46" t="n"/>
      <c r="CQ42" s="46" t="n"/>
      <c r="CR42" s="46" t="n"/>
      <c r="CS42" s="46" t="n"/>
      <c r="CT42" s="46" t="n"/>
      <c r="CU42" s="46" t="n"/>
      <c r="CV42" s="46" t="n"/>
      <c r="CW42" s="46" t="n"/>
      <c r="CX42" s="46" t="n"/>
      <c r="CY42" s="46" t="n"/>
      <c r="CZ42" s="46" t="n"/>
      <c r="DA42" s="46" t="n"/>
    </row>
    <row r="43">
      <c r="A43" s="46" t="n"/>
      <c r="B43" s="46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46" t="n"/>
      <c r="AI43" s="46" t="n"/>
      <c r="AJ43" s="46" t="n"/>
      <c r="AK43" s="46" t="n"/>
      <c r="AL43" s="46" t="n"/>
      <c r="AM43" s="46" t="n"/>
      <c r="AN43" s="46" t="n"/>
      <c r="AO43" s="46" t="n"/>
      <c r="AP43" s="46" t="n"/>
      <c r="AQ43" s="46" t="n"/>
      <c r="AR43" s="46" t="n"/>
      <c r="AS43" s="46" t="n"/>
      <c r="AT43" s="46" t="n"/>
      <c r="AU43" s="46" t="n"/>
      <c r="AV43" s="46" t="n"/>
      <c r="AW43" s="46" t="n"/>
      <c r="AX43" s="46" t="n"/>
      <c r="AY43" s="46" t="n"/>
      <c r="AZ43" s="46" t="n"/>
      <c r="BA43" s="46" t="n"/>
      <c r="BB43" s="46" t="n"/>
      <c r="BC43" s="46" t="n"/>
      <c r="BD43" s="46" t="n"/>
      <c r="BE43" s="46" t="n"/>
      <c r="BF43" s="46" t="n"/>
      <c r="BG43" s="46" t="n"/>
      <c r="BH43" s="46" t="n"/>
      <c r="BI43" s="46" t="n"/>
      <c r="BJ43" s="46" t="n"/>
      <c r="BK43" s="46" t="n"/>
      <c r="BL43" s="46" t="n"/>
      <c r="BM43" s="46" t="n"/>
      <c r="BN43" s="46" t="n"/>
      <c r="BO43" s="46" t="n"/>
      <c r="BP43" s="46" t="n"/>
      <c r="BQ43" s="46" t="n"/>
      <c r="BR43" s="46" t="n"/>
      <c r="BS43" s="46" t="n"/>
      <c r="BT43" s="46" t="n"/>
      <c r="BU43" s="46" t="n"/>
      <c r="BV43" s="46" t="n"/>
      <c r="BW43" s="46" t="n"/>
      <c r="BX43" s="46" t="n"/>
      <c r="BY43" s="46" t="n"/>
      <c r="BZ43" s="46" t="n"/>
      <c r="CA43" s="46" t="n"/>
      <c r="CB43" s="46" t="n"/>
      <c r="CC43" s="46" t="n"/>
      <c r="CD43" s="46" t="n"/>
      <c r="CE43" s="46" t="n"/>
      <c r="CF43" s="46" t="n"/>
      <c r="CG43" s="46" t="n"/>
      <c r="CH43" s="46" t="n"/>
      <c r="CI43" s="46" t="n"/>
      <c r="CJ43" s="46" t="n"/>
      <c r="CK43" s="46" t="n"/>
      <c r="CL43" s="46" t="n"/>
      <c r="CM43" s="46" t="n"/>
      <c r="CN43" s="46" t="n"/>
      <c r="CO43" s="46" t="n"/>
      <c r="CP43" s="46" t="n"/>
      <c r="CQ43" s="46" t="n"/>
      <c r="CR43" s="46" t="n"/>
      <c r="CS43" s="46" t="n"/>
      <c r="CT43" s="46" t="n"/>
      <c r="CU43" s="46" t="n"/>
      <c r="CV43" s="46" t="n"/>
      <c r="CW43" s="46" t="n"/>
      <c r="CX43" s="46" t="n"/>
      <c r="CY43" s="46" t="n"/>
      <c r="CZ43" s="46" t="n"/>
      <c r="DA43" s="46" t="n"/>
    </row>
    <row r="44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46" t="n"/>
      <c r="AI44" s="46" t="n"/>
      <c r="AJ44" s="46" t="n"/>
      <c r="AK44" s="46" t="n"/>
      <c r="AL44" s="46" t="n"/>
      <c r="AM44" s="46" t="n"/>
      <c r="AN44" s="46" t="n"/>
      <c r="AO44" s="46" t="n"/>
      <c r="AP44" s="46" t="n"/>
      <c r="AQ44" s="46" t="n"/>
      <c r="AR44" s="46" t="n"/>
      <c r="AS44" s="46" t="n"/>
      <c r="AT44" s="46" t="n"/>
      <c r="AU44" s="46" t="n"/>
      <c r="AV44" s="46" t="n"/>
      <c r="AW44" s="46" t="n"/>
      <c r="AX44" s="46" t="n"/>
      <c r="AY44" s="46" t="n"/>
      <c r="AZ44" s="46" t="n"/>
      <c r="BA44" s="46" t="n"/>
      <c r="BB44" s="46" t="n"/>
      <c r="BC44" s="46" t="n"/>
      <c r="BD44" s="46" t="n"/>
      <c r="BE44" s="46" t="n"/>
      <c r="BF44" s="46" t="n"/>
      <c r="BG44" s="46" t="n"/>
      <c r="BH44" s="46" t="n"/>
      <c r="BI44" s="46" t="n"/>
      <c r="BJ44" s="46" t="n"/>
      <c r="BK44" s="46" t="n"/>
      <c r="BL44" s="46" t="n"/>
      <c r="BM44" s="46" t="n"/>
      <c r="BN44" s="46" t="n"/>
      <c r="BO44" s="46" t="n"/>
      <c r="BP44" s="46" t="n"/>
      <c r="BQ44" s="46" t="n"/>
      <c r="BR44" s="46" t="n"/>
      <c r="BS44" s="46" t="n"/>
      <c r="BT44" s="46" t="n"/>
      <c r="BU44" s="46" t="n"/>
      <c r="BV44" s="46" t="n"/>
      <c r="BW44" s="46" t="n"/>
      <c r="BX44" s="46" t="n"/>
      <c r="BY44" s="46" t="n"/>
      <c r="BZ44" s="46" t="n"/>
      <c r="CA44" s="46" t="n"/>
      <c r="CB44" s="46" t="n"/>
      <c r="CC44" s="46" t="n"/>
      <c r="CD44" s="46" t="n"/>
      <c r="CE44" s="46" t="n"/>
      <c r="CF44" s="46" t="n"/>
      <c r="CG44" s="46" t="n"/>
      <c r="CH44" s="46" t="n"/>
      <c r="CI44" s="46" t="n"/>
      <c r="CJ44" s="46" t="n"/>
      <c r="CK44" s="46" t="n"/>
      <c r="CL44" s="46" t="n"/>
      <c r="CM44" s="46" t="n"/>
      <c r="CN44" s="46" t="n"/>
      <c r="CO44" s="46" t="n"/>
      <c r="CP44" s="46" t="n"/>
      <c r="CQ44" s="46" t="n"/>
      <c r="CR44" s="46" t="n"/>
      <c r="CS44" s="46" t="n"/>
      <c r="CT44" s="46" t="n"/>
      <c r="CU44" s="46" t="n"/>
      <c r="CV44" s="46" t="n"/>
      <c r="CW44" s="46" t="n"/>
      <c r="CX44" s="46" t="n"/>
      <c r="CY44" s="46" t="n"/>
      <c r="CZ44" s="46" t="n"/>
      <c r="DA44" s="46" t="n"/>
    </row>
    <row r="45">
      <c r="A45" s="46" t="n"/>
      <c r="B45" s="46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46" t="n"/>
      <c r="AI45" s="46" t="n"/>
      <c r="AJ45" s="46" t="n"/>
      <c r="AK45" s="46" t="n"/>
      <c r="AL45" s="46" t="n"/>
      <c r="AM45" s="46" t="n"/>
      <c r="AN45" s="46" t="n"/>
      <c r="AO45" s="46" t="n"/>
      <c r="AP45" s="46" t="n"/>
      <c r="AQ45" s="46" t="n"/>
      <c r="AR45" s="46" t="n"/>
      <c r="AS45" s="46" t="n"/>
      <c r="AT45" s="46" t="n"/>
      <c r="AU45" s="46" t="n"/>
      <c r="AV45" s="46" t="n"/>
      <c r="AW45" s="46" t="n"/>
      <c r="AX45" s="46" t="n"/>
      <c r="AY45" s="46" t="n"/>
      <c r="AZ45" s="46" t="n"/>
      <c r="BA45" s="46" t="n"/>
      <c r="BB45" s="46" t="n"/>
      <c r="BC45" s="46" t="n"/>
      <c r="BD45" s="46" t="n"/>
      <c r="BE45" s="46" t="n"/>
      <c r="BF45" s="46" t="n"/>
      <c r="BG45" s="46" t="n"/>
      <c r="BH45" s="46" t="n"/>
      <c r="BI45" s="46" t="n"/>
      <c r="BJ45" s="46" t="n"/>
      <c r="BK45" s="46" t="n"/>
      <c r="BL45" s="46" t="n"/>
      <c r="BM45" s="46" t="n"/>
      <c r="BN45" s="46" t="n"/>
      <c r="BO45" s="46" t="n"/>
      <c r="BP45" s="46" t="n"/>
      <c r="BQ45" s="46" t="n"/>
      <c r="BR45" s="46" t="n"/>
      <c r="BS45" s="46" t="n"/>
      <c r="BT45" s="46" t="n"/>
      <c r="BU45" s="46" t="n"/>
      <c r="BV45" s="46" t="n"/>
      <c r="BW45" s="46" t="n"/>
      <c r="BX45" s="46" t="n"/>
      <c r="BY45" s="46" t="n"/>
      <c r="BZ45" s="46" t="n"/>
      <c r="CA45" s="46" t="n"/>
      <c r="CB45" s="46" t="n"/>
      <c r="CC45" s="46" t="n"/>
      <c r="CD45" s="46" t="n"/>
      <c r="CE45" s="46" t="n"/>
      <c r="CF45" s="46" t="n"/>
      <c r="CG45" s="46" t="n"/>
      <c r="CH45" s="46" t="n"/>
      <c r="CI45" s="46" t="n"/>
      <c r="CJ45" s="46" t="n"/>
      <c r="CK45" s="46" t="n"/>
      <c r="CL45" s="46" t="n"/>
      <c r="CM45" s="46" t="n"/>
      <c r="CN45" s="46" t="n"/>
      <c r="CO45" s="46" t="n"/>
      <c r="CP45" s="46" t="n"/>
      <c r="CQ45" s="46" t="n"/>
      <c r="CR45" s="46" t="n"/>
      <c r="CS45" s="46" t="n"/>
      <c r="CT45" s="46" t="n"/>
      <c r="CU45" s="46" t="n"/>
      <c r="CV45" s="46" t="n"/>
      <c r="CW45" s="46" t="n"/>
      <c r="CX45" s="46" t="n"/>
      <c r="CY45" s="46" t="n"/>
      <c r="CZ45" s="46" t="n"/>
      <c r="DA45" s="46" t="n"/>
    </row>
    <row r="46" ht="18" customHeight="1">
      <c r="A46" s="46" t="n"/>
      <c r="B46" s="50" t="inlineStr">
        <is>
          <t>Hedging With A Future (50% Hedge Ratio)</t>
        </is>
      </c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46" t="n"/>
      <c r="AI46" s="46" t="n"/>
      <c r="AJ46" s="46" t="n"/>
      <c r="AK46" s="46" t="n"/>
      <c r="AL46" s="46" t="n"/>
      <c r="AM46" s="46" t="n"/>
      <c r="AN46" s="46" t="n"/>
      <c r="AO46" s="46" t="n"/>
      <c r="AP46" s="46" t="n"/>
      <c r="AQ46" s="46" t="n"/>
      <c r="AR46" s="46" t="n"/>
      <c r="AS46" s="46" t="n"/>
      <c r="AT46" s="46" t="n"/>
      <c r="AU46" s="46" t="n"/>
      <c r="AV46" s="46" t="n"/>
      <c r="AW46" s="46" t="n"/>
      <c r="AX46" s="46" t="n"/>
      <c r="AY46" s="46" t="n"/>
      <c r="AZ46" s="46" t="n"/>
      <c r="BA46" s="46" t="n"/>
      <c r="BB46" s="46" t="n"/>
      <c r="BC46" s="46" t="n"/>
      <c r="BD46" s="46" t="n"/>
      <c r="BE46" s="46" t="n"/>
      <c r="BF46" s="46" t="n"/>
      <c r="BG46" s="46" t="n"/>
      <c r="BH46" s="46" t="n"/>
      <c r="BI46" s="46" t="n"/>
      <c r="BJ46" s="46" t="n"/>
      <c r="BK46" s="46" t="n"/>
      <c r="BL46" s="46" t="n"/>
      <c r="BM46" s="46" t="n"/>
      <c r="BN46" s="46" t="n"/>
      <c r="BO46" s="46" t="n"/>
      <c r="BP46" s="46" t="n"/>
      <c r="BQ46" s="46" t="n"/>
      <c r="BR46" s="46" t="n"/>
      <c r="BS46" s="46" t="n"/>
      <c r="BT46" s="46" t="n"/>
      <c r="BU46" s="46" t="n"/>
      <c r="BV46" s="46" t="n"/>
      <c r="BW46" s="46" t="n"/>
      <c r="BX46" s="46" t="n"/>
      <c r="BY46" s="46" t="n"/>
      <c r="BZ46" s="46" t="n"/>
      <c r="CA46" s="46" t="n"/>
      <c r="CB46" s="46" t="n"/>
      <c r="CC46" s="46" t="n"/>
      <c r="CD46" s="46" t="n"/>
      <c r="CE46" s="46" t="n"/>
      <c r="CF46" s="46" t="n"/>
      <c r="CG46" s="46" t="n"/>
      <c r="CH46" s="46" t="n"/>
      <c r="CI46" s="46" t="n"/>
      <c r="CJ46" s="46" t="n"/>
      <c r="CK46" s="46" t="n"/>
      <c r="CL46" s="46" t="n"/>
      <c r="CM46" s="46" t="n"/>
      <c r="CN46" s="46" t="n"/>
      <c r="CO46" s="46" t="n"/>
      <c r="CP46" s="46" t="n"/>
      <c r="CQ46" s="46" t="n"/>
      <c r="CR46" s="46" t="n"/>
      <c r="CS46" s="46" t="n"/>
      <c r="CT46" s="46" t="n"/>
      <c r="CU46" s="46" t="n"/>
      <c r="CV46" s="46" t="n"/>
      <c r="CW46" s="46" t="n"/>
      <c r="CX46" s="46" t="n"/>
      <c r="CY46" s="46" t="n"/>
      <c r="CZ46" s="46" t="n"/>
      <c r="DA46" s="46" t="n"/>
    </row>
    <row r="47">
      <c r="A47" s="46" t="n"/>
      <c r="B47" s="46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46" t="n"/>
      <c r="AI47" s="46" t="n"/>
      <c r="AJ47" s="46" t="n"/>
      <c r="AK47" s="46" t="n"/>
      <c r="AL47" s="46" t="n"/>
      <c r="AM47" s="46" t="n"/>
      <c r="AN47" s="46" t="n"/>
      <c r="AO47" s="46" t="n"/>
      <c r="AP47" s="46" t="n"/>
      <c r="AQ47" s="46" t="n"/>
      <c r="AR47" s="46" t="n"/>
      <c r="AS47" s="46" t="n"/>
      <c r="AT47" s="46" t="n"/>
      <c r="AU47" s="46" t="n"/>
      <c r="AV47" s="46" t="n"/>
      <c r="AW47" s="46" t="n"/>
      <c r="AX47" s="46" t="n"/>
      <c r="AY47" s="46" t="n"/>
      <c r="AZ47" s="46" t="n"/>
      <c r="BA47" s="46" t="n"/>
      <c r="BB47" s="46" t="n"/>
      <c r="BC47" s="46" t="n"/>
      <c r="BD47" s="46" t="n"/>
      <c r="BE47" s="46" t="n"/>
      <c r="BF47" s="46" t="n"/>
      <c r="BG47" s="46" t="n"/>
      <c r="BH47" s="46" t="n"/>
      <c r="BI47" s="46" t="n"/>
      <c r="BJ47" s="46" t="n"/>
      <c r="BK47" s="46" t="n"/>
      <c r="BL47" s="46" t="n"/>
      <c r="BM47" s="46" t="n"/>
      <c r="BN47" s="46" t="n"/>
      <c r="BO47" s="46" t="n"/>
      <c r="BP47" s="46" t="n"/>
      <c r="BQ47" s="46" t="n"/>
      <c r="BR47" s="46" t="n"/>
      <c r="BS47" s="46" t="n"/>
      <c r="BT47" s="46" t="n"/>
      <c r="BU47" s="46" t="n"/>
      <c r="BV47" s="46" t="n"/>
      <c r="BW47" s="46" t="n"/>
      <c r="BX47" s="46" t="n"/>
      <c r="BY47" s="46" t="n"/>
      <c r="BZ47" s="46" t="n"/>
      <c r="CA47" s="46" t="n"/>
      <c r="CB47" s="46" t="n"/>
      <c r="CC47" s="46" t="n"/>
      <c r="CD47" s="46" t="n"/>
      <c r="CE47" s="46" t="n"/>
      <c r="CF47" s="46" t="n"/>
      <c r="CG47" s="46" t="n"/>
      <c r="CH47" s="46" t="n"/>
      <c r="CI47" s="46" t="n"/>
      <c r="CJ47" s="46" t="n"/>
      <c r="CK47" s="46" t="n"/>
      <c r="CL47" s="46" t="n"/>
      <c r="CM47" s="46" t="n"/>
      <c r="CN47" s="46" t="n"/>
      <c r="CO47" s="46" t="n"/>
      <c r="CP47" s="46" t="n"/>
      <c r="CQ47" s="46" t="n"/>
      <c r="CR47" s="46" t="n"/>
      <c r="CS47" s="46" t="n"/>
      <c r="CT47" s="46" t="n"/>
      <c r="CU47" s="46" t="n"/>
      <c r="CV47" s="46" t="n"/>
      <c r="CW47" s="46" t="n"/>
      <c r="CX47" s="46" t="n"/>
      <c r="CY47" s="46" t="n"/>
      <c r="CZ47" s="46" t="n"/>
      <c r="DA47" s="46" t="n"/>
    </row>
    <row r="48" ht="18.5" customHeight="1" thickBot="1">
      <c r="A48" s="46" t="n"/>
      <c r="B48" s="51" t="inlineStr">
        <is>
          <t>Contract Details</t>
        </is>
      </c>
      <c r="C48" s="70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46" t="n"/>
      <c r="AI48" s="46" t="n"/>
      <c r="AJ48" s="46" t="n"/>
      <c r="AK48" s="46" t="n"/>
      <c r="AL48" s="46" t="n"/>
      <c r="AM48" s="46" t="n"/>
      <c r="AN48" s="46" t="n"/>
      <c r="AO48" s="46" t="n"/>
      <c r="AP48" s="46" t="n"/>
      <c r="AQ48" s="46" t="n"/>
      <c r="AR48" s="46" t="n"/>
      <c r="AS48" s="46" t="n"/>
      <c r="AT48" s="46" t="n"/>
      <c r="AU48" s="46" t="n"/>
      <c r="AV48" s="46" t="n"/>
      <c r="AW48" s="46" t="n"/>
      <c r="AX48" s="46" t="n"/>
      <c r="AY48" s="46" t="n"/>
      <c r="AZ48" s="46" t="n"/>
      <c r="BA48" s="46" t="n"/>
      <c r="BB48" s="46" t="n"/>
      <c r="BC48" s="46" t="n"/>
      <c r="BD48" s="46" t="n"/>
      <c r="BE48" s="46" t="n"/>
      <c r="BF48" s="46" t="n"/>
      <c r="BG48" s="46" t="n"/>
      <c r="BH48" s="46" t="n"/>
      <c r="BI48" s="46" t="n"/>
      <c r="BJ48" s="46" t="n"/>
      <c r="BK48" s="46" t="n"/>
      <c r="BL48" s="46" t="n"/>
      <c r="BM48" s="46" t="n"/>
      <c r="BN48" s="46" t="n"/>
      <c r="BO48" s="46" t="n"/>
      <c r="BP48" s="46" t="n"/>
      <c r="BQ48" s="46" t="n"/>
      <c r="BR48" s="46" t="n"/>
      <c r="BS48" s="46" t="n"/>
      <c r="BT48" s="46" t="n"/>
      <c r="BU48" s="46" t="n"/>
      <c r="BV48" s="46" t="n"/>
      <c r="BW48" s="46" t="n"/>
      <c r="BX48" s="46" t="n"/>
      <c r="BY48" s="46" t="n"/>
      <c r="BZ48" s="46" t="n"/>
      <c r="CA48" s="46" t="n"/>
      <c r="CB48" s="46" t="n"/>
      <c r="CC48" s="46" t="n"/>
      <c r="CD48" s="46" t="n"/>
      <c r="CE48" s="46" t="n"/>
      <c r="CF48" s="46" t="n"/>
      <c r="CG48" s="46" t="n"/>
      <c r="CH48" s="46" t="n"/>
      <c r="CI48" s="46" t="n"/>
      <c r="CJ48" s="46" t="n"/>
      <c r="CK48" s="46" t="n"/>
      <c r="CL48" s="46" t="n"/>
      <c r="CM48" s="46" t="n"/>
      <c r="CN48" s="46" t="n"/>
      <c r="CO48" s="46" t="n"/>
      <c r="CP48" s="46" t="n"/>
      <c r="CQ48" s="46" t="n"/>
      <c r="CR48" s="46" t="n"/>
      <c r="CS48" s="46" t="n"/>
      <c r="CT48" s="46" t="n"/>
      <c r="CU48" s="46" t="n"/>
      <c r="CV48" s="46" t="n"/>
      <c r="CW48" s="46" t="n"/>
      <c r="CX48" s="46" t="n"/>
      <c r="CY48" s="46" t="n"/>
      <c r="CZ48" s="46" t="n"/>
      <c r="DA48" s="46" t="n"/>
    </row>
    <row r="49" ht="18" customHeight="1" thickBot="1">
      <c r="A49" s="46" t="n"/>
      <c r="B49" s="71" t="inlineStr">
        <is>
          <t>USD GBP Contract size</t>
        </is>
      </c>
      <c r="C49" s="107" t="n">
        <v>500000</v>
      </c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46" t="n"/>
      <c r="AI49" s="46" t="n"/>
      <c r="AJ49" s="46" t="n"/>
      <c r="AK49" s="46" t="n"/>
      <c r="AL49" s="46" t="n"/>
      <c r="AM49" s="46" t="n"/>
      <c r="AN49" s="46" t="n"/>
      <c r="AO49" s="46" t="n"/>
      <c r="AP49" s="46" t="n"/>
      <c r="AQ49" s="46" t="n"/>
      <c r="AR49" s="46" t="n"/>
      <c r="AS49" s="46" t="n"/>
      <c r="AT49" s="46" t="n"/>
      <c r="AU49" s="46" t="n"/>
      <c r="AV49" s="46" t="n"/>
      <c r="AW49" s="46" t="n"/>
      <c r="AX49" s="46" t="n"/>
      <c r="AY49" s="46" t="n"/>
      <c r="AZ49" s="46" t="n"/>
      <c r="BA49" s="46" t="n"/>
      <c r="BB49" s="46" t="n"/>
      <c r="BC49" s="46" t="n"/>
      <c r="BD49" s="46" t="n"/>
      <c r="BE49" s="46" t="n"/>
      <c r="BF49" s="46" t="n"/>
      <c r="BG49" s="46" t="n"/>
      <c r="BH49" s="46" t="n"/>
      <c r="BI49" s="46" t="n"/>
      <c r="BJ49" s="46" t="n"/>
      <c r="BK49" s="46" t="n"/>
      <c r="BL49" s="46" t="n"/>
      <c r="BM49" s="46" t="n"/>
      <c r="BN49" s="46" t="n"/>
      <c r="BO49" s="46" t="n"/>
      <c r="BP49" s="46" t="n"/>
      <c r="BQ49" s="46" t="n"/>
      <c r="BR49" s="46" t="n"/>
      <c r="BS49" s="46" t="n"/>
      <c r="BT49" s="46" t="n"/>
      <c r="BU49" s="46" t="n"/>
      <c r="BV49" s="46" t="n"/>
      <c r="BW49" s="46" t="n"/>
      <c r="BX49" s="46" t="n"/>
      <c r="BY49" s="46" t="n"/>
      <c r="BZ49" s="46" t="n"/>
      <c r="CA49" s="46" t="n"/>
      <c r="CB49" s="46" t="n"/>
      <c r="CC49" s="46" t="n"/>
      <c r="CD49" s="46" t="n"/>
      <c r="CE49" s="46" t="n"/>
      <c r="CF49" s="46" t="n"/>
      <c r="CG49" s="46" t="n"/>
      <c r="CH49" s="46" t="n"/>
      <c r="CI49" s="46" t="n"/>
      <c r="CJ49" s="46" t="n"/>
      <c r="CK49" s="46" t="n"/>
      <c r="CL49" s="46" t="n"/>
      <c r="CM49" s="46" t="n"/>
      <c r="CN49" s="46" t="n"/>
      <c r="CO49" s="46" t="n"/>
      <c r="CP49" s="46" t="n"/>
      <c r="CQ49" s="46" t="n"/>
      <c r="CR49" s="46" t="n"/>
      <c r="CS49" s="46" t="n"/>
      <c r="CT49" s="46" t="n"/>
      <c r="CU49" s="46" t="n"/>
      <c r="CV49" s="46" t="n"/>
      <c r="CW49" s="46" t="n"/>
      <c r="CX49" s="46" t="n"/>
      <c r="CY49" s="46" t="n"/>
      <c r="CZ49" s="46" t="n"/>
      <c r="DA49" s="46" t="n"/>
    </row>
    <row r="50" ht="18" customHeight="1" thickBot="1">
      <c r="A50" s="46" t="n"/>
      <c r="B50" s="71" t="inlineStr">
        <is>
          <t>Hedging Ratio</t>
        </is>
      </c>
      <c r="C50" s="73" t="n">
        <v>0.5</v>
      </c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46" t="n"/>
      <c r="AI50" s="46" t="n"/>
      <c r="AJ50" s="46" t="n"/>
      <c r="AK50" s="46" t="n"/>
      <c r="AL50" s="46" t="n"/>
      <c r="AM50" s="46" t="n"/>
      <c r="AN50" s="46" t="n"/>
      <c r="AO50" s="46" t="n"/>
      <c r="AP50" s="46" t="n"/>
      <c r="AQ50" s="46" t="n"/>
      <c r="AR50" s="46" t="n"/>
      <c r="AS50" s="46" t="n"/>
      <c r="AT50" s="46" t="n"/>
      <c r="AU50" s="46" t="n"/>
      <c r="AV50" s="46" t="n"/>
      <c r="AW50" s="46" t="n"/>
      <c r="AX50" s="46" t="n"/>
      <c r="AY50" s="46" t="n"/>
      <c r="AZ50" s="46" t="n"/>
      <c r="BA50" s="46" t="n"/>
      <c r="BB50" s="46" t="n"/>
      <c r="BC50" s="46" t="n"/>
      <c r="BD50" s="46" t="n"/>
      <c r="BE50" s="46" t="n"/>
      <c r="BF50" s="46" t="n"/>
      <c r="BG50" s="46" t="n"/>
      <c r="BH50" s="46" t="n"/>
      <c r="BI50" s="46" t="n"/>
      <c r="BJ50" s="46" t="n"/>
      <c r="BK50" s="46" t="n"/>
      <c r="BL50" s="46" t="n"/>
      <c r="BM50" s="46" t="n"/>
      <c r="BN50" s="46" t="n"/>
      <c r="BO50" s="46" t="n"/>
      <c r="BP50" s="46" t="n"/>
      <c r="BQ50" s="46" t="n"/>
      <c r="BR50" s="46" t="n"/>
      <c r="BS50" s="46" t="n"/>
      <c r="BT50" s="46" t="n"/>
      <c r="BU50" s="46" t="n"/>
      <c r="BV50" s="46" t="n"/>
      <c r="BW50" s="46" t="n"/>
      <c r="BX50" s="46" t="n"/>
      <c r="BY50" s="46" t="n"/>
      <c r="BZ50" s="46" t="n"/>
      <c r="CA50" s="46" t="n"/>
      <c r="CB50" s="46" t="n"/>
      <c r="CC50" s="46" t="n"/>
      <c r="CD50" s="46" t="n"/>
      <c r="CE50" s="46" t="n"/>
      <c r="CF50" s="46" t="n"/>
      <c r="CG50" s="46" t="n"/>
      <c r="CH50" s="46" t="n"/>
      <c r="CI50" s="46" t="n"/>
      <c r="CJ50" s="46" t="n"/>
      <c r="CK50" s="46" t="n"/>
      <c r="CL50" s="46" t="n"/>
      <c r="CM50" s="46" t="n"/>
      <c r="CN50" s="46" t="n"/>
      <c r="CO50" s="46" t="n"/>
      <c r="CP50" s="46" t="n"/>
      <c r="CQ50" s="46" t="n"/>
      <c r="CR50" s="46" t="n"/>
      <c r="CS50" s="46" t="n"/>
      <c r="CT50" s="46" t="n"/>
      <c r="CU50" s="46" t="n"/>
      <c r="CV50" s="46" t="n"/>
      <c r="CW50" s="46" t="n"/>
      <c r="CX50" s="46" t="n"/>
      <c r="CY50" s="46" t="n"/>
      <c r="CZ50" s="46" t="n"/>
      <c r="DA50" s="46" t="n"/>
    </row>
    <row r="51" ht="18.5" customHeight="1" thickBot="1">
      <c r="A51" s="46" t="n"/>
      <c r="B51" s="71" t="inlineStr">
        <is>
          <t>No contracts to hedge</t>
        </is>
      </c>
      <c r="C51" s="108">
        <f>C22/C49*C50</f>
        <v/>
      </c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46" t="n"/>
      <c r="AI51" s="46" t="n"/>
      <c r="AJ51" s="46" t="n"/>
      <c r="AK51" s="46" t="n"/>
      <c r="AL51" s="46" t="n"/>
      <c r="AM51" s="46" t="n"/>
      <c r="AN51" s="46" t="n"/>
      <c r="AO51" s="46" t="n"/>
      <c r="AP51" s="46" t="n"/>
      <c r="AQ51" s="46" t="n"/>
      <c r="AR51" s="46" t="n"/>
      <c r="AS51" s="46" t="n"/>
      <c r="AT51" s="46" t="n"/>
      <c r="AU51" s="46" t="n"/>
      <c r="AV51" s="46" t="n"/>
      <c r="AW51" s="46" t="n"/>
      <c r="AX51" s="46" t="n"/>
      <c r="AY51" s="46" t="n"/>
      <c r="AZ51" s="46" t="n"/>
      <c r="BA51" s="46" t="n"/>
      <c r="BB51" s="46" t="n"/>
      <c r="BC51" s="46" t="n"/>
      <c r="BD51" s="46" t="n"/>
      <c r="BE51" s="46" t="n"/>
      <c r="BF51" s="46" t="n"/>
      <c r="BG51" s="46" t="n"/>
      <c r="BH51" s="46" t="n"/>
      <c r="BI51" s="46" t="n"/>
      <c r="BJ51" s="46" t="n"/>
      <c r="BK51" s="46" t="n"/>
      <c r="BL51" s="46" t="n"/>
      <c r="BM51" s="46" t="n"/>
      <c r="BN51" s="46" t="n"/>
      <c r="BO51" s="46" t="n"/>
      <c r="BP51" s="46" t="n"/>
      <c r="BQ51" s="46" t="n"/>
      <c r="BR51" s="46" t="n"/>
      <c r="BS51" s="46" t="n"/>
      <c r="BT51" s="46" t="n"/>
      <c r="BU51" s="46" t="n"/>
      <c r="BV51" s="46" t="n"/>
      <c r="BW51" s="46" t="n"/>
      <c r="BX51" s="46" t="n"/>
      <c r="BY51" s="46" t="n"/>
      <c r="BZ51" s="46" t="n"/>
      <c r="CA51" s="46" t="n"/>
      <c r="CB51" s="46" t="n"/>
      <c r="CC51" s="46" t="n"/>
      <c r="CD51" s="46" t="n"/>
      <c r="CE51" s="46" t="n"/>
      <c r="CF51" s="46" t="n"/>
      <c r="CG51" s="46" t="n"/>
      <c r="CH51" s="46" t="n"/>
      <c r="CI51" s="46" t="n"/>
      <c r="CJ51" s="46" t="n"/>
      <c r="CK51" s="46" t="n"/>
      <c r="CL51" s="46" t="n"/>
      <c r="CM51" s="46" t="n"/>
      <c r="CN51" s="46" t="n"/>
      <c r="CO51" s="46" t="n"/>
      <c r="CP51" s="46" t="n"/>
      <c r="CQ51" s="46" t="n"/>
      <c r="CR51" s="46" t="n"/>
      <c r="CS51" s="46" t="n"/>
      <c r="CT51" s="46" t="n"/>
      <c r="CU51" s="46" t="n"/>
      <c r="CV51" s="46" t="n"/>
      <c r="CW51" s="46" t="n"/>
      <c r="CX51" s="46" t="n"/>
      <c r="CY51" s="46" t="n"/>
      <c r="CZ51" s="46" t="n"/>
      <c r="DA51" s="46" t="n"/>
    </row>
    <row r="52" ht="18" customHeight="1" thickBot="1">
      <c r="A52" s="46" t="n"/>
      <c r="B52" s="71" t="inlineStr">
        <is>
          <t xml:space="preserve">Long (+1) / Short (-1) </t>
        </is>
      </c>
      <c r="C52" s="75" t="n">
        <v>-1</v>
      </c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46" t="n"/>
      <c r="AI52" s="46" t="n"/>
      <c r="AJ52" s="46" t="n"/>
      <c r="AK52" s="46" t="n"/>
      <c r="AL52" s="46" t="n"/>
      <c r="AM52" s="46" t="n"/>
      <c r="AN52" s="46" t="n"/>
      <c r="AO52" s="46" t="n"/>
      <c r="AP52" s="46" t="n"/>
      <c r="AQ52" s="46" t="n"/>
      <c r="AR52" s="46" t="n"/>
      <c r="AS52" s="46" t="n"/>
      <c r="AT52" s="46" t="n"/>
      <c r="AU52" s="46" t="n"/>
      <c r="AV52" s="46" t="n"/>
      <c r="AW52" s="46" t="n"/>
      <c r="AX52" s="46" t="n"/>
      <c r="AY52" s="46" t="n"/>
      <c r="AZ52" s="46" t="n"/>
      <c r="BA52" s="46" t="n"/>
      <c r="BB52" s="46" t="n"/>
      <c r="BC52" s="46" t="n"/>
      <c r="BD52" s="46" t="n"/>
      <c r="BE52" s="46" t="n"/>
      <c r="BF52" s="46" t="n"/>
      <c r="BG52" s="46" t="n"/>
      <c r="BH52" s="46" t="n"/>
      <c r="BI52" s="46" t="n"/>
      <c r="BJ52" s="46" t="n"/>
      <c r="BK52" s="46" t="n"/>
      <c r="BL52" s="46" t="n"/>
      <c r="BM52" s="46" t="n"/>
      <c r="BN52" s="46" t="n"/>
      <c r="BO52" s="46" t="n"/>
      <c r="BP52" s="46" t="n"/>
      <c r="BQ52" s="46" t="n"/>
      <c r="BR52" s="46" t="n"/>
      <c r="BS52" s="46" t="n"/>
      <c r="BT52" s="46" t="n"/>
      <c r="BU52" s="46" t="n"/>
      <c r="BV52" s="46" t="n"/>
      <c r="BW52" s="46" t="n"/>
      <c r="BX52" s="46" t="n"/>
      <c r="BY52" s="46" t="n"/>
      <c r="BZ52" s="46" t="n"/>
      <c r="CA52" s="46" t="n"/>
      <c r="CB52" s="46" t="n"/>
      <c r="CC52" s="46" t="n"/>
      <c r="CD52" s="46" t="n"/>
      <c r="CE52" s="46" t="n"/>
      <c r="CF52" s="46" t="n"/>
      <c r="CG52" s="46" t="n"/>
      <c r="CH52" s="46" t="n"/>
      <c r="CI52" s="46" t="n"/>
      <c r="CJ52" s="46" t="n"/>
      <c r="CK52" s="46" t="n"/>
      <c r="CL52" s="46" t="n"/>
      <c r="CM52" s="46" t="n"/>
      <c r="CN52" s="46" t="n"/>
      <c r="CO52" s="46" t="n"/>
      <c r="CP52" s="46" t="n"/>
      <c r="CQ52" s="46" t="n"/>
      <c r="CR52" s="46" t="n"/>
      <c r="CS52" s="46" t="n"/>
      <c r="CT52" s="46" t="n"/>
      <c r="CU52" s="46" t="n"/>
      <c r="CV52" s="46" t="n"/>
      <c r="CW52" s="46" t="n"/>
      <c r="CX52" s="46" t="n"/>
      <c r="CY52" s="46" t="n"/>
      <c r="CZ52" s="46" t="n"/>
      <c r="DA52" s="46" t="n"/>
    </row>
    <row r="53">
      <c r="A53" s="46" t="n"/>
      <c r="B53" s="62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46" t="n"/>
      <c r="AI53" s="46" t="n"/>
      <c r="AJ53" s="46" t="n"/>
      <c r="AK53" s="46" t="n"/>
      <c r="AL53" s="46" t="n"/>
      <c r="AM53" s="46" t="n"/>
      <c r="AN53" s="46" t="n"/>
      <c r="AO53" s="46" t="n"/>
      <c r="AP53" s="46" t="n"/>
      <c r="AQ53" s="46" t="n"/>
      <c r="AR53" s="46" t="n"/>
      <c r="AS53" s="46" t="n"/>
      <c r="AT53" s="46" t="n"/>
      <c r="AU53" s="46" t="n"/>
      <c r="AV53" s="46" t="n"/>
      <c r="AW53" s="46" t="n"/>
      <c r="AX53" s="46" t="n"/>
      <c r="AY53" s="46" t="n"/>
      <c r="AZ53" s="46" t="n"/>
      <c r="BA53" s="46" t="n"/>
      <c r="BB53" s="46" t="n"/>
      <c r="BC53" s="46" t="n"/>
      <c r="BD53" s="46" t="n"/>
      <c r="BE53" s="46" t="n"/>
      <c r="BF53" s="46" t="n"/>
      <c r="BG53" s="46" t="n"/>
      <c r="BH53" s="46" t="n"/>
      <c r="BI53" s="46" t="n"/>
      <c r="BJ53" s="46" t="n"/>
      <c r="BK53" s="46" t="n"/>
      <c r="BL53" s="46" t="n"/>
      <c r="BM53" s="46" t="n"/>
      <c r="BN53" s="46" t="n"/>
      <c r="BO53" s="46" t="n"/>
      <c r="BP53" s="46" t="n"/>
      <c r="BQ53" s="46" t="n"/>
      <c r="BR53" s="46" t="n"/>
      <c r="BS53" s="46" t="n"/>
      <c r="BT53" s="46" t="n"/>
      <c r="BU53" s="46" t="n"/>
      <c r="BV53" s="46" t="n"/>
      <c r="BW53" s="46" t="n"/>
      <c r="BX53" s="46" t="n"/>
      <c r="BY53" s="46" t="n"/>
      <c r="BZ53" s="46" t="n"/>
      <c r="CA53" s="46" t="n"/>
      <c r="CB53" s="46" t="n"/>
      <c r="CC53" s="46" t="n"/>
      <c r="CD53" s="46" t="n"/>
      <c r="CE53" s="46" t="n"/>
      <c r="CF53" s="46" t="n"/>
      <c r="CG53" s="46" t="n"/>
      <c r="CH53" s="46" t="n"/>
      <c r="CI53" s="46" t="n"/>
      <c r="CJ53" s="46" t="n"/>
      <c r="CK53" s="46" t="n"/>
      <c r="CL53" s="46" t="n"/>
      <c r="CM53" s="46" t="n"/>
      <c r="CN53" s="46" t="n"/>
      <c r="CO53" s="46" t="n"/>
      <c r="CP53" s="46" t="n"/>
      <c r="CQ53" s="46" t="n"/>
      <c r="CR53" s="46" t="n"/>
      <c r="CS53" s="46" t="n"/>
      <c r="CT53" s="46" t="n"/>
      <c r="CU53" s="46" t="n"/>
      <c r="CV53" s="46" t="n"/>
      <c r="CW53" s="46" t="n"/>
      <c r="CX53" s="46" t="n"/>
      <c r="CY53" s="46" t="n"/>
      <c r="CZ53" s="46" t="n"/>
      <c r="DA53" s="46" t="n"/>
    </row>
    <row r="54" ht="18" customHeight="1">
      <c r="A54" s="46" t="n"/>
      <c r="B54" s="51" t="inlineStr">
        <is>
          <t>Hedged Value of Portfolio (USD)</t>
        </is>
      </c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  <c r="AG54" s="46" t="n"/>
      <c r="AH54" s="46" t="n"/>
      <c r="AI54" s="46" t="n"/>
      <c r="AJ54" s="46" t="n"/>
      <c r="AK54" s="46" t="n"/>
      <c r="AL54" s="46" t="n"/>
      <c r="AM54" s="46" t="n"/>
      <c r="AN54" s="46" t="n"/>
      <c r="AO54" s="46" t="n"/>
      <c r="AP54" s="46" t="n"/>
      <c r="AQ54" s="46" t="n"/>
      <c r="AR54" s="46" t="n"/>
      <c r="AS54" s="46" t="n"/>
      <c r="AT54" s="46" t="n"/>
      <c r="AU54" s="46" t="n"/>
      <c r="AV54" s="46" t="n"/>
      <c r="AW54" s="46" t="n"/>
      <c r="AX54" s="46" t="n"/>
      <c r="AY54" s="46" t="n"/>
      <c r="AZ54" s="46" t="n"/>
      <c r="BA54" s="46" t="n"/>
      <c r="BB54" s="46" t="n"/>
      <c r="BC54" s="46" t="n"/>
      <c r="BD54" s="46" t="n"/>
      <c r="BE54" s="46" t="n"/>
      <c r="BF54" s="46" t="n"/>
      <c r="BG54" s="46" t="n"/>
      <c r="BH54" s="46" t="n"/>
      <c r="BI54" s="46" t="n"/>
      <c r="BJ54" s="46" t="n"/>
      <c r="BK54" s="46" t="n"/>
      <c r="BL54" s="46" t="n"/>
      <c r="BM54" s="46" t="n"/>
      <c r="BN54" s="46" t="n"/>
      <c r="BO54" s="46" t="n"/>
      <c r="BP54" s="46" t="n"/>
      <c r="BQ54" s="46" t="n"/>
      <c r="BR54" s="46" t="n"/>
      <c r="BS54" s="46" t="n"/>
      <c r="BT54" s="46" t="n"/>
      <c r="BU54" s="46" t="n"/>
      <c r="BV54" s="46" t="n"/>
      <c r="BW54" s="46" t="n"/>
      <c r="BX54" s="46" t="n"/>
      <c r="BY54" s="46" t="n"/>
      <c r="BZ54" s="46" t="n"/>
      <c r="CA54" s="46" t="n"/>
      <c r="CB54" s="46" t="n"/>
      <c r="CC54" s="46" t="n"/>
      <c r="CD54" s="46" t="n"/>
      <c r="CE54" s="46" t="n"/>
      <c r="CF54" s="46" t="n"/>
      <c r="CG54" s="46" t="n"/>
      <c r="CH54" s="46" t="n"/>
      <c r="CI54" s="46" t="n"/>
      <c r="CJ54" s="46" t="n"/>
      <c r="CK54" s="46" t="n"/>
      <c r="CL54" s="46" t="n"/>
      <c r="CM54" s="46" t="n"/>
      <c r="CN54" s="46" t="n"/>
      <c r="CO54" s="46" t="n"/>
      <c r="CP54" s="46" t="n"/>
      <c r="CQ54" s="46" t="n"/>
      <c r="CR54" s="46" t="n"/>
      <c r="CS54" s="46" t="n"/>
      <c r="CT54" s="46" t="n"/>
      <c r="CU54" s="46" t="n"/>
      <c r="CV54" s="46" t="n"/>
      <c r="CW54" s="46" t="n"/>
      <c r="CX54" s="46" t="n"/>
      <c r="CY54" s="46" t="n"/>
      <c r="CZ54" s="46" t="n"/>
      <c r="DA54" s="46" t="n"/>
    </row>
    <row r="55" ht="18" customHeight="1">
      <c r="A55" s="46" t="n"/>
      <c r="B55" s="56" t="inlineStr">
        <is>
          <t>Day</t>
        </is>
      </c>
      <c r="C55" s="76" t="n">
        <v>0</v>
      </c>
      <c r="D55" s="76" t="n">
        <v>1</v>
      </c>
      <c r="E55" s="76" t="n">
        <v>2</v>
      </c>
      <c r="F55" s="76" t="n">
        <v>3</v>
      </c>
      <c r="G55" s="76" t="n">
        <v>4</v>
      </c>
      <c r="H55" s="76" t="n">
        <v>5</v>
      </c>
      <c r="I55" s="76" t="n">
        <v>6</v>
      </c>
      <c r="J55" s="76" t="n">
        <v>7</v>
      </c>
      <c r="K55" s="76" t="n">
        <v>8</v>
      </c>
      <c r="L55" s="76" t="n">
        <v>9</v>
      </c>
      <c r="M55" s="76" t="n">
        <v>10</v>
      </c>
      <c r="N55" s="76" t="n">
        <v>11</v>
      </c>
      <c r="O55" s="76" t="n">
        <v>12</v>
      </c>
      <c r="P55" s="76" t="n">
        <v>13</v>
      </c>
      <c r="Q55" s="76" t="n">
        <v>14</v>
      </c>
      <c r="R55" s="76" t="n">
        <v>15</v>
      </c>
      <c r="S55" s="76" t="n">
        <v>16</v>
      </c>
      <c r="T55" s="76" t="n">
        <v>17</v>
      </c>
      <c r="U55" s="76" t="n">
        <v>18</v>
      </c>
      <c r="V55" s="76" t="n">
        <v>19</v>
      </c>
      <c r="W55" s="76" t="n">
        <v>20</v>
      </c>
      <c r="X55" s="76" t="n">
        <v>21</v>
      </c>
      <c r="Y55" s="76" t="n">
        <v>22</v>
      </c>
      <c r="Z55" s="76" t="n">
        <v>23</v>
      </c>
      <c r="AA55" s="76" t="n">
        <v>24</v>
      </c>
      <c r="AB55" s="76" t="n">
        <v>25</v>
      </c>
      <c r="AC55" s="76" t="n">
        <v>26</v>
      </c>
      <c r="AD55" s="76" t="n">
        <v>27</v>
      </c>
      <c r="AE55" s="76" t="n">
        <v>28</v>
      </c>
      <c r="AF55" s="76" t="n">
        <v>29</v>
      </c>
      <c r="AG55" s="76" t="n">
        <v>30</v>
      </c>
      <c r="AH55" s="76" t="n">
        <v>31</v>
      </c>
      <c r="AI55" s="76" t="n">
        <v>32</v>
      </c>
      <c r="AJ55" s="76" t="n">
        <v>33</v>
      </c>
      <c r="AK55" s="76" t="n">
        <v>34</v>
      </c>
      <c r="AL55" s="76" t="n">
        <v>35</v>
      </c>
      <c r="AM55" s="76" t="n">
        <v>36</v>
      </c>
      <c r="AN55" s="76" t="n">
        <v>37</v>
      </c>
      <c r="AO55" s="76" t="n">
        <v>38</v>
      </c>
      <c r="AP55" s="76" t="n">
        <v>39</v>
      </c>
      <c r="AQ55" s="76" t="n">
        <v>40</v>
      </c>
      <c r="AR55" s="76" t="n">
        <v>41</v>
      </c>
      <c r="AS55" s="76" t="n">
        <v>42</v>
      </c>
      <c r="AT55" s="76" t="n">
        <v>43</v>
      </c>
      <c r="AU55" s="76" t="n">
        <v>44</v>
      </c>
      <c r="AV55" s="76" t="n">
        <v>45</v>
      </c>
      <c r="AW55" s="76" t="n">
        <v>46</v>
      </c>
      <c r="AX55" s="76" t="n">
        <v>47</v>
      </c>
      <c r="AY55" s="76" t="n">
        <v>48</v>
      </c>
      <c r="AZ55" s="76" t="n">
        <v>49</v>
      </c>
      <c r="BA55" s="76" t="n">
        <v>50</v>
      </c>
      <c r="BB55" s="76" t="n">
        <v>51</v>
      </c>
      <c r="BC55" s="76" t="n">
        <v>52</v>
      </c>
      <c r="BD55" s="76" t="n">
        <v>53</v>
      </c>
      <c r="BE55" s="76" t="n">
        <v>54</v>
      </c>
      <c r="BF55" s="76" t="n">
        <v>55</v>
      </c>
      <c r="BG55" s="76" t="n">
        <v>56</v>
      </c>
      <c r="BH55" s="76" t="n">
        <v>57</v>
      </c>
      <c r="BI55" s="76" t="n">
        <v>58</v>
      </c>
      <c r="BJ55" s="76" t="n">
        <v>59</v>
      </c>
      <c r="BK55" s="76" t="n">
        <v>60</v>
      </c>
      <c r="BL55" s="76" t="n">
        <v>61</v>
      </c>
      <c r="BM55" s="76" t="n">
        <v>62</v>
      </c>
      <c r="BN55" s="76" t="n">
        <v>63</v>
      </c>
      <c r="BO55" s="76" t="n">
        <v>64</v>
      </c>
      <c r="BP55" s="76" t="n">
        <v>65</v>
      </c>
      <c r="BQ55" s="76" t="n">
        <v>66</v>
      </c>
      <c r="BR55" s="76" t="n">
        <v>67</v>
      </c>
      <c r="BS55" s="76" t="n">
        <v>68</v>
      </c>
      <c r="BT55" s="76" t="n">
        <v>69</v>
      </c>
      <c r="BU55" s="76" t="n">
        <v>70</v>
      </c>
      <c r="BV55" s="76" t="n">
        <v>71</v>
      </c>
      <c r="BW55" s="76" t="n">
        <v>72</v>
      </c>
      <c r="BX55" s="76" t="n">
        <v>73</v>
      </c>
      <c r="BY55" s="76" t="n">
        <v>74</v>
      </c>
      <c r="BZ55" s="76" t="n">
        <v>75</v>
      </c>
      <c r="CA55" s="76" t="n">
        <v>76</v>
      </c>
      <c r="CB55" s="76" t="n">
        <v>77</v>
      </c>
      <c r="CC55" s="76" t="n">
        <v>78</v>
      </c>
      <c r="CD55" s="76" t="n">
        <v>79</v>
      </c>
      <c r="CE55" s="76" t="n">
        <v>80</v>
      </c>
      <c r="CF55" s="76" t="n">
        <v>81</v>
      </c>
      <c r="CG55" s="76" t="n">
        <v>82</v>
      </c>
      <c r="CH55" s="76" t="n">
        <v>83</v>
      </c>
      <c r="CI55" s="76" t="n">
        <v>84</v>
      </c>
      <c r="CJ55" s="76" t="n">
        <v>85</v>
      </c>
      <c r="CK55" s="76" t="n">
        <v>86</v>
      </c>
      <c r="CL55" s="76" t="n">
        <v>87</v>
      </c>
      <c r="CM55" s="76" t="n">
        <v>88</v>
      </c>
      <c r="CN55" s="76" t="n">
        <v>89</v>
      </c>
      <c r="CO55" s="76" t="n">
        <v>90</v>
      </c>
      <c r="CP55" s="46" t="n"/>
      <c r="CQ55" s="46" t="n"/>
      <c r="CR55" s="46" t="n"/>
      <c r="CS55" s="46" t="n"/>
      <c r="CT55" s="46" t="n"/>
      <c r="CU55" s="46" t="n"/>
      <c r="CV55" s="46" t="n"/>
      <c r="CW55" s="46" t="n"/>
      <c r="CX55" s="46" t="n"/>
      <c r="CY55" s="46" t="n"/>
      <c r="CZ55" s="46" t="n"/>
      <c r="DA55" s="46" t="n"/>
    </row>
    <row r="56" ht="18" customHeight="1">
      <c r="A56" s="46" t="n"/>
      <c r="B56" s="52" t="inlineStr">
        <is>
          <t>Fair Value of Future (Day 90 Delivery)</t>
        </is>
      </c>
      <c r="C56" s="109">
        <f>C13*(1+$C$4*($CO$55-C$55)/360)/(1+$C$3*($CO$55-C$55)/360)</f>
        <v/>
      </c>
      <c r="D56" s="109">
        <f>D13*(1+$C$4*($CO$55-D$55)/360)/(1+$C$3*($CO$55-D$55)/360)</f>
        <v/>
      </c>
      <c r="E56" s="109">
        <f>E13*(1+$C$4*($CO$55-E$55)/360)/(1+$C$3*($CO$55-E$55)/360)</f>
        <v/>
      </c>
      <c r="F56" s="109">
        <f>F13*(1+$C$4*($CO$55-F$55)/360)/(1+$C$3*($CO$55-F$55)/360)</f>
        <v/>
      </c>
      <c r="G56" s="109">
        <f>G13*(1+$C$4*($CO$55-G$55)/360)/(1+$C$3*($CO$55-G$55)/360)</f>
        <v/>
      </c>
      <c r="H56" s="109">
        <f>H13*(1+$C$4*($CO$55-H$55)/360)/(1+$C$3*($CO$55-H$55)/360)</f>
        <v/>
      </c>
      <c r="I56" s="109">
        <f>I13*(1+$C$4*($CO$55-I$55)/360)/(1+$C$3*($CO$55-I$55)/360)</f>
        <v/>
      </c>
      <c r="J56" s="109">
        <f>J13*(1+$C$4*($CO$55-J$55)/360)/(1+$C$3*($CO$55-J$55)/360)</f>
        <v/>
      </c>
      <c r="K56" s="109">
        <f>K13*(1+$C$4*($CO$55-K$55)/360)/(1+$C$3*($CO$55-K$55)/360)</f>
        <v/>
      </c>
      <c r="L56" s="109">
        <f>L13*(1+$C$4*($CO$55-L$55)/360)/(1+$C$3*($CO$55-L$55)/360)</f>
        <v/>
      </c>
      <c r="M56" s="109">
        <f>M13*(1+$C$4*($CO$55-M$55)/360)/(1+$C$3*($CO$55-M$55)/360)</f>
        <v/>
      </c>
      <c r="N56" s="109">
        <f>N13*(1+$C$4*($CO$55-N$55)/360)/(1+$C$3*($CO$55-N$55)/360)</f>
        <v/>
      </c>
      <c r="O56" s="109">
        <f>O13*(1+$C$4*($CO$55-O$55)/360)/(1+$C$3*($CO$55-O$55)/360)</f>
        <v/>
      </c>
      <c r="P56" s="109">
        <f>P13*(1+$C$4*($CO$55-P$55)/360)/(1+$C$3*($CO$55-P$55)/360)</f>
        <v/>
      </c>
      <c r="Q56" s="109">
        <f>Q13*(1+$C$4*($CO$55-Q$55)/360)/(1+$C$3*($CO$55-Q$55)/360)</f>
        <v/>
      </c>
      <c r="R56" s="109">
        <f>R13*(1+$C$4*($CO$55-R$55)/360)/(1+$C$3*($CO$55-R$55)/360)</f>
        <v/>
      </c>
      <c r="S56" s="109">
        <f>S13*(1+$C$4*($CO$55-S$55)/360)/(1+$C$3*($CO$55-S$55)/360)</f>
        <v/>
      </c>
      <c r="T56" s="109">
        <f>T13*(1+$C$4*($CO$55-T$55)/360)/(1+$C$3*($CO$55-T$55)/360)</f>
        <v/>
      </c>
      <c r="U56" s="109">
        <f>U13*(1+$C$4*($CO$55-U$55)/360)/(1+$C$3*($CO$55-U$55)/360)</f>
        <v/>
      </c>
      <c r="V56" s="109">
        <f>V13*(1+$C$4*($CO$55-V$55)/360)/(1+$C$3*($CO$55-V$55)/360)</f>
        <v/>
      </c>
      <c r="W56" s="109">
        <f>W13*(1+$C$4*($CO$55-W$55)/360)/(1+$C$3*($CO$55-W$55)/360)</f>
        <v/>
      </c>
      <c r="X56" s="109">
        <f>X13*(1+$C$4*($CO$55-X$55)/360)/(1+$C$3*($CO$55-X$55)/360)</f>
        <v/>
      </c>
      <c r="Y56" s="109">
        <f>Y13*(1+$C$4*($CO$55-Y$55)/360)/(1+$C$3*($CO$55-Y$55)/360)</f>
        <v/>
      </c>
      <c r="Z56" s="109">
        <f>Z13*(1+$C$4*($CO$55-Z$55)/360)/(1+$C$3*($CO$55-Z$55)/360)</f>
        <v/>
      </c>
      <c r="AA56" s="109">
        <f>AA13*(1+$C$4*($CO$55-AA$55)/360)/(1+$C$3*($CO$55-AA$55)/360)</f>
        <v/>
      </c>
      <c r="AB56" s="109">
        <f>AB13*(1+$C$4*($CO$55-AB$55)/360)/(1+$C$3*($CO$55-AB$55)/360)</f>
        <v/>
      </c>
      <c r="AC56" s="109">
        <f>AC13*(1+$C$4*($CO$55-AC$55)/360)/(1+$C$3*($CO$55-AC$55)/360)</f>
        <v/>
      </c>
      <c r="AD56" s="109">
        <f>AD13*(1+$C$4*($CO$55-AD$55)/360)/(1+$C$3*($CO$55-AD$55)/360)</f>
        <v/>
      </c>
      <c r="AE56" s="109">
        <f>AE13*(1+$C$4*($CO$55-AE$55)/360)/(1+$C$3*($CO$55-AE$55)/360)</f>
        <v/>
      </c>
      <c r="AF56" s="109">
        <f>AF13*(1+$C$4*($CO$55-AF$55)/360)/(1+$C$3*($CO$55-AF$55)/360)</f>
        <v/>
      </c>
      <c r="AG56" s="109">
        <f>AG13*(1+$C$4*($CO$55-AG$55)/360)/(1+$C$3*($CO$55-AG$55)/360)</f>
        <v/>
      </c>
      <c r="AH56" s="109">
        <f>AH13*(1+$C$4*($CO$55-AH$55)/360)/(1+$C$3*($CO$55-AH$55)/360)</f>
        <v/>
      </c>
      <c r="AI56" s="109">
        <f>AI13*(1+$C$4*($CO$55-AI$55)/360)/(1+$C$3*($CO$55-AI$55)/360)</f>
        <v/>
      </c>
      <c r="AJ56" s="109">
        <f>AJ13*(1+$C$4*($CO$55-AJ$55)/360)/(1+$C$3*($CO$55-AJ$55)/360)</f>
        <v/>
      </c>
      <c r="AK56" s="109">
        <f>AK13*(1+$C$4*($CO$55-AK$55)/360)/(1+$C$3*($CO$55-AK$55)/360)</f>
        <v/>
      </c>
      <c r="AL56" s="109">
        <f>AL13*(1+$C$4*($CO$55-AL$55)/360)/(1+$C$3*($CO$55-AL$55)/360)</f>
        <v/>
      </c>
      <c r="AM56" s="109">
        <f>AM13*(1+$C$4*($CO$55-AM$55)/360)/(1+$C$3*($CO$55-AM$55)/360)</f>
        <v/>
      </c>
      <c r="AN56" s="109">
        <f>AN13*(1+$C$4*($CO$55-AN$55)/360)/(1+$C$3*($CO$55-AN$55)/360)</f>
        <v/>
      </c>
      <c r="AO56" s="109">
        <f>AO13*(1+$C$4*($CO$55-AO$55)/360)/(1+$C$3*($CO$55-AO$55)/360)</f>
        <v/>
      </c>
      <c r="AP56" s="109">
        <f>AP13*(1+$C$4*($CO$55-AP$55)/360)/(1+$C$3*($CO$55-AP$55)/360)</f>
        <v/>
      </c>
      <c r="AQ56" s="109">
        <f>AQ13*(1+$C$4*($CO$55-AQ$55)/360)/(1+$C$3*($CO$55-AQ$55)/360)</f>
        <v/>
      </c>
      <c r="AR56" s="109">
        <f>AR13*(1+$C$4*($CO$55-AR$55)/360)/(1+$C$3*($CO$55-AR$55)/360)</f>
        <v/>
      </c>
      <c r="AS56" s="109">
        <f>AS13*(1+$C$4*($CO$55-AS$55)/360)/(1+$C$3*($CO$55-AS$55)/360)</f>
        <v/>
      </c>
      <c r="AT56" s="109">
        <f>AT13*(1+$C$4*($CO$55-AT$55)/360)/(1+$C$3*($CO$55-AT$55)/360)</f>
        <v/>
      </c>
      <c r="AU56" s="109">
        <f>AU13*(1+$C$4*($CO$55-AU$55)/360)/(1+$C$3*($CO$55-AU$55)/360)</f>
        <v/>
      </c>
      <c r="AV56" s="109">
        <f>AV13*(1+$C$4*($CO$55-AV$55)/360)/(1+$C$3*($CO$55-AV$55)/360)</f>
        <v/>
      </c>
      <c r="AW56" s="109">
        <f>AW13*(1+$C$4*($CO$55-AW$55)/360)/(1+$C$3*($CO$55-AW$55)/360)</f>
        <v/>
      </c>
      <c r="AX56" s="109">
        <f>AX13*(1+$C$4*($CO$55-AX$55)/360)/(1+$C$3*($CO$55-AX$55)/360)</f>
        <v/>
      </c>
      <c r="AY56" s="109">
        <f>AY13*(1+$C$4*($CO$55-AY$55)/360)/(1+$C$3*($CO$55-AY$55)/360)</f>
        <v/>
      </c>
      <c r="AZ56" s="109">
        <f>AZ13*(1+$C$4*($CO$55-AZ$55)/360)/(1+$C$3*($CO$55-AZ$55)/360)</f>
        <v/>
      </c>
      <c r="BA56" s="109">
        <f>BA13*(1+$C$4*($CO$55-BA$55)/360)/(1+$C$3*($CO$55-BA$55)/360)</f>
        <v/>
      </c>
      <c r="BB56" s="109">
        <f>BB13*(1+$C$4*($CO$55-BB$55)/360)/(1+$C$3*($CO$55-BB$55)/360)</f>
        <v/>
      </c>
      <c r="BC56" s="109">
        <f>BC13*(1+$C$4*($CO$55-BC$55)/360)/(1+$C$3*($CO$55-BC$55)/360)</f>
        <v/>
      </c>
      <c r="BD56" s="109">
        <f>BD13*(1+$C$4*($CO$55-BD$55)/360)/(1+$C$3*($CO$55-BD$55)/360)</f>
        <v/>
      </c>
      <c r="BE56" s="109">
        <f>BE13*(1+$C$4*($CO$55-BE$55)/360)/(1+$C$3*($CO$55-BE$55)/360)</f>
        <v/>
      </c>
      <c r="BF56" s="109">
        <f>BF13*(1+$C$4*($CO$55-BF$55)/360)/(1+$C$3*($CO$55-BF$55)/360)</f>
        <v/>
      </c>
      <c r="BG56" s="109">
        <f>BG13*(1+$C$4*($CO$55-BG$55)/360)/(1+$C$3*($CO$55-BG$55)/360)</f>
        <v/>
      </c>
      <c r="BH56" s="109">
        <f>BH13*(1+$C$4*($CO$55-BH$55)/360)/(1+$C$3*($CO$55-BH$55)/360)</f>
        <v/>
      </c>
      <c r="BI56" s="109">
        <f>BI13*(1+$C$4*($CO$55-BI$55)/360)/(1+$C$3*($CO$55-BI$55)/360)</f>
        <v/>
      </c>
      <c r="BJ56" s="109">
        <f>BJ13*(1+$C$4*($CO$55-BJ$55)/360)/(1+$C$3*($CO$55-BJ$55)/360)</f>
        <v/>
      </c>
      <c r="BK56" s="109">
        <f>BK13*(1+$C$4*($CO$55-BK$55)/360)/(1+$C$3*($CO$55-BK$55)/360)</f>
        <v/>
      </c>
      <c r="BL56" s="109">
        <f>BL13*(1+$C$4*($CO$55-BL$55)/360)/(1+$C$3*($CO$55-BL$55)/360)</f>
        <v/>
      </c>
      <c r="BM56" s="109">
        <f>BM13*(1+$C$4*($CO$55-BM$55)/360)/(1+$C$3*($CO$55-BM$55)/360)</f>
        <v/>
      </c>
      <c r="BN56" s="109">
        <f>BN13*(1+$C$4*($CO$55-BN$55)/360)/(1+$C$3*($CO$55-BN$55)/360)</f>
        <v/>
      </c>
      <c r="BO56" s="109">
        <f>BO13*(1+$C$4*($CO$55-BO$55)/360)/(1+$C$3*($CO$55-BO$55)/360)</f>
        <v/>
      </c>
      <c r="BP56" s="109">
        <f>BP13*(1+$C$4*($CO$55-BP$55)/360)/(1+$C$3*($CO$55-BP$55)/360)</f>
        <v/>
      </c>
      <c r="BQ56" s="109">
        <f>BQ13*(1+$C$4*($CO$55-BQ$55)/360)/(1+$C$3*($CO$55-BQ$55)/360)</f>
        <v/>
      </c>
      <c r="BR56" s="109">
        <f>BR13*(1+$C$4*($CO$55-BR$55)/360)/(1+$C$3*($CO$55-BR$55)/360)</f>
        <v/>
      </c>
      <c r="BS56" s="109">
        <f>BS13*(1+$C$4*($CO$55-BS$55)/360)/(1+$C$3*($CO$55-BS$55)/360)</f>
        <v/>
      </c>
      <c r="BT56" s="109">
        <f>BT13*(1+$C$4*($CO$55-BT$55)/360)/(1+$C$3*($CO$55-BT$55)/360)</f>
        <v/>
      </c>
      <c r="BU56" s="109">
        <f>BU13*(1+$C$4*($CO$55-BU$55)/360)/(1+$C$3*($CO$55-BU$55)/360)</f>
        <v/>
      </c>
      <c r="BV56" s="109">
        <f>BV13*(1+$C$4*($CO$55-BV$55)/360)/(1+$C$3*($CO$55-BV$55)/360)</f>
        <v/>
      </c>
      <c r="BW56" s="109">
        <f>BW13*(1+$C$4*($CO$55-BW$55)/360)/(1+$C$3*($CO$55-BW$55)/360)</f>
        <v/>
      </c>
      <c r="BX56" s="109">
        <f>BX13*(1+$C$4*($CO$55-BX$55)/360)/(1+$C$3*($CO$55-BX$55)/360)</f>
        <v/>
      </c>
      <c r="BY56" s="109">
        <f>BY13*(1+$C$4*($CO$55-BY$55)/360)/(1+$C$3*($CO$55-BY$55)/360)</f>
        <v/>
      </c>
      <c r="BZ56" s="109">
        <f>BZ13*(1+$C$4*($CO$55-BZ$55)/360)/(1+$C$3*($CO$55-BZ$55)/360)</f>
        <v/>
      </c>
      <c r="CA56" s="109">
        <f>CA13*(1+$C$4*($CO$55-CA$55)/360)/(1+$C$3*($CO$55-CA$55)/360)</f>
        <v/>
      </c>
      <c r="CB56" s="109">
        <f>CB13*(1+$C$4*($CO$55-CB$55)/360)/(1+$C$3*($CO$55-CB$55)/360)</f>
        <v/>
      </c>
      <c r="CC56" s="109">
        <f>CC13*(1+$C$4*($CO$55-CC$55)/360)/(1+$C$3*($CO$55-CC$55)/360)</f>
        <v/>
      </c>
      <c r="CD56" s="109">
        <f>CD13*(1+$C$4*($CO$55-CD$55)/360)/(1+$C$3*($CO$55-CD$55)/360)</f>
        <v/>
      </c>
      <c r="CE56" s="109">
        <f>CE13*(1+$C$4*($CO$55-CE$55)/360)/(1+$C$3*($CO$55-CE$55)/360)</f>
        <v/>
      </c>
      <c r="CF56" s="109">
        <f>CF13*(1+$C$4*($CO$55-CF$55)/360)/(1+$C$3*($CO$55-CF$55)/360)</f>
        <v/>
      </c>
      <c r="CG56" s="109">
        <f>CG13*(1+$C$4*($CO$55-CG$55)/360)/(1+$C$3*($CO$55-CG$55)/360)</f>
        <v/>
      </c>
      <c r="CH56" s="109">
        <f>CH13*(1+$C$4*($CO$55-CH$55)/360)/(1+$C$3*($CO$55-CH$55)/360)</f>
        <v/>
      </c>
      <c r="CI56" s="109">
        <f>CI13*(1+$C$4*($CO$55-CI$55)/360)/(1+$C$3*($CO$55-CI$55)/360)</f>
        <v/>
      </c>
      <c r="CJ56" s="109">
        <f>CJ13*(1+$C$4*($CO$55-CJ$55)/360)/(1+$C$3*($CO$55-CJ$55)/360)</f>
        <v/>
      </c>
      <c r="CK56" s="109">
        <f>CK13*(1+$C$4*($CO$55-CK$55)/360)/(1+$C$3*($CO$55-CK$55)/360)</f>
        <v/>
      </c>
      <c r="CL56" s="109">
        <f>CL13*(1+$C$4*($CO$55-CL$55)/360)/(1+$C$3*($CO$55-CL$55)/360)</f>
        <v/>
      </c>
      <c r="CM56" s="109">
        <f>CM13*(1+$C$4*($CO$55-CM$55)/360)/(1+$C$3*($CO$55-CM$55)/360)</f>
        <v/>
      </c>
      <c r="CN56" s="109">
        <f>CN13*(1+$C$4*($CO$55-CN$55)/360)/(1+$C$3*($CO$55-CN$55)/360)</f>
        <v/>
      </c>
      <c r="CO56" s="109">
        <f>CO13*(1+$C$4*($CO$55-CO$55)/360)/(1+$C$3*($CO$55-CO$55)/360)</f>
        <v/>
      </c>
      <c r="CP56" s="46" t="n"/>
      <c r="CQ56" s="46" t="n"/>
      <c r="CR56" s="46" t="n"/>
      <c r="CS56" s="46" t="n"/>
      <c r="CT56" s="46" t="n"/>
      <c r="CU56" s="46" t="n"/>
      <c r="CV56" s="46" t="n"/>
      <c r="CW56" s="46" t="n"/>
      <c r="CX56" s="46" t="n"/>
      <c r="CY56" s="46" t="n"/>
      <c r="CZ56" s="46" t="n"/>
      <c r="DA56" s="46" t="n"/>
    </row>
    <row r="57" ht="18" customHeight="1">
      <c r="A57" s="46" t="n"/>
      <c r="B57" s="52" t="inlineStr">
        <is>
          <t>Cumulative P&amp;L on Contract</t>
        </is>
      </c>
      <c r="C57" s="78">
        <f>$C$52*$C$51*(C56-$C$56)*$C$49</f>
        <v/>
      </c>
      <c r="D57" s="78">
        <f>$C$52*$C$51*(D56-$C$56)*$C$49</f>
        <v/>
      </c>
      <c r="E57" s="78">
        <f>$C$52*$C$51*(E56-$C$56)*$C$49</f>
        <v/>
      </c>
      <c r="F57" s="78">
        <f>$C$52*$C$51*(F56-$C$56)*$C$49</f>
        <v/>
      </c>
      <c r="G57" s="78">
        <f>$C$52*$C$51*(G56-$C$56)*$C$49</f>
        <v/>
      </c>
      <c r="H57" s="78">
        <f>$C$52*$C$51*(H56-$C$56)*$C$49</f>
        <v/>
      </c>
      <c r="I57" s="78">
        <f>$C$52*$C$51*(I56-$C$56)*$C$49</f>
        <v/>
      </c>
      <c r="J57" s="78">
        <f>$C$52*$C$51*(J56-$C$56)*$C$49</f>
        <v/>
      </c>
      <c r="K57" s="78">
        <f>$C$52*$C$51*(K56-$C$56)*$C$49</f>
        <v/>
      </c>
      <c r="L57" s="78">
        <f>$C$52*$C$51*(L56-$C$56)*$C$49</f>
        <v/>
      </c>
      <c r="M57" s="78">
        <f>$C$52*$C$51*(M56-$C$56)*$C$49</f>
        <v/>
      </c>
      <c r="N57" s="78">
        <f>$C$52*$C$51*(N56-$C$56)*$C$49</f>
        <v/>
      </c>
      <c r="O57" s="78">
        <f>$C$52*$C$51*(O56-$C$56)*$C$49</f>
        <v/>
      </c>
      <c r="P57" s="78">
        <f>$C$52*$C$51*(P56-$C$56)*$C$49</f>
        <v/>
      </c>
      <c r="Q57" s="78">
        <f>$C$52*$C$51*(Q56-$C$56)*$C$49</f>
        <v/>
      </c>
      <c r="R57" s="78">
        <f>$C$52*$C$51*(R56-$C$56)*$C$49</f>
        <v/>
      </c>
      <c r="S57" s="78">
        <f>$C$52*$C$51*(S56-$C$56)*$C$49</f>
        <v/>
      </c>
      <c r="T57" s="78">
        <f>$C$52*$C$51*(T56-$C$56)*$C$49</f>
        <v/>
      </c>
      <c r="U57" s="78">
        <f>$C$52*$C$51*(U56-$C$56)*$C$49</f>
        <v/>
      </c>
      <c r="V57" s="78">
        <f>$C$52*$C$51*(V56-$C$56)*$C$49</f>
        <v/>
      </c>
      <c r="W57" s="78">
        <f>$C$52*$C$51*(W56-$C$56)*$C$49</f>
        <v/>
      </c>
      <c r="X57" s="78">
        <f>$C$52*$C$51*(X56-$C$56)*$C$49</f>
        <v/>
      </c>
      <c r="Y57" s="78">
        <f>$C$52*$C$51*(Y56-$C$56)*$C$49</f>
        <v/>
      </c>
      <c r="Z57" s="78">
        <f>$C$52*$C$51*(Z56-$C$56)*$C$49</f>
        <v/>
      </c>
      <c r="AA57" s="78">
        <f>$C$52*$C$51*(AA56-$C$56)*$C$49</f>
        <v/>
      </c>
      <c r="AB57" s="78">
        <f>$C$52*$C$51*(AB56-$C$56)*$C$49</f>
        <v/>
      </c>
      <c r="AC57" s="78">
        <f>$C$52*$C$51*(AC56-$C$56)*$C$49</f>
        <v/>
      </c>
      <c r="AD57" s="78">
        <f>$C$52*$C$51*(AD56-$C$56)*$C$49</f>
        <v/>
      </c>
      <c r="AE57" s="78">
        <f>$C$52*$C$51*(AE56-$C$56)*$C$49</f>
        <v/>
      </c>
      <c r="AF57" s="78">
        <f>$C$52*$C$51*(AF56-$C$56)*$C$49</f>
        <v/>
      </c>
      <c r="AG57" s="78">
        <f>$C$52*$C$51*(AG56-$C$56)*$C$49</f>
        <v/>
      </c>
      <c r="AH57" s="78">
        <f>$C$52*$C$51*(AH56-$C$56)*$C$49</f>
        <v/>
      </c>
      <c r="AI57" s="78">
        <f>$C$52*$C$51*(AI56-$C$56)*$C$49</f>
        <v/>
      </c>
      <c r="AJ57" s="78">
        <f>$C$52*$C$51*(AJ56-$C$56)*$C$49</f>
        <v/>
      </c>
      <c r="AK57" s="78">
        <f>$C$52*$C$51*(AK56-$C$56)*$C$49</f>
        <v/>
      </c>
      <c r="AL57" s="78">
        <f>$C$52*$C$51*(AL56-$C$56)*$C$49</f>
        <v/>
      </c>
      <c r="AM57" s="78">
        <f>$C$52*$C$51*(AM56-$C$56)*$C$49</f>
        <v/>
      </c>
      <c r="AN57" s="78">
        <f>$C$52*$C$51*(AN56-$C$56)*$C$49</f>
        <v/>
      </c>
      <c r="AO57" s="78">
        <f>$C$52*$C$51*(AO56-$C$56)*$C$49</f>
        <v/>
      </c>
      <c r="AP57" s="78">
        <f>$C$52*$C$51*(AP56-$C$56)*$C$49</f>
        <v/>
      </c>
      <c r="AQ57" s="78">
        <f>$C$52*$C$51*(AQ56-$C$56)*$C$49</f>
        <v/>
      </c>
      <c r="AR57" s="78">
        <f>$C$52*$C$51*(AR56-$C$56)*$C$49</f>
        <v/>
      </c>
      <c r="AS57" s="78">
        <f>$C$52*$C$51*(AS56-$C$56)*$C$49</f>
        <v/>
      </c>
      <c r="AT57" s="78">
        <f>$C$52*$C$51*(AT56-$C$56)*$C$49</f>
        <v/>
      </c>
      <c r="AU57" s="78">
        <f>$C$52*$C$51*(AU56-$C$56)*$C$49</f>
        <v/>
      </c>
      <c r="AV57" s="78">
        <f>$C$52*$C$51*(AV56-$C$56)*$C$49</f>
        <v/>
      </c>
      <c r="AW57" s="78">
        <f>$C$52*$C$51*(AW56-$C$56)*$C$49</f>
        <v/>
      </c>
      <c r="AX57" s="78">
        <f>$C$52*$C$51*(AX56-$C$56)*$C$49</f>
        <v/>
      </c>
      <c r="AY57" s="78">
        <f>$C$52*$C$51*(AY56-$C$56)*$C$49</f>
        <v/>
      </c>
      <c r="AZ57" s="78">
        <f>$C$52*$C$51*(AZ56-$C$56)*$C$49</f>
        <v/>
      </c>
      <c r="BA57" s="78">
        <f>$C$52*$C$51*(BA56-$C$56)*$C$49</f>
        <v/>
      </c>
      <c r="BB57" s="78">
        <f>$C$52*$C$51*(BB56-$C$56)*$C$49</f>
        <v/>
      </c>
      <c r="BC57" s="78">
        <f>$C$52*$C$51*(BC56-$C$56)*$C$49</f>
        <v/>
      </c>
      <c r="BD57" s="78">
        <f>$C$52*$C$51*(BD56-$C$56)*$C$49</f>
        <v/>
      </c>
      <c r="BE57" s="78">
        <f>$C$52*$C$51*(BE56-$C$56)*$C$49</f>
        <v/>
      </c>
      <c r="BF57" s="78">
        <f>$C$52*$C$51*(BF56-$C$56)*$C$49</f>
        <v/>
      </c>
      <c r="BG57" s="78">
        <f>$C$52*$C$51*(BG56-$C$56)*$C$49</f>
        <v/>
      </c>
      <c r="BH57" s="78">
        <f>$C$52*$C$51*(BH56-$C$56)*$C$49</f>
        <v/>
      </c>
      <c r="BI57" s="78">
        <f>$C$52*$C$51*(BI56-$C$56)*$C$49</f>
        <v/>
      </c>
      <c r="BJ57" s="78">
        <f>$C$52*$C$51*(BJ56-$C$56)*$C$49</f>
        <v/>
      </c>
      <c r="BK57" s="78">
        <f>$C$52*$C$51*(BK56-$C$56)*$C$49</f>
        <v/>
      </c>
      <c r="BL57" s="78">
        <f>$C$52*$C$51*(BL56-$C$56)*$C$49</f>
        <v/>
      </c>
      <c r="BM57" s="78">
        <f>$C$52*$C$51*(BM56-$C$56)*$C$49</f>
        <v/>
      </c>
      <c r="BN57" s="78">
        <f>$C$52*$C$51*(BN56-$C$56)*$C$49</f>
        <v/>
      </c>
      <c r="BO57" s="78">
        <f>$C$52*$C$51*(BO56-$C$56)*$C$49</f>
        <v/>
      </c>
      <c r="BP57" s="78">
        <f>$C$52*$C$51*(BP56-$C$56)*$C$49</f>
        <v/>
      </c>
      <c r="BQ57" s="78">
        <f>$C$52*$C$51*(BQ56-$C$56)*$C$49</f>
        <v/>
      </c>
      <c r="BR57" s="78">
        <f>$C$52*$C$51*(BR56-$C$56)*$C$49</f>
        <v/>
      </c>
      <c r="BS57" s="78">
        <f>$C$52*$C$51*(BS56-$C$56)*$C$49</f>
        <v/>
      </c>
      <c r="BT57" s="78">
        <f>$C$52*$C$51*(BT56-$C$56)*$C$49</f>
        <v/>
      </c>
      <c r="BU57" s="78">
        <f>$C$52*$C$51*(BU56-$C$56)*$C$49</f>
        <v/>
      </c>
      <c r="BV57" s="78">
        <f>$C$52*$C$51*(BV56-$C$56)*$C$49</f>
        <v/>
      </c>
      <c r="BW57" s="78">
        <f>$C$52*$C$51*(BW56-$C$56)*$C$49</f>
        <v/>
      </c>
      <c r="BX57" s="78">
        <f>$C$52*$C$51*(BX56-$C$56)*$C$49</f>
        <v/>
      </c>
      <c r="BY57" s="78">
        <f>$C$52*$C$51*(BY56-$C$56)*$C$49</f>
        <v/>
      </c>
      <c r="BZ57" s="78">
        <f>$C$52*$C$51*(BZ56-$C$56)*$C$49</f>
        <v/>
      </c>
      <c r="CA57" s="78">
        <f>$C$52*$C$51*(CA56-$C$56)*$C$49</f>
        <v/>
      </c>
      <c r="CB57" s="78">
        <f>$C$52*$C$51*(CB56-$C$56)*$C$49</f>
        <v/>
      </c>
      <c r="CC57" s="78">
        <f>$C$52*$C$51*(CC56-$C$56)*$C$49</f>
        <v/>
      </c>
      <c r="CD57" s="78">
        <f>$C$52*$C$51*(CD56-$C$56)*$C$49</f>
        <v/>
      </c>
      <c r="CE57" s="78">
        <f>$C$52*$C$51*(CE56-$C$56)*$C$49</f>
        <v/>
      </c>
      <c r="CF57" s="78">
        <f>$C$52*$C$51*(CF56-$C$56)*$C$49</f>
        <v/>
      </c>
      <c r="CG57" s="78">
        <f>$C$52*$C$51*(CG56-$C$56)*$C$49</f>
        <v/>
      </c>
      <c r="CH57" s="78">
        <f>$C$52*$C$51*(CH56-$C$56)*$C$49</f>
        <v/>
      </c>
      <c r="CI57" s="78">
        <f>$C$52*$C$51*(CI56-$C$56)*$C$49</f>
        <v/>
      </c>
      <c r="CJ57" s="78">
        <f>$C$52*$C$51*(CJ56-$C$56)*$C$49</f>
        <v/>
      </c>
      <c r="CK57" s="78">
        <f>$C$52*$C$51*(CK56-$C$56)*$C$49</f>
        <v/>
      </c>
      <c r="CL57" s="78">
        <f>$C$52*$C$51*(CL56-$C$56)*$C$49</f>
        <v/>
      </c>
      <c r="CM57" s="78">
        <f>$C$52*$C$51*(CM56-$C$56)*$C$49</f>
        <v/>
      </c>
      <c r="CN57" s="78">
        <f>$C$52*$C$51*(CN56-$C$56)*$C$49</f>
        <v/>
      </c>
      <c r="CO57" s="78">
        <f>$C$52*$C$51*(CO56-$C$56)*$C$49</f>
        <v/>
      </c>
      <c r="CP57" s="46" t="n"/>
      <c r="CQ57" s="46" t="n"/>
      <c r="CR57" s="46" t="n"/>
      <c r="CS57" s="46" t="n"/>
      <c r="CT57" s="46" t="n"/>
      <c r="CU57" s="46" t="n"/>
      <c r="CV57" s="46" t="n"/>
      <c r="CW57" s="46" t="n"/>
      <c r="CX57" s="46" t="n"/>
      <c r="CY57" s="46" t="n"/>
      <c r="CZ57" s="46" t="n"/>
      <c r="DA57" s="46" t="n"/>
    </row>
    <row r="58">
      <c r="A58" s="46" t="n"/>
      <c r="B58" s="52" t="inlineStr">
        <is>
          <t>Unhedged Value of Portfolio (USD)</t>
        </is>
      </c>
      <c r="C58" s="110">
        <f>C23</f>
        <v/>
      </c>
      <c r="D58" s="110">
        <f>D23</f>
        <v/>
      </c>
      <c r="E58" s="110">
        <f>E23</f>
        <v/>
      </c>
      <c r="F58" s="110">
        <f>F23</f>
        <v/>
      </c>
      <c r="G58" s="110">
        <f>G23</f>
        <v/>
      </c>
      <c r="H58" s="110">
        <f>H23</f>
        <v/>
      </c>
      <c r="I58" s="110">
        <f>I23</f>
        <v/>
      </c>
      <c r="J58" s="110">
        <f>J23</f>
        <v/>
      </c>
      <c r="K58" s="110">
        <f>K23</f>
        <v/>
      </c>
      <c r="L58" s="110">
        <f>L23</f>
        <v/>
      </c>
      <c r="M58" s="110">
        <f>M23</f>
        <v/>
      </c>
      <c r="N58" s="110">
        <f>N23</f>
        <v/>
      </c>
      <c r="O58" s="110">
        <f>O23</f>
        <v/>
      </c>
      <c r="P58" s="110">
        <f>P23</f>
        <v/>
      </c>
      <c r="Q58" s="110">
        <f>Q23</f>
        <v/>
      </c>
      <c r="R58" s="110">
        <f>R23</f>
        <v/>
      </c>
      <c r="S58" s="110">
        <f>S23</f>
        <v/>
      </c>
      <c r="T58" s="110">
        <f>T23</f>
        <v/>
      </c>
      <c r="U58" s="110">
        <f>U23</f>
        <v/>
      </c>
      <c r="V58" s="110">
        <f>V23</f>
        <v/>
      </c>
      <c r="W58" s="110">
        <f>W23</f>
        <v/>
      </c>
      <c r="X58" s="110">
        <f>X23</f>
        <v/>
      </c>
      <c r="Y58" s="110">
        <f>Y23</f>
        <v/>
      </c>
      <c r="Z58" s="110">
        <f>Z23</f>
        <v/>
      </c>
      <c r="AA58" s="110">
        <f>AA23</f>
        <v/>
      </c>
      <c r="AB58" s="110">
        <f>AB23</f>
        <v/>
      </c>
      <c r="AC58" s="110">
        <f>AC23</f>
        <v/>
      </c>
      <c r="AD58" s="110">
        <f>AD23</f>
        <v/>
      </c>
      <c r="AE58" s="110">
        <f>AE23</f>
        <v/>
      </c>
      <c r="AF58" s="110">
        <f>AF23</f>
        <v/>
      </c>
      <c r="AG58" s="110">
        <f>AG23</f>
        <v/>
      </c>
      <c r="AH58" s="110">
        <f>AH23</f>
        <v/>
      </c>
      <c r="AI58" s="110">
        <f>AI23</f>
        <v/>
      </c>
      <c r="AJ58" s="110">
        <f>AJ23</f>
        <v/>
      </c>
      <c r="AK58" s="110">
        <f>AK23</f>
        <v/>
      </c>
      <c r="AL58" s="110">
        <f>AL23</f>
        <v/>
      </c>
      <c r="AM58" s="110">
        <f>AM23</f>
        <v/>
      </c>
      <c r="AN58" s="110">
        <f>AN23</f>
        <v/>
      </c>
      <c r="AO58" s="110">
        <f>AO23</f>
        <v/>
      </c>
      <c r="AP58" s="110">
        <f>AP23</f>
        <v/>
      </c>
      <c r="AQ58" s="110">
        <f>AQ23</f>
        <v/>
      </c>
      <c r="AR58" s="110">
        <f>AR23</f>
        <v/>
      </c>
      <c r="AS58" s="110">
        <f>AS23</f>
        <v/>
      </c>
      <c r="AT58" s="110">
        <f>AT23</f>
        <v/>
      </c>
      <c r="AU58" s="110">
        <f>AU23</f>
        <v/>
      </c>
      <c r="AV58" s="110">
        <f>AV23</f>
        <v/>
      </c>
      <c r="AW58" s="110">
        <f>AW23</f>
        <v/>
      </c>
      <c r="AX58" s="110">
        <f>AX23</f>
        <v/>
      </c>
      <c r="AY58" s="110">
        <f>AY23</f>
        <v/>
      </c>
      <c r="AZ58" s="110">
        <f>AZ23</f>
        <v/>
      </c>
      <c r="BA58" s="110">
        <f>BA23</f>
        <v/>
      </c>
      <c r="BB58" s="110">
        <f>BB23</f>
        <v/>
      </c>
      <c r="BC58" s="110">
        <f>BC23</f>
        <v/>
      </c>
      <c r="BD58" s="110">
        <f>BD23</f>
        <v/>
      </c>
      <c r="BE58" s="110">
        <f>BE23</f>
        <v/>
      </c>
      <c r="BF58" s="110">
        <f>BF23</f>
        <v/>
      </c>
      <c r="BG58" s="110">
        <f>BG23</f>
        <v/>
      </c>
      <c r="BH58" s="110">
        <f>BH23</f>
        <v/>
      </c>
      <c r="BI58" s="110">
        <f>BI23</f>
        <v/>
      </c>
      <c r="BJ58" s="110">
        <f>BJ23</f>
        <v/>
      </c>
      <c r="BK58" s="110">
        <f>BK23</f>
        <v/>
      </c>
      <c r="BL58" s="110">
        <f>BL23</f>
        <v/>
      </c>
      <c r="BM58" s="110">
        <f>BM23</f>
        <v/>
      </c>
      <c r="BN58" s="110">
        <f>BN23</f>
        <v/>
      </c>
      <c r="BO58" s="110">
        <f>BO23</f>
        <v/>
      </c>
      <c r="BP58" s="110">
        <f>BP23</f>
        <v/>
      </c>
      <c r="BQ58" s="110">
        <f>BQ23</f>
        <v/>
      </c>
      <c r="BR58" s="110">
        <f>BR23</f>
        <v/>
      </c>
      <c r="BS58" s="110">
        <f>BS23</f>
        <v/>
      </c>
      <c r="BT58" s="110">
        <f>BT23</f>
        <v/>
      </c>
      <c r="BU58" s="110">
        <f>BU23</f>
        <v/>
      </c>
      <c r="BV58" s="110">
        <f>BV23</f>
        <v/>
      </c>
      <c r="BW58" s="110">
        <f>BW23</f>
        <v/>
      </c>
      <c r="BX58" s="110">
        <f>BX23</f>
        <v/>
      </c>
      <c r="BY58" s="110">
        <f>BY23</f>
        <v/>
      </c>
      <c r="BZ58" s="110">
        <f>BZ23</f>
        <v/>
      </c>
      <c r="CA58" s="110">
        <f>CA23</f>
        <v/>
      </c>
      <c r="CB58" s="110">
        <f>CB23</f>
        <v/>
      </c>
      <c r="CC58" s="110">
        <f>CC23</f>
        <v/>
      </c>
      <c r="CD58" s="110">
        <f>CD23</f>
        <v/>
      </c>
      <c r="CE58" s="110">
        <f>CE23</f>
        <v/>
      </c>
      <c r="CF58" s="110">
        <f>CF23</f>
        <v/>
      </c>
      <c r="CG58" s="110">
        <f>CG23</f>
        <v/>
      </c>
      <c r="CH58" s="110">
        <f>CH23</f>
        <v/>
      </c>
      <c r="CI58" s="110">
        <f>CI23</f>
        <v/>
      </c>
      <c r="CJ58" s="110">
        <f>CJ23</f>
        <v/>
      </c>
      <c r="CK58" s="110">
        <f>CK23</f>
        <v/>
      </c>
      <c r="CL58" s="110">
        <f>CL23</f>
        <v/>
      </c>
      <c r="CM58" s="110">
        <f>CM23</f>
        <v/>
      </c>
      <c r="CN58" s="110">
        <f>CN23</f>
        <v/>
      </c>
      <c r="CO58" s="110">
        <f>CO23</f>
        <v/>
      </c>
      <c r="CP58" s="46" t="n"/>
      <c r="CQ58" s="46" t="n"/>
      <c r="CR58" s="46" t="n"/>
      <c r="CS58" s="46" t="n"/>
      <c r="CT58" s="46" t="n"/>
      <c r="CU58" s="46" t="n"/>
      <c r="CV58" s="46" t="n"/>
      <c r="CW58" s="46" t="n"/>
      <c r="CX58" s="46" t="n"/>
      <c r="CY58" s="46" t="n"/>
      <c r="CZ58" s="46" t="n"/>
      <c r="DA58" s="46" t="n"/>
    </row>
    <row r="59" ht="18" customHeight="1">
      <c r="A59" s="46" t="n"/>
      <c r="B59" s="52" t="inlineStr">
        <is>
          <t>Hedged Value of Portfolio (USD)</t>
        </is>
      </c>
      <c r="C59" s="111">
        <f>C57+C58</f>
        <v/>
      </c>
      <c r="D59" s="111">
        <f>D57+D58</f>
        <v/>
      </c>
      <c r="E59" s="111">
        <f>E57+E58</f>
        <v/>
      </c>
      <c r="F59" s="111">
        <f>F57+F58</f>
        <v/>
      </c>
      <c r="G59" s="111">
        <f>G57+G58</f>
        <v/>
      </c>
      <c r="H59" s="111">
        <f>H57+H58</f>
        <v/>
      </c>
      <c r="I59" s="111">
        <f>I57+I58</f>
        <v/>
      </c>
      <c r="J59" s="111">
        <f>J57+J58</f>
        <v/>
      </c>
      <c r="K59" s="111">
        <f>K57+K58</f>
        <v/>
      </c>
      <c r="L59" s="111">
        <f>L57+L58</f>
        <v/>
      </c>
      <c r="M59" s="111">
        <f>M57+M58</f>
        <v/>
      </c>
      <c r="N59" s="111">
        <f>N57+N58</f>
        <v/>
      </c>
      <c r="O59" s="111">
        <f>O57+O58</f>
        <v/>
      </c>
      <c r="P59" s="111">
        <f>P57+P58</f>
        <v/>
      </c>
      <c r="Q59" s="111">
        <f>Q57+Q58</f>
        <v/>
      </c>
      <c r="R59" s="111">
        <f>R57+R58</f>
        <v/>
      </c>
      <c r="S59" s="111">
        <f>S57+S58</f>
        <v/>
      </c>
      <c r="T59" s="111">
        <f>T57+T58</f>
        <v/>
      </c>
      <c r="U59" s="111">
        <f>U57+U58</f>
        <v/>
      </c>
      <c r="V59" s="111">
        <f>V57+V58</f>
        <v/>
      </c>
      <c r="W59" s="111">
        <f>W57+W58</f>
        <v/>
      </c>
      <c r="X59" s="111">
        <f>X57+X58</f>
        <v/>
      </c>
      <c r="Y59" s="111">
        <f>Y57+Y58</f>
        <v/>
      </c>
      <c r="Z59" s="111">
        <f>Z57+Z58</f>
        <v/>
      </c>
      <c r="AA59" s="111">
        <f>AA57+AA58</f>
        <v/>
      </c>
      <c r="AB59" s="111">
        <f>AB57+AB58</f>
        <v/>
      </c>
      <c r="AC59" s="111">
        <f>AC57+AC58</f>
        <v/>
      </c>
      <c r="AD59" s="111">
        <f>AD57+AD58</f>
        <v/>
      </c>
      <c r="AE59" s="111">
        <f>AE57+AE58</f>
        <v/>
      </c>
      <c r="AF59" s="111">
        <f>AF57+AF58</f>
        <v/>
      </c>
      <c r="AG59" s="111">
        <f>AG57+AG58</f>
        <v/>
      </c>
      <c r="AH59" s="111">
        <f>AH57+AH58</f>
        <v/>
      </c>
      <c r="AI59" s="111">
        <f>AI57+AI58</f>
        <v/>
      </c>
      <c r="AJ59" s="111">
        <f>AJ57+AJ58</f>
        <v/>
      </c>
      <c r="AK59" s="111">
        <f>AK57+AK58</f>
        <v/>
      </c>
      <c r="AL59" s="111">
        <f>AL57+AL58</f>
        <v/>
      </c>
      <c r="AM59" s="111">
        <f>AM57+AM58</f>
        <v/>
      </c>
      <c r="AN59" s="111">
        <f>AN57+AN58</f>
        <v/>
      </c>
      <c r="AO59" s="111">
        <f>AO57+AO58</f>
        <v/>
      </c>
      <c r="AP59" s="111">
        <f>AP57+AP58</f>
        <v/>
      </c>
      <c r="AQ59" s="111">
        <f>AQ57+AQ58</f>
        <v/>
      </c>
      <c r="AR59" s="111">
        <f>AR57+AR58</f>
        <v/>
      </c>
      <c r="AS59" s="111">
        <f>AS57+AS58</f>
        <v/>
      </c>
      <c r="AT59" s="111">
        <f>AT57+AT58</f>
        <v/>
      </c>
      <c r="AU59" s="111">
        <f>AU57+AU58</f>
        <v/>
      </c>
      <c r="AV59" s="111">
        <f>AV57+AV58</f>
        <v/>
      </c>
      <c r="AW59" s="111">
        <f>AW57+AW58</f>
        <v/>
      </c>
      <c r="AX59" s="111">
        <f>AX57+AX58</f>
        <v/>
      </c>
      <c r="AY59" s="111">
        <f>AY57+AY58</f>
        <v/>
      </c>
      <c r="AZ59" s="111">
        <f>AZ57+AZ58</f>
        <v/>
      </c>
      <c r="BA59" s="111">
        <f>BA57+BA58</f>
        <v/>
      </c>
      <c r="BB59" s="111">
        <f>BB57+BB58</f>
        <v/>
      </c>
      <c r="BC59" s="111">
        <f>BC57+BC58</f>
        <v/>
      </c>
      <c r="BD59" s="111">
        <f>BD57+BD58</f>
        <v/>
      </c>
      <c r="BE59" s="111">
        <f>BE57+BE58</f>
        <v/>
      </c>
      <c r="BF59" s="111">
        <f>BF57+BF58</f>
        <v/>
      </c>
      <c r="BG59" s="111">
        <f>BG57+BG58</f>
        <v/>
      </c>
      <c r="BH59" s="111">
        <f>BH57+BH58</f>
        <v/>
      </c>
      <c r="BI59" s="111">
        <f>BI57+BI58</f>
        <v/>
      </c>
      <c r="BJ59" s="111">
        <f>BJ57+BJ58</f>
        <v/>
      </c>
      <c r="BK59" s="111">
        <f>BK57+BK58</f>
        <v/>
      </c>
      <c r="BL59" s="111">
        <f>BL57+BL58</f>
        <v/>
      </c>
      <c r="BM59" s="111">
        <f>BM57+BM58</f>
        <v/>
      </c>
      <c r="BN59" s="111">
        <f>BN57+BN58</f>
        <v/>
      </c>
      <c r="BO59" s="111">
        <f>BO57+BO58</f>
        <v/>
      </c>
      <c r="BP59" s="111">
        <f>BP57+BP58</f>
        <v/>
      </c>
      <c r="BQ59" s="111">
        <f>BQ57+BQ58</f>
        <v/>
      </c>
      <c r="BR59" s="111">
        <f>BR57+BR58</f>
        <v/>
      </c>
      <c r="BS59" s="111">
        <f>BS57+BS58</f>
        <v/>
      </c>
      <c r="BT59" s="111">
        <f>BT57+BT58</f>
        <v/>
      </c>
      <c r="BU59" s="111">
        <f>BU57+BU58</f>
        <v/>
      </c>
      <c r="BV59" s="111">
        <f>BV57+BV58</f>
        <v/>
      </c>
      <c r="BW59" s="111">
        <f>BW57+BW58</f>
        <v/>
      </c>
      <c r="BX59" s="111">
        <f>BX57+BX58</f>
        <v/>
      </c>
      <c r="BY59" s="111">
        <f>BY57+BY58</f>
        <v/>
      </c>
      <c r="BZ59" s="111">
        <f>BZ57+BZ58</f>
        <v/>
      </c>
      <c r="CA59" s="111">
        <f>CA57+CA58</f>
        <v/>
      </c>
      <c r="CB59" s="111">
        <f>CB57+CB58</f>
        <v/>
      </c>
      <c r="CC59" s="111">
        <f>CC57+CC58</f>
        <v/>
      </c>
      <c r="CD59" s="111">
        <f>CD57+CD58</f>
        <v/>
      </c>
      <c r="CE59" s="111">
        <f>CE57+CE58</f>
        <v/>
      </c>
      <c r="CF59" s="111">
        <f>CF57+CF58</f>
        <v/>
      </c>
      <c r="CG59" s="111">
        <f>CG57+CG58</f>
        <v/>
      </c>
      <c r="CH59" s="111">
        <f>CH57+CH58</f>
        <v/>
      </c>
      <c r="CI59" s="111">
        <f>CI57+CI58</f>
        <v/>
      </c>
      <c r="CJ59" s="111">
        <f>CJ57+CJ58</f>
        <v/>
      </c>
      <c r="CK59" s="111">
        <f>CK57+CK58</f>
        <v/>
      </c>
      <c r="CL59" s="111">
        <f>CL57+CL58</f>
        <v/>
      </c>
      <c r="CM59" s="111">
        <f>CM57+CM58</f>
        <v/>
      </c>
      <c r="CN59" s="111">
        <f>CN57+CN58</f>
        <v/>
      </c>
      <c r="CO59" s="111">
        <f>CO57+CO58</f>
        <v/>
      </c>
      <c r="CP59" s="46" t="n"/>
      <c r="CQ59" s="46" t="n"/>
      <c r="CR59" s="46" t="n"/>
      <c r="CS59" s="46" t="n"/>
      <c r="CT59" s="46" t="n"/>
      <c r="CU59" s="46" t="n"/>
      <c r="CV59" s="46" t="n"/>
      <c r="CW59" s="46" t="n"/>
      <c r="CX59" s="46" t="n"/>
      <c r="CY59" s="46" t="n"/>
      <c r="CZ59" s="46" t="n"/>
      <c r="DA59" s="46" t="n"/>
    </row>
    <row r="60">
      <c r="A60" s="46" t="n"/>
      <c r="B60" s="62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6" t="n"/>
      <c r="AB60" s="46" t="n"/>
      <c r="AC60" s="46" t="n"/>
      <c r="AD60" s="46" t="n"/>
      <c r="AE60" s="46" t="n"/>
      <c r="AF60" s="46" t="n"/>
      <c r="AG60" s="46" t="n"/>
      <c r="AH60" s="46" t="n"/>
      <c r="AI60" s="46" t="n"/>
      <c r="AJ60" s="46" t="n"/>
      <c r="AK60" s="46" t="n"/>
      <c r="AL60" s="46" t="n"/>
      <c r="AM60" s="46" t="n"/>
      <c r="AN60" s="46" t="n"/>
      <c r="AO60" s="46" t="n"/>
      <c r="AP60" s="46" t="n"/>
      <c r="AQ60" s="46" t="n"/>
      <c r="AR60" s="46" t="n"/>
      <c r="AS60" s="46" t="n"/>
      <c r="AT60" s="46" t="n"/>
      <c r="AU60" s="46" t="n"/>
      <c r="AV60" s="46" t="n"/>
      <c r="AW60" s="46" t="n"/>
      <c r="AX60" s="46" t="n"/>
      <c r="AY60" s="46" t="n"/>
      <c r="AZ60" s="46" t="n"/>
      <c r="BA60" s="46" t="n"/>
      <c r="BB60" s="46" t="n"/>
      <c r="BC60" s="46" t="n"/>
      <c r="BD60" s="46" t="n"/>
      <c r="BE60" s="46" t="n"/>
      <c r="BF60" s="46" t="n"/>
      <c r="BG60" s="46" t="n"/>
      <c r="BH60" s="46" t="n"/>
      <c r="BI60" s="46" t="n"/>
      <c r="BJ60" s="46" t="n"/>
      <c r="BK60" s="46" t="n"/>
      <c r="BL60" s="46" t="n"/>
      <c r="BM60" s="46" t="n"/>
      <c r="BN60" s="46" t="n"/>
      <c r="BO60" s="46" t="n"/>
      <c r="BP60" s="46" t="n"/>
      <c r="BQ60" s="46" t="n"/>
      <c r="BR60" s="46" t="n"/>
      <c r="BS60" s="46" t="n"/>
      <c r="BT60" s="46" t="n"/>
      <c r="BU60" s="46" t="n"/>
      <c r="BV60" s="46" t="n"/>
      <c r="BW60" s="46" t="n"/>
      <c r="BX60" s="46" t="n"/>
      <c r="BY60" s="46" t="n"/>
      <c r="BZ60" s="46" t="n"/>
      <c r="CA60" s="46" t="n"/>
      <c r="CB60" s="46" t="n"/>
      <c r="CC60" s="46" t="n"/>
      <c r="CD60" s="46" t="n"/>
      <c r="CE60" s="46" t="n"/>
      <c r="CF60" s="46" t="n"/>
      <c r="CG60" s="46" t="n"/>
      <c r="CH60" s="46" t="n"/>
      <c r="CI60" s="46" t="n"/>
      <c r="CJ60" s="46" t="n"/>
      <c r="CK60" s="46" t="n"/>
      <c r="CL60" s="46" t="n"/>
      <c r="CM60" s="46" t="n"/>
      <c r="CN60" s="46" t="n"/>
      <c r="CO60" s="46" t="n"/>
      <c r="CP60" s="46" t="n"/>
      <c r="CQ60" s="46" t="n"/>
      <c r="CR60" s="46" t="n"/>
      <c r="CS60" s="46" t="n"/>
      <c r="CT60" s="46" t="n"/>
      <c r="CU60" s="46" t="n"/>
      <c r="CV60" s="46" t="n"/>
      <c r="CW60" s="46" t="n"/>
      <c r="CX60" s="46" t="n"/>
      <c r="CY60" s="46" t="n"/>
      <c r="CZ60" s="46" t="n"/>
      <c r="DA60" s="46" t="n"/>
    </row>
    <row r="61" ht="18" customHeight="1">
      <c r="A61" s="46" t="n"/>
      <c r="B61" s="51" t="inlineStr">
        <is>
          <t>Performance (rebased to 100)</t>
        </is>
      </c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46" t="n"/>
      <c r="AE61" s="46" t="n"/>
      <c r="AF61" s="46" t="n"/>
      <c r="AG61" s="46" t="n"/>
      <c r="AH61" s="46" t="n"/>
      <c r="AI61" s="46" t="n"/>
      <c r="AJ61" s="46" t="n"/>
      <c r="AK61" s="46" t="n"/>
      <c r="AL61" s="46" t="n"/>
      <c r="AM61" s="46" t="n"/>
      <c r="AN61" s="46" t="n"/>
      <c r="AO61" s="46" t="n"/>
      <c r="AP61" s="46" t="n"/>
      <c r="AQ61" s="46" t="n"/>
      <c r="AR61" s="46" t="n"/>
      <c r="AS61" s="46" t="n"/>
      <c r="AT61" s="46" t="n"/>
      <c r="AU61" s="46" t="n"/>
      <c r="AV61" s="46" t="n"/>
      <c r="AW61" s="46" t="n"/>
      <c r="AX61" s="46" t="n"/>
      <c r="AY61" s="46" t="n"/>
      <c r="AZ61" s="46" t="n"/>
      <c r="BA61" s="46" t="n"/>
      <c r="BB61" s="46" t="n"/>
      <c r="BC61" s="46" t="n"/>
      <c r="BD61" s="46" t="n"/>
      <c r="BE61" s="46" t="n"/>
      <c r="BF61" s="46" t="n"/>
      <c r="BG61" s="46" t="n"/>
      <c r="BH61" s="46" t="n"/>
      <c r="BI61" s="46" t="n"/>
      <c r="BJ61" s="46" t="n"/>
      <c r="BK61" s="46" t="n"/>
      <c r="BL61" s="46" t="n"/>
      <c r="BM61" s="46" t="n"/>
      <c r="BN61" s="46" t="n"/>
      <c r="BO61" s="46" t="n"/>
      <c r="BP61" s="46" t="n"/>
      <c r="BQ61" s="46" t="n"/>
      <c r="BR61" s="46" t="n"/>
      <c r="BS61" s="46" t="n"/>
      <c r="BT61" s="46" t="n"/>
      <c r="BU61" s="46" t="n"/>
      <c r="BV61" s="46" t="n"/>
      <c r="BW61" s="46" t="n"/>
      <c r="BX61" s="46" t="n"/>
      <c r="BY61" s="46" t="n"/>
      <c r="BZ61" s="46" t="n"/>
      <c r="CA61" s="46" t="n"/>
      <c r="CB61" s="46" t="n"/>
      <c r="CC61" s="46" t="n"/>
      <c r="CD61" s="46" t="n"/>
      <c r="CE61" s="46" t="n"/>
      <c r="CF61" s="46" t="n"/>
      <c r="CG61" s="46" t="n"/>
      <c r="CH61" s="46" t="n"/>
      <c r="CI61" s="46" t="n"/>
      <c r="CJ61" s="46" t="n"/>
      <c r="CK61" s="46" t="n"/>
      <c r="CL61" s="46" t="n"/>
      <c r="CM61" s="46" t="n"/>
      <c r="CN61" s="46" t="n"/>
      <c r="CO61" s="46" t="n"/>
      <c r="CP61" s="46" t="n"/>
      <c r="CQ61" s="46" t="n"/>
      <c r="CR61" s="46" t="n"/>
      <c r="CS61" s="46" t="n"/>
      <c r="CT61" s="46" t="n"/>
      <c r="CU61" s="46" t="n"/>
      <c r="CV61" s="46" t="n"/>
      <c r="CW61" s="46" t="n"/>
      <c r="CX61" s="46" t="n"/>
      <c r="CY61" s="46" t="n"/>
      <c r="CZ61" s="46" t="n"/>
      <c r="DA61" s="46" t="n"/>
    </row>
    <row r="62" ht="18" customHeight="1">
      <c r="A62" s="46" t="n"/>
      <c r="B62" s="56" t="inlineStr">
        <is>
          <t>Day</t>
        </is>
      </c>
      <c r="C62" s="76" t="n">
        <v>0</v>
      </c>
      <c r="D62" s="76" t="n">
        <v>1</v>
      </c>
      <c r="E62" s="76" t="n">
        <v>2</v>
      </c>
      <c r="F62" s="76" t="n">
        <v>3</v>
      </c>
      <c r="G62" s="76" t="n">
        <v>4</v>
      </c>
      <c r="H62" s="76" t="n">
        <v>5</v>
      </c>
      <c r="I62" s="76" t="n">
        <v>6</v>
      </c>
      <c r="J62" s="76" t="n">
        <v>7</v>
      </c>
      <c r="K62" s="76" t="n">
        <v>8</v>
      </c>
      <c r="L62" s="76" t="n">
        <v>9</v>
      </c>
      <c r="M62" s="76" t="n">
        <v>10</v>
      </c>
      <c r="N62" s="76" t="n">
        <v>11</v>
      </c>
      <c r="O62" s="76" t="n">
        <v>12</v>
      </c>
      <c r="P62" s="76" t="n">
        <v>13</v>
      </c>
      <c r="Q62" s="76" t="n">
        <v>14</v>
      </c>
      <c r="R62" s="76" t="n">
        <v>15</v>
      </c>
      <c r="S62" s="76" t="n">
        <v>16</v>
      </c>
      <c r="T62" s="76" t="n">
        <v>17</v>
      </c>
      <c r="U62" s="76" t="n">
        <v>18</v>
      </c>
      <c r="V62" s="76" t="n">
        <v>19</v>
      </c>
      <c r="W62" s="76" t="n">
        <v>20</v>
      </c>
      <c r="X62" s="76" t="n">
        <v>21</v>
      </c>
      <c r="Y62" s="76" t="n">
        <v>22</v>
      </c>
      <c r="Z62" s="76" t="n">
        <v>23</v>
      </c>
      <c r="AA62" s="76" t="n">
        <v>24</v>
      </c>
      <c r="AB62" s="76" t="n">
        <v>25</v>
      </c>
      <c r="AC62" s="76" t="n">
        <v>26</v>
      </c>
      <c r="AD62" s="76" t="n">
        <v>27</v>
      </c>
      <c r="AE62" s="76" t="n">
        <v>28</v>
      </c>
      <c r="AF62" s="76" t="n">
        <v>29</v>
      </c>
      <c r="AG62" s="76" t="n">
        <v>30</v>
      </c>
      <c r="AH62" s="76" t="n">
        <v>31</v>
      </c>
      <c r="AI62" s="76" t="n">
        <v>32</v>
      </c>
      <c r="AJ62" s="76" t="n">
        <v>33</v>
      </c>
      <c r="AK62" s="76" t="n">
        <v>34</v>
      </c>
      <c r="AL62" s="76" t="n">
        <v>35</v>
      </c>
      <c r="AM62" s="76" t="n">
        <v>36</v>
      </c>
      <c r="AN62" s="76" t="n">
        <v>37</v>
      </c>
      <c r="AO62" s="76" t="n">
        <v>38</v>
      </c>
      <c r="AP62" s="76" t="n">
        <v>39</v>
      </c>
      <c r="AQ62" s="76" t="n">
        <v>40</v>
      </c>
      <c r="AR62" s="76" t="n">
        <v>41</v>
      </c>
      <c r="AS62" s="76" t="n">
        <v>42</v>
      </c>
      <c r="AT62" s="76" t="n">
        <v>43</v>
      </c>
      <c r="AU62" s="76" t="n">
        <v>44</v>
      </c>
      <c r="AV62" s="76" t="n">
        <v>45</v>
      </c>
      <c r="AW62" s="76" t="n">
        <v>46</v>
      </c>
      <c r="AX62" s="76" t="n">
        <v>47</v>
      </c>
      <c r="AY62" s="76" t="n">
        <v>48</v>
      </c>
      <c r="AZ62" s="76" t="n">
        <v>49</v>
      </c>
      <c r="BA62" s="76" t="n">
        <v>50</v>
      </c>
      <c r="BB62" s="76" t="n">
        <v>51</v>
      </c>
      <c r="BC62" s="76" t="n">
        <v>52</v>
      </c>
      <c r="BD62" s="76" t="n">
        <v>53</v>
      </c>
      <c r="BE62" s="76" t="n">
        <v>54</v>
      </c>
      <c r="BF62" s="76" t="n">
        <v>55</v>
      </c>
      <c r="BG62" s="76" t="n">
        <v>56</v>
      </c>
      <c r="BH62" s="76" t="n">
        <v>57</v>
      </c>
      <c r="BI62" s="76" t="n">
        <v>58</v>
      </c>
      <c r="BJ62" s="76" t="n">
        <v>59</v>
      </c>
      <c r="BK62" s="76" t="n">
        <v>60</v>
      </c>
      <c r="BL62" s="76" t="n">
        <v>61</v>
      </c>
      <c r="BM62" s="76" t="n">
        <v>62</v>
      </c>
      <c r="BN62" s="76" t="n">
        <v>63</v>
      </c>
      <c r="BO62" s="76" t="n">
        <v>64</v>
      </c>
      <c r="BP62" s="76" t="n">
        <v>65</v>
      </c>
      <c r="BQ62" s="76" t="n">
        <v>66</v>
      </c>
      <c r="BR62" s="76" t="n">
        <v>67</v>
      </c>
      <c r="BS62" s="76" t="n">
        <v>68</v>
      </c>
      <c r="BT62" s="76" t="n">
        <v>69</v>
      </c>
      <c r="BU62" s="76" t="n">
        <v>70</v>
      </c>
      <c r="BV62" s="76" t="n">
        <v>71</v>
      </c>
      <c r="BW62" s="76" t="n">
        <v>72</v>
      </c>
      <c r="BX62" s="76" t="n">
        <v>73</v>
      </c>
      <c r="BY62" s="76" t="n">
        <v>74</v>
      </c>
      <c r="BZ62" s="76" t="n">
        <v>75</v>
      </c>
      <c r="CA62" s="76" t="n">
        <v>76</v>
      </c>
      <c r="CB62" s="76" t="n">
        <v>77</v>
      </c>
      <c r="CC62" s="76" t="n">
        <v>78</v>
      </c>
      <c r="CD62" s="76" t="n">
        <v>79</v>
      </c>
      <c r="CE62" s="76" t="n">
        <v>80</v>
      </c>
      <c r="CF62" s="76" t="n">
        <v>81</v>
      </c>
      <c r="CG62" s="76" t="n">
        <v>82</v>
      </c>
      <c r="CH62" s="76" t="n">
        <v>83</v>
      </c>
      <c r="CI62" s="76" t="n">
        <v>84</v>
      </c>
      <c r="CJ62" s="76" t="n">
        <v>85</v>
      </c>
      <c r="CK62" s="76" t="n">
        <v>86</v>
      </c>
      <c r="CL62" s="76" t="n">
        <v>87</v>
      </c>
      <c r="CM62" s="76" t="n">
        <v>88</v>
      </c>
      <c r="CN62" s="76" t="n">
        <v>89</v>
      </c>
      <c r="CO62" s="76" t="n">
        <v>90</v>
      </c>
      <c r="CP62" s="46" t="n"/>
      <c r="CQ62" s="46" t="n"/>
      <c r="CR62" s="46" t="n"/>
      <c r="CS62" s="46" t="n"/>
      <c r="CT62" s="46" t="n"/>
      <c r="CU62" s="46" t="n"/>
      <c r="CV62" s="46" t="n"/>
      <c r="CW62" s="46" t="n"/>
      <c r="CX62" s="46" t="n"/>
      <c r="CY62" s="46" t="n"/>
      <c r="CZ62" s="46" t="n"/>
      <c r="DA62" s="46" t="n"/>
    </row>
    <row r="63" ht="18" customHeight="1">
      <c r="A63" s="46" t="n"/>
      <c r="B63" s="52" t="inlineStr">
        <is>
          <t>50% Hedged (USD)</t>
        </is>
      </c>
      <c r="C63" s="112">
        <f>C59/$C$7*100</f>
        <v/>
      </c>
      <c r="D63" s="112">
        <f>D59/$C$7*100</f>
        <v/>
      </c>
      <c r="E63" s="112">
        <f>E59/$C$7*100</f>
        <v/>
      </c>
      <c r="F63" s="112">
        <f>F59/$C$7*100</f>
        <v/>
      </c>
      <c r="G63" s="112">
        <f>G59/$C$7*100</f>
        <v/>
      </c>
      <c r="H63" s="112">
        <f>H59/$C$7*100</f>
        <v/>
      </c>
      <c r="I63" s="112">
        <f>I59/$C$7*100</f>
        <v/>
      </c>
      <c r="J63" s="112">
        <f>J59/$C$7*100</f>
        <v/>
      </c>
      <c r="K63" s="112">
        <f>K59/$C$7*100</f>
        <v/>
      </c>
      <c r="L63" s="112">
        <f>L59/$C$7*100</f>
        <v/>
      </c>
      <c r="M63" s="112">
        <f>M59/$C$7*100</f>
        <v/>
      </c>
      <c r="N63" s="112">
        <f>N59/$C$7*100</f>
        <v/>
      </c>
      <c r="O63" s="112">
        <f>O59/$C$7*100</f>
        <v/>
      </c>
      <c r="P63" s="112">
        <f>P59/$C$7*100</f>
        <v/>
      </c>
      <c r="Q63" s="112">
        <f>Q59/$C$7*100</f>
        <v/>
      </c>
      <c r="R63" s="112">
        <f>R59/$C$7*100</f>
        <v/>
      </c>
      <c r="S63" s="112">
        <f>S59/$C$7*100</f>
        <v/>
      </c>
      <c r="T63" s="112">
        <f>T59/$C$7*100</f>
        <v/>
      </c>
      <c r="U63" s="112">
        <f>U59/$C$7*100</f>
        <v/>
      </c>
      <c r="V63" s="112">
        <f>V59/$C$7*100</f>
        <v/>
      </c>
      <c r="W63" s="112">
        <f>W59/$C$7*100</f>
        <v/>
      </c>
      <c r="X63" s="112">
        <f>X59/$C$7*100</f>
        <v/>
      </c>
      <c r="Y63" s="112">
        <f>Y59/$C$7*100</f>
        <v/>
      </c>
      <c r="Z63" s="112">
        <f>Z59/$C$7*100</f>
        <v/>
      </c>
      <c r="AA63" s="112">
        <f>AA59/$C$7*100</f>
        <v/>
      </c>
      <c r="AB63" s="112">
        <f>AB59/$C$7*100</f>
        <v/>
      </c>
      <c r="AC63" s="112">
        <f>AC59/$C$7*100</f>
        <v/>
      </c>
      <c r="AD63" s="112">
        <f>AD59/$C$7*100</f>
        <v/>
      </c>
      <c r="AE63" s="112">
        <f>AE59/$C$7*100</f>
        <v/>
      </c>
      <c r="AF63" s="112">
        <f>AF59/$C$7*100</f>
        <v/>
      </c>
      <c r="AG63" s="112">
        <f>AG59/$C$7*100</f>
        <v/>
      </c>
      <c r="AH63" s="112">
        <f>AH59/$C$7*100</f>
        <v/>
      </c>
      <c r="AI63" s="112">
        <f>AI59/$C$7*100</f>
        <v/>
      </c>
      <c r="AJ63" s="112">
        <f>AJ59/$C$7*100</f>
        <v/>
      </c>
      <c r="AK63" s="112">
        <f>AK59/$C$7*100</f>
        <v/>
      </c>
      <c r="AL63" s="112">
        <f>AL59/$C$7*100</f>
        <v/>
      </c>
      <c r="AM63" s="112">
        <f>AM59/$C$7*100</f>
        <v/>
      </c>
      <c r="AN63" s="112">
        <f>AN59/$C$7*100</f>
        <v/>
      </c>
      <c r="AO63" s="112">
        <f>AO59/$C$7*100</f>
        <v/>
      </c>
      <c r="AP63" s="112">
        <f>AP59/$C$7*100</f>
        <v/>
      </c>
      <c r="AQ63" s="112">
        <f>AQ59/$C$7*100</f>
        <v/>
      </c>
      <c r="AR63" s="112">
        <f>AR59/$C$7*100</f>
        <v/>
      </c>
      <c r="AS63" s="112">
        <f>AS59/$C$7*100</f>
        <v/>
      </c>
      <c r="AT63" s="112">
        <f>AT59/$C$7*100</f>
        <v/>
      </c>
      <c r="AU63" s="112">
        <f>AU59/$C$7*100</f>
        <v/>
      </c>
      <c r="AV63" s="112">
        <f>AV59/$C$7*100</f>
        <v/>
      </c>
      <c r="AW63" s="112">
        <f>AW59/$C$7*100</f>
        <v/>
      </c>
      <c r="AX63" s="112">
        <f>AX59/$C$7*100</f>
        <v/>
      </c>
      <c r="AY63" s="112">
        <f>AY59/$C$7*100</f>
        <v/>
      </c>
      <c r="AZ63" s="112">
        <f>AZ59/$C$7*100</f>
        <v/>
      </c>
      <c r="BA63" s="112">
        <f>BA59/$C$7*100</f>
        <v/>
      </c>
      <c r="BB63" s="112">
        <f>BB59/$C$7*100</f>
        <v/>
      </c>
      <c r="BC63" s="112">
        <f>BC59/$C$7*100</f>
        <v/>
      </c>
      <c r="BD63" s="112">
        <f>BD59/$C$7*100</f>
        <v/>
      </c>
      <c r="BE63" s="112">
        <f>BE59/$C$7*100</f>
        <v/>
      </c>
      <c r="BF63" s="112">
        <f>BF59/$C$7*100</f>
        <v/>
      </c>
      <c r="BG63" s="112">
        <f>BG59/$C$7*100</f>
        <v/>
      </c>
      <c r="BH63" s="112">
        <f>BH59/$C$7*100</f>
        <v/>
      </c>
      <c r="BI63" s="112">
        <f>BI59/$C$7*100</f>
        <v/>
      </c>
      <c r="BJ63" s="112">
        <f>BJ59/$C$7*100</f>
        <v/>
      </c>
      <c r="BK63" s="112">
        <f>BK59/$C$7*100</f>
        <v/>
      </c>
      <c r="BL63" s="112">
        <f>BL59/$C$7*100</f>
        <v/>
      </c>
      <c r="BM63" s="112">
        <f>BM59/$C$7*100</f>
        <v/>
      </c>
      <c r="BN63" s="112">
        <f>BN59/$C$7*100</f>
        <v/>
      </c>
      <c r="BO63" s="112">
        <f>BO59/$C$7*100</f>
        <v/>
      </c>
      <c r="BP63" s="112">
        <f>BP59/$C$7*100</f>
        <v/>
      </c>
      <c r="BQ63" s="112">
        <f>BQ59/$C$7*100</f>
        <v/>
      </c>
      <c r="BR63" s="112">
        <f>BR59/$C$7*100</f>
        <v/>
      </c>
      <c r="BS63" s="112">
        <f>BS59/$C$7*100</f>
        <v/>
      </c>
      <c r="BT63" s="112">
        <f>BT59/$C$7*100</f>
        <v/>
      </c>
      <c r="BU63" s="112">
        <f>BU59/$C$7*100</f>
        <v/>
      </c>
      <c r="BV63" s="112">
        <f>BV59/$C$7*100</f>
        <v/>
      </c>
      <c r="BW63" s="112">
        <f>BW59/$C$7*100</f>
        <v/>
      </c>
      <c r="BX63" s="112">
        <f>BX59/$C$7*100</f>
        <v/>
      </c>
      <c r="BY63" s="112">
        <f>BY59/$C$7*100</f>
        <v/>
      </c>
      <c r="BZ63" s="112">
        <f>BZ59/$C$7*100</f>
        <v/>
      </c>
      <c r="CA63" s="112">
        <f>CA59/$C$7*100</f>
        <v/>
      </c>
      <c r="CB63" s="112">
        <f>CB59/$C$7*100</f>
        <v/>
      </c>
      <c r="CC63" s="112">
        <f>CC59/$C$7*100</f>
        <v/>
      </c>
      <c r="CD63" s="112">
        <f>CD59/$C$7*100</f>
        <v/>
      </c>
      <c r="CE63" s="112">
        <f>CE59/$C$7*100</f>
        <v/>
      </c>
      <c r="CF63" s="112">
        <f>CF59/$C$7*100</f>
        <v/>
      </c>
      <c r="CG63" s="112">
        <f>CG59/$C$7*100</f>
        <v/>
      </c>
      <c r="CH63" s="112">
        <f>CH59/$C$7*100</f>
        <v/>
      </c>
      <c r="CI63" s="112">
        <f>CI59/$C$7*100</f>
        <v/>
      </c>
      <c r="CJ63" s="112">
        <f>CJ59/$C$7*100</f>
        <v/>
      </c>
      <c r="CK63" s="112">
        <f>CK59/$C$7*100</f>
        <v/>
      </c>
      <c r="CL63" s="112">
        <f>CL59/$C$7*100</f>
        <v/>
      </c>
      <c r="CM63" s="112">
        <f>CM59/$C$7*100</f>
        <v/>
      </c>
      <c r="CN63" s="112">
        <f>CN59/$C$7*100</f>
        <v/>
      </c>
      <c r="CO63" s="112">
        <f>CO59/$C$7*100</f>
        <v/>
      </c>
      <c r="CP63" s="46" t="n"/>
      <c r="CQ63" s="46" t="n"/>
      <c r="CR63" s="46" t="n"/>
      <c r="CS63" s="46" t="n"/>
      <c r="CT63" s="46" t="n"/>
      <c r="CU63" s="46" t="n"/>
      <c r="CV63" s="46" t="n"/>
      <c r="CW63" s="46" t="n"/>
      <c r="CX63" s="46" t="n"/>
      <c r="CY63" s="46" t="n"/>
      <c r="CZ63" s="46" t="n"/>
      <c r="DA63" s="46" t="n"/>
    </row>
    <row r="64" ht="18" customHeight="1">
      <c r="A64" s="46" t="n"/>
      <c r="B64" s="52" t="inlineStr">
        <is>
          <t>Unhedged (USD)</t>
        </is>
      </c>
      <c r="C64" s="112">
        <f>C58/$C$7*100</f>
        <v/>
      </c>
      <c r="D64" s="112">
        <f>D58/$C$7*100</f>
        <v/>
      </c>
      <c r="E64" s="112">
        <f>E58/$C$7*100</f>
        <v/>
      </c>
      <c r="F64" s="112">
        <f>F58/$C$7*100</f>
        <v/>
      </c>
      <c r="G64" s="112">
        <f>G58/$C$7*100</f>
        <v/>
      </c>
      <c r="H64" s="112">
        <f>H58/$C$7*100</f>
        <v/>
      </c>
      <c r="I64" s="112">
        <f>I58/$C$7*100</f>
        <v/>
      </c>
      <c r="J64" s="112">
        <f>J58/$C$7*100</f>
        <v/>
      </c>
      <c r="K64" s="112">
        <f>K58/$C$7*100</f>
        <v/>
      </c>
      <c r="L64" s="112">
        <f>L58/$C$7*100</f>
        <v/>
      </c>
      <c r="M64" s="112">
        <f>M58/$C$7*100</f>
        <v/>
      </c>
      <c r="N64" s="112">
        <f>N58/$C$7*100</f>
        <v/>
      </c>
      <c r="O64" s="112">
        <f>O58/$C$7*100</f>
        <v/>
      </c>
      <c r="P64" s="112">
        <f>P58/$C$7*100</f>
        <v/>
      </c>
      <c r="Q64" s="112">
        <f>Q58/$C$7*100</f>
        <v/>
      </c>
      <c r="R64" s="112">
        <f>R58/$C$7*100</f>
        <v/>
      </c>
      <c r="S64" s="112">
        <f>S58/$C$7*100</f>
        <v/>
      </c>
      <c r="T64" s="112">
        <f>T58/$C$7*100</f>
        <v/>
      </c>
      <c r="U64" s="112">
        <f>U58/$C$7*100</f>
        <v/>
      </c>
      <c r="V64" s="112">
        <f>V58/$C$7*100</f>
        <v/>
      </c>
      <c r="W64" s="112">
        <f>W58/$C$7*100</f>
        <v/>
      </c>
      <c r="X64" s="112">
        <f>X58/$C$7*100</f>
        <v/>
      </c>
      <c r="Y64" s="112">
        <f>Y58/$C$7*100</f>
        <v/>
      </c>
      <c r="Z64" s="112">
        <f>Z58/$C$7*100</f>
        <v/>
      </c>
      <c r="AA64" s="112">
        <f>AA58/$C$7*100</f>
        <v/>
      </c>
      <c r="AB64" s="112">
        <f>AB58/$C$7*100</f>
        <v/>
      </c>
      <c r="AC64" s="112">
        <f>AC58/$C$7*100</f>
        <v/>
      </c>
      <c r="AD64" s="112">
        <f>AD58/$C$7*100</f>
        <v/>
      </c>
      <c r="AE64" s="112">
        <f>AE58/$C$7*100</f>
        <v/>
      </c>
      <c r="AF64" s="112">
        <f>AF58/$C$7*100</f>
        <v/>
      </c>
      <c r="AG64" s="112">
        <f>AG58/$C$7*100</f>
        <v/>
      </c>
      <c r="AH64" s="112">
        <f>AH58/$C$7*100</f>
        <v/>
      </c>
      <c r="AI64" s="112">
        <f>AI58/$C$7*100</f>
        <v/>
      </c>
      <c r="AJ64" s="112">
        <f>AJ58/$C$7*100</f>
        <v/>
      </c>
      <c r="AK64" s="112">
        <f>AK58/$C$7*100</f>
        <v/>
      </c>
      <c r="AL64" s="112">
        <f>AL58/$C$7*100</f>
        <v/>
      </c>
      <c r="AM64" s="112">
        <f>AM58/$C$7*100</f>
        <v/>
      </c>
      <c r="AN64" s="112">
        <f>AN58/$C$7*100</f>
        <v/>
      </c>
      <c r="AO64" s="112">
        <f>AO58/$C$7*100</f>
        <v/>
      </c>
      <c r="AP64" s="112">
        <f>AP58/$C$7*100</f>
        <v/>
      </c>
      <c r="AQ64" s="112">
        <f>AQ58/$C$7*100</f>
        <v/>
      </c>
      <c r="AR64" s="112">
        <f>AR58/$C$7*100</f>
        <v/>
      </c>
      <c r="AS64" s="112">
        <f>AS58/$C$7*100</f>
        <v/>
      </c>
      <c r="AT64" s="112">
        <f>AT58/$C$7*100</f>
        <v/>
      </c>
      <c r="AU64" s="112">
        <f>AU58/$C$7*100</f>
        <v/>
      </c>
      <c r="AV64" s="112">
        <f>AV58/$C$7*100</f>
        <v/>
      </c>
      <c r="AW64" s="112">
        <f>AW58/$C$7*100</f>
        <v/>
      </c>
      <c r="AX64" s="112">
        <f>AX58/$C$7*100</f>
        <v/>
      </c>
      <c r="AY64" s="112">
        <f>AY58/$C$7*100</f>
        <v/>
      </c>
      <c r="AZ64" s="112">
        <f>AZ58/$C$7*100</f>
        <v/>
      </c>
      <c r="BA64" s="112">
        <f>BA58/$C$7*100</f>
        <v/>
      </c>
      <c r="BB64" s="112">
        <f>BB58/$C$7*100</f>
        <v/>
      </c>
      <c r="BC64" s="112">
        <f>BC58/$C$7*100</f>
        <v/>
      </c>
      <c r="BD64" s="112">
        <f>BD58/$C$7*100</f>
        <v/>
      </c>
      <c r="BE64" s="112">
        <f>BE58/$C$7*100</f>
        <v/>
      </c>
      <c r="BF64" s="112">
        <f>BF58/$C$7*100</f>
        <v/>
      </c>
      <c r="BG64" s="112">
        <f>BG58/$C$7*100</f>
        <v/>
      </c>
      <c r="BH64" s="112">
        <f>BH58/$C$7*100</f>
        <v/>
      </c>
      <c r="BI64" s="112">
        <f>BI58/$C$7*100</f>
        <v/>
      </c>
      <c r="BJ64" s="112">
        <f>BJ58/$C$7*100</f>
        <v/>
      </c>
      <c r="BK64" s="112">
        <f>BK58/$C$7*100</f>
        <v/>
      </c>
      <c r="BL64" s="112">
        <f>BL58/$C$7*100</f>
        <v/>
      </c>
      <c r="BM64" s="112">
        <f>BM58/$C$7*100</f>
        <v/>
      </c>
      <c r="BN64" s="112">
        <f>BN58/$C$7*100</f>
        <v/>
      </c>
      <c r="BO64" s="112">
        <f>BO58/$C$7*100</f>
        <v/>
      </c>
      <c r="BP64" s="112">
        <f>BP58/$C$7*100</f>
        <v/>
      </c>
      <c r="BQ64" s="112">
        <f>BQ58/$C$7*100</f>
        <v/>
      </c>
      <c r="BR64" s="112">
        <f>BR58/$C$7*100</f>
        <v/>
      </c>
      <c r="BS64" s="112">
        <f>BS58/$C$7*100</f>
        <v/>
      </c>
      <c r="BT64" s="112">
        <f>BT58/$C$7*100</f>
        <v/>
      </c>
      <c r="BU64" s="112">
        <f>BU58/$C$7*100</f>
        <v/>
      </c>
      <c r="BV64" s="112">
        <f>BV58/$C$7*100</f>
        <v/>
      </c>
      <c r="BW64" s="112">
        <f>BW58/$C$7*100</f>
        <v/>
      </c>
      <c r="BX64" s="112">
        <f>BX58/$C$7*100</f>
        <v/>
      </c>
      <c r="BY64" s="112">
        <f>BY58/$C$7*100</f>
        <v/>
      </c>
      <c r="BZ64" s="112">
        <f>BZ58/$C$7*100</f>
        <v/>
      </c>
      <c r="CA64" s="112">
        <f>CA58/$C$7*100</f>
        <v/>
      </c>
      <c r="CB64" s="112">
        <f>CB58/$C$7*100</f>
        <v/>
      </c>
      <c r="CC64" s="112">
        <f>CC58/$C$7*100</f>
        <v/>
      </c>
      <c r="CD64" s="112">
        <f>CD58/$C$7*100</f>
        <v/>
      </c>
      <c r="CE64" s="112">
        <f>CE58/$C$7*100</f>
        <v/>
      </c>
      <c r="CF64" s="112">
        <f>CF58/$C$7*100</f>
        <v/>
      </c>
      <c r="CG64" s="112">
        <f>CG58/$C$7*100</f>
        <v/>
      </c>
      <c r="CH64" s="112">
        <f>CH58/$C$7*100</f>
        <v/>
      </c>
      <c r="CI64" s="112">
        <f>CI58/$C$7*100</f>
        <v/>
      </c>
      <c r="CJ64" s="112">
        <f>CJ58/$C$7*100</f>
        <v/>
      </c>
      <c r="CK64" s="112">
        <f>CK58/$C$7*100</f>
        <v/>
      </c>
      <c r="CL64" s="112">
        <f>CL58/$C$7*100</f>
        <v/>
      </c>
      <c r="CM64" s="112">
        <f>CM58/$C$7*100</f>
        <v/>
      </c>
      <c r="CN64" s="112">
        <f>CN58/$C$7*100</f>
        <v/>
      </c>
      <c r="CO64" s="112">
        <f>CO58/$C$7*100</f>
        <v/>
      </c>
      <c r="CP64" s="46" t="n"/>
      <c r="CQ64" s="46" t="n"/>
      <c r="CR64" s="46" t="n"/>
      <c r="CS64" s="46" t="n"/>
      <c r="CT64" s="46" t="n"/>
      <c r="CU64" s="46" t="n"/>
      <c r="CV64" s="46" t="n"/>
      <c r="CW64" s="46" t="n"/>
      <c r="CX64" s="46" t="n"/>
      <c r="CY64" s="46" t="n"/>
      <c r="CZ64" s="46" t="n"/>
      <c r="DA64" s="46" t="n"/>
    </row>
    <row r="65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46" t="n"/>
      <c r="AE65" s="46" t="n"/>
      <c r="AF65" s="46" t="n"/>
      <c r="AG65" s="46" t="n"/>
      <c r="AH65" s="46" t="n"/>
      <c r="AI65" s="46" t="n"/>
      <c r="AJ65" s="46" t="n"/>
      <c r="AK65" s="46" t="n"/>
      <c r="AL65" s="46" t="n"/>
      <c r="AM65" s="46" t="n"/>
      <c r="AN65" s="46" t="n"/>
      <c r="AO65" s="46" t="n"/>
      <c r="AP65" s="46" t="n"/>
      <c r="AQ65" s="46" t="n"/>
      <c r="AR65" s="46" t="n"/>
      <c r="AS65" s="46" t="n"/>
      <c r="AT65" s="46" t="n"/>
      <c r="AU65" s="46" t="n"/>
      <c r="AV65" s="46" t="n"/>
      <c r="AW65" s="46" t="n"/>
      <c r="AX65" s="46" t="n"/>
      <c r="AY65" s="46" t="n"/>
      <c r="AZ65" s="46" t="n"/>
      <c r="BA65" s="46" t="n"/>
      <c r="BB65" s="46" t="n"/>
      <c r="BC65" s="46" t="n"/>
      <c r="BD65" s="46" t="n"/>
      <c r="BE65" s="46" t="n"/>
      <c r="BF65" s="46" t="n"/>
      <c r="BG65" s="46" t="n"/>
      <c r="BH65" s="46" t="n"/>
      <c r="BI65" s="46" t="n"/>
      <c r="BJ65" s="46" t="n"/>
      <c r="BK65" s="46" t="n"/>
      <c r="BL65" s="46" t="n"/>
      <c r="BM65" s="46" t="n"/>
      <c r="BN65" s="46" t="n"/>
      <c r="BO65" s="46" t="n"/>
      <c r="BP65" s="46" t="n"/>
      <c r="BQ65" s="46" t="n"/>
      <c r="BR65" s="46" t="n"/>
      <c r="BS65" s="46" t="n"/>
      <c r="BT65" s="46" t="n"/>
      <c r="BU65" s="46" t="n"/>
      <c r="BV65" s="46" t="n"/>
      <c r="BW65" s="46" t="n"/>
      <c r="BX65" s="46" t="n"/>
      <c r="BY65" s="46" t="n"/>
      <c r="BZ65" s="46" t="n"/>
      <c r="CA65" s="46" t="n"/>
      <c r="CB65" s="46" t="n"/>
      <c r="CC65" s="46" t="n"/>
      <c r="CD65" s="46" t="n"/>
      <c r="CE65" s="46" t="n"/>
      <c r="CF65" s="46" t="n"/>
      <c r="CG65" s="46" t="n"/>
      <c r="CH65" s="46" t="n"/>
      <c r="CI65" s="46" t="n"/>
      <c r="CJ65" s="46" t="n"/>
      <c r="CK65" s="46" t="n"/>
      <c r="CL65" s="46" t="n"/>
      <c r="CM65" s="46" t="n"/>
      <c r="CN65" s="46" t="n"/>
      <c r="CO65" s="46" t="n"/>
      <c r="CP65" s="46" t="n"/>
      <c r="CQ65" s="46" t="n"/>
      <c r="CR65" s="46" t="n"/>
      <c r="CS65" s="46" t="n"/>
      <c r="CT65" s="46" t="n"/>
      <c r="CU65" s="46" t="n"/>
      <c r="CV65" s="46" t="n"/>
      <c r="CW65" s="46" t="n"/>
      <c r="CX65" s="46" t="n"/>
      <c r="CY65" s="46" t="n"/>
      <c r="CZ65" s="46" t="n"/>
      <c r="DA65" s="46" t="n"/>
    </row>
    <row r="6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6" t="n"/>
      <c r="AB66" s="46" t="n"/>
      <c r="AC66" s="46" t="n"/>
      <c r="AD66" s="46" t="n"/>
      <c r="AE66" s="46" t="n"/>
      <c r="AF66" s="46" t="n"/>
      <c r="AG66" s="46" t="n"/>
      <c r="AH66" s="46" t="n"/>
      <c r="AI66" s="46" t="n"/>
      <c r="AJ66" s="46" t="n"/>
      <c r="AK66" s="46" t="n"/>
      <c r="AL66" s="46" t="n"/>
      <c r="AM66" s="46" t="n"/>
      <c r="AN66" s="46" t="n"/>
      <c r="AO66" s="46" t="n"/>
      <c r="AP66" s="46" t="n"/>
      <c r="AQ66" s="46" t="n"/>
      <c r="AR66" s="46" t="n"/>
      <c r="AS66" s="46" t="n"/>
      <c r="AT66" s="46" t="n"/>
      <c r="AU66" s="46" t="n"/>
      <c r="AV66" s="46" t="n"/>
      <c r="AW66" s="46" t="n"/>
      <c r="AX66" s="46" t="n"/>
      <c r="AY66" s="46" t="n"/>
      <c r="AZ66" s="46" t="n"/>
      <c r="BA66" s="46" t="n"/>
      <c r="BB66" s="46" t="n"/>
      <c r="BC66" s="46" t="n"/>
      <c r="BD66" s="46" t="n"/>
      <c r="BE66" s="46" t="n"/>
      <c r="BF66" s="46" t="n"/>
      <c r="BG66" s="46" t="n"/>
      <c r="BH66" s="46" t="n"/>
      <c r="BI66" s="46" t="n"/>
      <c r="BJ66" s="46" t="n"/>
      <c r="BK66" s="46" t="n"/>
      <c r="BL66" s="46" t="n"/>
      <c r="BM66" s="46" t="n"/>
      <c r="BN66" s="46" t="n"/>
      <c r="BO66" s="46" t="n"/>
      <c r="BP66" s="46" t="n"/>
      <c r="BQ66" s="46" t="n"/>
      <c r="BR66" s="46" t="n"/>
      <c r="BS66" s="46" t="n"/>
      <c r="BT66" s="46" t="n"/>
      <c r="BU66" s="46" t="n"/>
      <c r="BV66" s="46" t="n"/>
      <c r="BW66" s="46" t="n"/>
      <c r="BX66" s="46" t="n"/>
      <c r="BY66" s="46" t="n"/>
      <c r="BZ66" s="46" t="n"/>
      <c r="CA66" s="46" t="n"/>
      <c r="CB66" s="46" t="n"/>
      <c r="CC66" s="46" t="n"/>
      <c r="CD66" s="46" t="n"/>
      <c r="CE66" s="46" t="n"/>
      <c r="CF66" s="46" t="n"/>
      <c r="CG66" s="46" t="n"/>
      <c r="CH66" s="46" t="n"/>
      <c r="CI66" s="46" t="n"/>
      <c r="CJ66" s="46" t="n"/>
      <c r="CK66" s="46" t="n"/>
      <c r="CL66" s="46" t="n"/>
      <c r="CM66" s="46" t="n"/>
      <c r="CN66" s="46" t="n"/>
      <c r="CO66" s="46" t="n"/>
      <c r="CP66" s="46" t="n"/>
      <c r="CQ66" s="46" t="n"/>
      <c r="CR66" s="46" t="n"/>
      <c r="CS66" s="46" t="n"/>
      <c r="CT66" s="46" t="n"/>
      <c r="CU66" s="46" t="n"/>
      <c r="CV66" s="46" t="n"/>
      <c r="CW66" s="46" t="n"/>
      <c r="CX66" s="46" t="n"/>
      <c r="CY66" s="46" t="n"/>
      <c r="CZ66" s="46" t="n"/>
      <c r="DA66" s="46" t="n"/>
    </row>
    <row r="67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6" t="n"/>
      <c r="AG67" s="46" t="n"/>
      <c r="AH67" s="46" t="n"/>
      <c r="AI67" s="46" t="n"/>
      <c r="AJ67" s="46" t="n"/>
      <c r="AK67" s="46" t="n"/>
      <c r="AL67" s="46" t="n"/>
      <c r="AM67" s="46" t="n"/>
      <c r="AN67" s="46" t="n"/>
      <c r="AO67" s="46" t="n"/>
      <c r="AP67" s="46" t="n"/>
      <c r="AQ67" s="46" t="n"/>
      <c r="AR67" s="46" t="n"/>
      <c r="AS67" s="46" t="n"/>
      <c r="AT67" s="46" t="n"/>
      <c r="AU67" s="46" t="n"/>
      <c r="AV67" s="46" t="n"/>
      <c r="AW67" s="46" t="n"/>
      <c r="AX67" s="46" t="n"/>
      <c r="AY67" s="46" t="n"/>
      <c r="AZ67" s="46" t="n"/>
      <c r="BA67" s="46" t="n"/>
      <c r="BB67" s="46" t="n"/>
      <c r="BC67" s="46" t="n"/>
      <c r="BD67" s="46" t="n"/>
      <c r="BE67" s="46" t="n"/>
      <c r="BF67" s="46" t="n"/>
      <c r="BG67" s="46" t="n"/>
      <c r="BH67" s="46" t="n"/>
      <c r="BI67" s="46" t="n"/>
      <c r="BJ67" s="46" t="n"/>
      <c r="BK67" s="46" t="n"/>
      <c r="BL67" s="46" t="n"/>
      <c r="BM67" s="46" t="n"/>
      <c r="BN67" s="46" t="n"/>
      <c r="BO67" s="46" t="n"/>
      <c r="BP67" s="46" t="n"/>
      <c r="BQ67" s="46" t="n"/>
      <c r="BR67" s="46" t="n"/>
      <c r="BS67" s="46" t="n"/>
      <c r="BT67" s="46" t="n"/>
      <c r="BU67" s="46" t="n"/>
      <c r="BV67" s="46" t="n"/>
      <c r="BW67" s="46" t="n"/>
      <c r="BX67" s="46" t="n"/>
      <c r="BY67" s="46" t="n"/>
      <c r="BZ67" s="46" t="n"/>
      <c r="CA67" s="46" t="n"/>
      <c r="CB67" s="46" t="n"/>
      <c r="CC67" s="46" t="n"/>
      <c r="CD67" s="46" t="n"/>
      <c r="CE67" s="46" t="n"/>
      <c r="CF67" s="46" t="n"/>
      <c r="CG67" s="46" t="n"/>
      <c r="CH67" s="46" t="n"/>
      <c r="CI67" s="46" t="n"/>
      <c r="CJ67" s="46" t="n"/>
      <c r="CK67" s="46" t="n"/>
      <c r="CL67" s="46" t="n"/>
      <c r="CM67" s="46" t="n"/>
      <c r="CN67" s="46" t="n"/>
      <c r="CO67" s="46" t="n"/>
      <c r="CP67" s="46" t="n"/>
      <c r="CQ67" s="46" t="n"/>
      <c r="CR67" s="46" t="n"/>
      <c r="CS67" s="46" t="n"/>
      <c r="CT67" s="46" t="n"/>
      <c r="CU67" s="46" t="n"/>
      <c r="CV67" s="46" t="n"/>
      <c r="CW67" s="46" t="n"/>
      <c r="CX67" s="46" t="n"/>
      <c r="CY67" s="46" t="n"/>
      <c r="CZ67" s="46" t="n"/>
      <c r="DA67" s="46" t="n"/>
    </row>
    <row r="68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  <c r="AD68" s="46" t="n"/>
      <c r="AE68" s="46" t="n"/>
      <c r="AF68" s="46" t="n"/>
      <c r="AG68" s="46" t="n"/>
      <c r="AH68" s="46" t="n"/>
      <c r="AI68" s="46" t="n"/>
      <c r="AJ68" s="46" t="n"/>
      <c r="AK68" s="46" t="n"/>
      <c r="AL68" s="46" t="n"/>
      <c r="AM68" s="46" t="n"/>
      <c r="AN68" s="46" t="n"/>
      <c r="AO68" s="46" t="n"/>
      <c r="AP68" s="46" t="n"/>
      <c r="AQ68" s="46" t="n"/>
      <c r="AR68" s="46" t="n"/>
      <c r="AS68" s="46" t="n"/>
      <c r="AT68" s="46" t="n"/>
      <c r="AU68" s="46" t="n"/>
      <c r="AV68" s="46" t="n"/>
      <c r="AW68" s="46" t="n"/>
      <c r="AX68" s="46" t="n"/>
      <c r="AY68" s="46" t="n"/>
      <c r="AZ68" s="46" t="n"/>
      <c r="BA68" s="46" t="n"/>
      <c r="BB68" s="46" t="n"/>
      <c r="BC68" s="46" t="n"/>
      <c r="BD68" s="46" t="n"/>
      <c r="BE68" s="46" t="n"/>
      <c r="BF68" s="46" t="n"/>
      <c r="BG68" s="46" t="n"/>
      <c r="BH68" s="46" t="n"/>
      <c r="BI68" s="46" t="n"/>
      <c r="BJ68" s="46" t="n"/>
      <c r="BK68" s="46" t="n"/>
      <c r="BL68" s="46" t="n"/>
      <c r="BM68" s="46" t="n"/>
      <c r="BN68" s="46" t="n"/>
      <c r="BO68" s="46" t="n"/>
      <c r="BP68" s="46" t="n"/>
      <c r="BQ68" s="46" t="n"/>
      <c r="BR68" s="46" t="n"/>
      <c r="BS68" s="46" t="n"/>
      <c r="BT68" s="46" t="n"/>
      <c r="BU68" s="46" t="n"/>
      <c r="BV68" s="46" t="n"/>
      <c r="BW68" s="46" t="n"/>
      <c r="BX68" s="46" t="n"/>
      <c r="BY68" s="46" t="n"/>
      <c r="BZ68" s="46" t="n"/>
      <c r="CA68" s="46" t="n"/>
      <c r="CB68" s="46" t="n"/>
      <c r="CC68" s="46" t="n"/>
      <c r="CD68" s="46" t="n"/>
      <c r="CE68" s="46" t="n"/>
      <c r="CF68" s="46" t="n"/>
      <c r="CG68" s="46" t="n"/>
      <c r="CH68" s="46" t="n"/>
      <c r="CI68" s="46" t="n"/>
      <c r="CJ68" s="46" t="n"/>
      <c r="CK68" s="46" t="n"/>
      <c r="CL68" s="46" t="n"/>
      <c r="CM68" s="46" t="n"/>
      <c r="CN68" s="46" t="n"/>
      <c r="CO68" s="46" t="n"/>
      <c r="CP68" s="46" t="n"/>
      <c r="CQ68" s="46" t="n"/>
      <c r="CR68" s="46" t="n"/>
      <c r="CS68" s="46" t="n"/>
      <c r="CT68" s="46" t="n"/>
      <c r="CU68" s="46" t="n"/>
      <c r="CV68" s="46" t="n"/>
      <c r="CW68" s="46" t="n"/>
      <c r="CX68" s="46" t="n"/>
      <c r="CY68" s="46" t="n"/>
      <c r="CZ68" s="46" t="n"/>
      <c r="DA68" s="46" t="n"/>
    </row>
    <row r="69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  <c r="AG69" s="46" t="n"/>
      <c r="AH69" s="46" t="n"/>
      <c r="AI69" s="46" t="n"/>
      <c r="AJ69" s="46" t="n"/>
      <c r="AK69" s="46" t="n"/>
      <c r="AL69" s="46" t="n"/>
      <c r="AM69" s="46" t="n"/>
      <c r="AN69" s="46" t="n"/>
      <c r="AO69" s="46" t="n"/>
      <c r="AP69" s="46" t="n"/>
      <c r="AQ69" s="46" t="n"/>
      <c r="AR69" s="46" t="n"/>
      <c r="AS69" s="46" t="n"/>
      <c r="AT69" s="46" t="n"/>
      <c r="AU69" s="46" t="n"/>
      <c r="AV69" s="46" t="n"/>
      <c r="AW69" s="46" t="n"/>
      <c r="AX69" s="46" t="n"/>
      <c r="AY69" s="46" t="n"/>
      <c r="AZ69" s="46" t="n"/>
      <c r="BA69" s="46" t="n"/>
      <c r="BB69" s="46" t="n"/>
      <c r="BC69" s="46" t="n"/>
      <c r="BD69" s="46" t="n"/>
      <c r="BE69" s="46" t="n"/>
      <c r="BF69" s="46" t="n"/>
      <c r="BG69" s="46" t="n"/>
      <c r="BH69" s="46" t="n"/>
      <c r="BI69" s="46" t="n"/>
      <c r="BJ69" s="46" t="n"/>
      <c r="BK69" s="46" t="n"/>
      <c r="BL69" s="46" t="n"/>
      <c r="BM69" s="46" t="n"/>
      <c r="BN69" s="46" t="n"/>
      <c r="BO69" s="46" t="n"/>
      <c r="BP69" s="46" t="n"/>
      <c r="BQ69" s="46" t="n"/>
      <c r="BR69" s="46" t="n"/>
      <c r="BS69" s="46" t="n"/>
      <c r="BT69" s="46" t="n"/>
      <c r="BU69" s="46" t="n"/>
      <c r="BV69" s="46" t="n"/>
      <c r="BW69" s="46" t="n"/>
      <c r="BX69" s="46" t="n"/>
      <c r="BY69" s="46" t="n"/>
      <c r="BZ69" s="46" t="n"/>
      <c r="CA69" s="46" t="n"/>
      <c r="CB69" s="46" t="n"/>
      <c r="CC69" s="46" t="n"/>
      <c r="CD69" s="46" t="n"/>
      <c r="CE69" s="46" t="n"/>
      <c r="CF69" s="46" t="n"/>
      <c r="CG69" s="46" t="n"/>
      <c r="CH69" s="46" t="n"/>
      <c r="CI69" s="46" t="n"/>
      <c r="CJ69" s="46" t="n"/>
      <c r="CK69" s="46" t="n"/>
      <c r="CL69" s="46" t="n"/>
      <c r="CM69" s="46" t="n"/>
      <c r="CN69" s="46" t="n"/>
      <c r="CO69" s="46" t="n"/>
      <c r="CP69" s="46" t="n"/>
      <c r="CQ69" s="46" t="n"/>
      <c r="CR69" s="46" t="n"/>
      <c r="CS69" s="46" t="n"/>
      <c r="CT69" s="46" t="n"/>
      <c r="CU69" s="46" t="n"/>
      <c r="CV69" s="46" t="n"/>
      <c r="CW69" s="46" t="n"/>
      <c r="CX69" s="46" t="n"/>
      <c r="CY69" s="46" t="n"/>
      <c r="CZ69" s="46" t="n"/>
      <c r="DA69" s="46" t="n"/>
    </row>
    <row r="70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  <c r="AG70" s="46" t="n"/>
      <c r="AH70" s="46" t="n"/>
      <c r="AI70" s="46" t="n"/>
      <c r="AJ70" s="46" t="n"/>
      <c r="AK70" s="46" t="n"/>
      <c r="AL70" s="46" t="n"/>
      <c r="AM70" s="46" t="n"/>
      <c r="AN70" s="46" t="n"/>
      <c r="AO70" s="46" t="n"/>
      <c r="AP70" s="46" t="n"/>
      <c r="AQ70" s="46" t="n"/>
      <c r="AR70" s="46" t="n"/>
      <c r="AS70" s="46" t="n"/>
      <c r="AT70" s="46" t="n"/>
      <c r="AU70" s="46" t="n"/>
      <c r="AV70" s="46" t="n"/>
      <c r="AW70" s="46" t="n"/>
      <c r="AX70" s="46" t="n"/>
      <c r="AY70" s="46" t="n"/>
      <c r="AZ70" s="46" t="n"/>
      <c r="BA70" s="46" t="n"/>
      <c r="BB70" s="46" t="n"/>
      <c r="BC70" s="46" t="n"/>
      <c r="BD70" s="46" t="n"/>
      <c r="BE70" s="46" t="n"/>
      <c r="BF70" s="46" t="n"/>
      <c r="BG70" s="46" t="n"/>
      <c r="BH70" s="46" t="n"/>
      <c r="BI70" s="46" t="n"/>
      <c r="BJ70" s="46" t="n"/>
      <c r="BK70" s="46" t="n"/>
      <c r="BL70" s="46" t="n"/>
      <c r="BM70" s="46" t="n"/>
      <c r="BN70" s="46" t="n"/>
      <c r="BO70" s="46" t="n"/>
      <c r="BP70" s="46" t="n"/>
      <c r="BQ70" s="46" t="n"/>
      <c r="BR70" s="46" t="n"/>
      <c r="BS70" s="46" t="n"/>
      <c r="BT70" s="46" t="n"/>
      <c r="BU70" s="46" t="n"/>
      <c r="BV70" s="46" t="n"/>
      <c r="BW70" s="46" t="n"/>
      <c r="BX70" s="46" t="n"/>
      <c r="BY70" s="46" t="n"/>
      <c r="BZ70" s="46" t="n"/>
      <c r="CA70" s="46" t="n"/>
      <c r="CB70" s="46" t="n"/>
      <c r="CC70" s="46" t="n"/>
      <c r="CD70" s="46" t="n"/>
      <c r="CE70" s="46" t="n"/>
      <c r="CF70" s="46" t="n"/>
      <c r="CG70" s="46" t="n"/>
      <c r="CH70" s="46" t="n"/>
      <c r="CI70" s="46" t="n"/>
      <c r="CJ70" s="46" t="n"/>
      <c r="CK70" s="46" t="n"/>
      <c r="CL70" s="46" t="n"/>
      <c r="CM70" s="46" t="n"/>
      <c r="CN70" s="46" t="n"/>
      <c r="CO70" s="46" t="n"/>
      <c r="CP70" s="46" t="n"/>
      <c r="CQ70" s="46" t="n"/>
      <c r="CR70" s="46" t="n"/>
      <c r="CS70" s="46" t="n"/>
      <c r="CT70" s="46" t="n"/>
      <c r="CU70" s="46" t="n"/>
      <c r="CV70" s="46" t="n"/>
      <c r="CW70" s="46" t="n"/>
      <c r="CX70" s="46" t="n"/>
      <c r="CY70" s="46" t="n"/>
      <c r="CZ70" s="46" t="n"/>
      <c r="DA70" s="46" t="n"/>
    </row>
    <row r="71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  <c r="AG71" s="46" t="n"/>
      <c r="AH71" s="46" t="n"/>
      <c r="AI71" s="46" t="n"/>
      <c r="AJ71" s="46" t="n"/>
      <c r="AK71" s="46" t="n"/>
      <c r="AL71" s="46" t="n"/>
      <c r="AM71" s="46" t="n"/>
      <c r="AN71" s="46" t="n"/>
      <c r="AO71" s="46" t="n"/>
      <c r="AP71" s="46" t="n"/>
      <c r="AQ71" s="46" t="n"/>
      <c r="AR71" s="46" t="n"/>
      <c r="AS71" s="46" t="n"/>
      <c r="AT71" s="46" t="n"/>
      <c r="AU71" s="46" t="n"/>
      <c r="AV71" s="46" t="n"/>
      <c r="AW71" s="46" t="n"/>
      <c r="AX71" s="46" t="n"/>
      <c r="AY71" s="46" t="n"/>
      <c r="AZ71" s="46" t="n"/>
      <c r="BA71" s="46" t="n"/>
      <c r="BB71" s="46" t="n"/>
      <c r="BC71" s="46" t="n"/>
      <c r="BD71" s="46" t="n"/>
      <c r="BE71" s="46" t="n"/>
      <c r="BF71" s="46" t="n"/>
      <c r="BG71" s="46" t="n"/>
      <c r="BH71" s="46" t="n"/>
      <c r="BI71" s="46" t="n"/>
      <c r="BJ71" s="46" t="n"/>
      <c r="BK71" s="46" t="n"/>
      <c r="BL71" s="46" t="n"/>
      <c r="BM71" s="46" t="n"/>
      <c r="BN71" s="46" t="n"/>
      <c r="BO71" s="46" t="n"/>
      <c r="BP71" s="46" t="n"/>
      <c r="BQ71" s="46" t="n"/>
      <c r="BR71" s="46" t="n"/>
      <c r="BS71" s="46" t="n"/>
      <c r="BT71" s="46" t="n"/>
      <c r="BU71" s="46" t="n"/>
      <c r="BV71" s="46" t="n"/>
      <c r="BW71" s="46" t="n"/>
      <c r="BX71" s="46" t="n"/>
      <c r="BY71" s="46" t="n"/>
      <c r="BZ71" s="46" t="n"/>
      <c r="CA71" s="46" t="n"/>
      <c r="CB71" s="46" t="n"/>
      <c r="CC71" s="46" t="n"/>
      <c r="CD71" s="46" t="n"/>
      <c r="CE71" s="46" t="n"/>
      <c r="CF71" s="46" t="n"/>
      <c r="CG71" s="46" t="n"/>
      <c r="CH71" s="46" t="n"/>
      <c r="CI71" s="46" t="n"/>
      <c r="CJ71" s="46" t="n"/>
      <c r="CK71" s="46" t="n"/>
      <c r="CL71" s="46" t="n"/>
      <c r="CM71" s="46" t="n"/>
      <c r="CN71" s="46" t="n"/>
      <c r="CO71" s="46" t="n"/>
      <c r="CP71" s="46" t="n"/>
      <c r="CQ71" s="46" t="n"/>
      <c r="CR71" s="46" t="n"/>
      <c r="CS71" s="46" t="n"/>
      <c r="CT71" s="46" t="n"/>
      <c r="CU71" s="46" t="n"/>
      <c r="CV71" s="46" t="n"/>
      <c r="CW71" s="46" t="n"/>
      <c r="CX71" s="46" t="n"/>
      <c r="CY71" s="46" t="n"/>
      <c r="CZ71" s="46" t="n"/>
      <c r="DA71" s="46" t="n"/>
    </row>
    <row r="72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  <c r="AG72" s="46" t="n"/>
      <c r="AH72" s="46" t="n"/>
      <c r="AI72" s="46" t="n"/>
      <c r="AJ72" s="46" t="n"/>
      <c r="AK72" s="46" t="n"/>
      <c r="AL72" s="46" t="n"/>
      <c r="AM72" s="46" t="n"/>
      <c r="AN72" s="46" t="n"/>
      <c r="AO72" s="46" t="n"/>
      <c r="AP72" s="46" t="n"/>
      <c r="AQ72" s="46" t="n"/>
      <c r="AR72" s="46" t="n"/>
      <c r="AS72" s="46" t="n"/>
      <c r="AT72" s="46" t="n"/>
      <c r="AU72" s="46" t="n"/>
      <c r="AV72" s="46" t="n"/>
      <c r="AW72" s="46" t="n"/>
      <c r="AX72" s="46" t="n"/>
      <c r="AY72" s="46" t="n"/>
      <c r="AZ72" s="46" t="n"/>
      <c r="BA72" s="46" t="n"/>
      <c r="BB72" s="46" t="n"/>
      <c r="BC72" s="46" t="n"/>
      <c r="BD72" s="46" t="n"/>
      <c r="BE72" s="46" t="n"/>
      <c r="BF72" s="46" t="n"/>
      <c r="BG72" s="46" t="n"/>
      <c r="BH72" s="46" t="n"/>
      <c r="BI72" s="46" t="n"/>
      <c r="BJ72" s="46" t="n"/>
      <c r="BK72" s="46" t="n"/>
      <c r="BL72" s="46" t="n"/>
      <c r="BM72" s="46" t="n"/>
      <c r="BN72" s="46" t="n"/>
      <c r="BO72" s="46" t="n"/>
      <c r="BP72" s="46" t="n"/>
      <c r="BQ72" s="46" t="n"/>
      <c r="BR72" s="46" t="n"/>
      <c r="BS72" s="46" t="n"/>
      <c r="BT72" s="46" t="n"/>
      <c r="BU72" s="46" t="n"/>
      <c r="BV72" s="46" t="n"/>
      <c r="BW72" s="46" t="n"/>
      <c r="BX72" s="46" t="n"/>
      <c r="BY72" s="46" t="n"/>
      <c r="BZ72" s="46" t="n"/>
      <c r="CA72" s="46" t="n"/>
      <c r="CB72" s="46" t="n"/>
      <c r="CC72" s="46" t="n"/>
      <c r="CD72" s="46" t="n"/>
      <c r="CE72" s="46" t="n"/>
      <c r="CF72" s="46" t="n"/>
      <c r="CG72" s="46" t="n"/>
      <c r="CH72" s="46" t="n"/>
      <c r="CI72" s="46" t="n"/>
      <c r="CJ72" s="46" t="n"/>
      <c r="CK72" s="46" t="n"/>
      <c r="CL72" s="46" t="n"/>
      <c r="CM72" s="46" t="n"/>
      <c r="CN72" s="46" t="n"/>
      <c r="CO72" s="46" t="n"/>
      <c r="CP72" s="46" t="n"/>
      <c r="CQ72" s="46" t="n"/>
      <c r="CR72" s="46" t="n"/>
      <c r="CS72" s="46" t="n"/>
      <c r="CT72" s="46" t="n"/>
      <c r="CU72" s="46" t="n"/>
      <c r="CV72" s="46" t="n"/>
      <c r="CW72" s="46" t="n"/>
      <c r="CX72" s="46" t="n"/>
      <c r="CY72" s="46" t="n"/>
      <c r="CZ72" s="46" t="n"/>
      <c r="DA72" s="46" t="n"/>
    </row>
    <row r="73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46" t="n"/>
      <c r="AE73" s="46" t="n"/>
      <c r="AF73" s="46" t="n"/>
      <c r="AG73" s="46" t="n"/>
      <c r="AH73" s="46" t="n"/>
      <c r="AI73" s="46" t="n"/>
      <c r="AJ73" s="46" t="n"/>
      <c r="AK73" s="46" t="n"/>
      <c r="AL73" s="46" t="n"/>
      <c r="AM73" s="46" t="n"/>
      <c r="AN73" s="46" t="n"/>
      <c r="AO73" s="46" t="n"/>
      <c r="AP73" s="46" t="n"/>
      <c r="AQ73" s="46" t="n"/>
      <c r="AR73" s="46" t="n"/>
      <c r="AS73" s="46" t="n"/>
      <c r="AT73" s="46" t="n"/>
      <c r="AU73" s="46" t="n"/>
      <c r="AV73" s="46" t="n"/>
      <c r="AW73" s="46" t="n"/>
      <c r="AX73" s="46" t="n"/>
      <c r="AY73" s="46" t="n"/>
      <c r="AZ73" s="46" t="n"/>
      <c r="BA73" s="46" t="n"/>
      <c r="BB73" s="46" t="n"/>
      <c r="BC73" s="46" t="n"/>
      <c r="BD73" s="46" t="n"/>
      <c r="BE73" s="46" t="n"/>
      <c r="BF73" s="46" t="n"/>
      <c r="BG73" s="46" t="n"/>
      <c r="BH73" s="46" t="n"/>
      <c r="BI73" s="46" t="n"/>
      <c r="BJ73" s="46" t="n"/>
      <c r="BK73" s="46" t="n"/>
      <c r="BL73" s="46" t="n"/>
      <c r="BM73" s="46" t="n"/>
      <c r="BN73" s="46" t="n"/>
      <c r="BO73" s="46" t="n"/>
      <c r="BP73" s="46" t="n"/>
      <c r="BQ73" s="46" t="n"/>
      <c r="BR73" s="46" t="n"/>
      <c r="BS73" s="46" t="n"/>
      <c r="BT73" s="46" t="n"/>
      <c r="BU73" s="46" t="n"/>
      <c r="BV73" s="46" t="n"/>
      <c r="BW73" s="46" t="n"/>
      <c r="BX73" s="46" t="n"/>
      <c r="BY73" s="46" t="n"/>
      <c r="BZ73" s="46" t="n"/>
      <c r="CA73" s="46" t="n"/>
      <c r="CB73" s="46" t="n"/>
      <c r="CC73" s="46" t="n"/>
      <c r="CD73" s="46" t="n"/>
      <c r="CE73" s="46" t="n"/>
      <c r="CF73" s="46" t="n"/>
      <c r="CG73" s="46" t="n"/>
      <c r="CH73" s="46" t="n"/>
      <c r="CI73" s="46" t="n"/>
      <c r="CJ73" s="46" t="n"/>
      <c r="CK73" s="46" t="n"/>
      <c r="CL73" s="46" t="n"/>
      <c r="CM73" s="46" t="n"/>
      <c r="CN73" s="46" t="n"/>
      <c r="CO73" s="46" t="n"/>
      <c r="CP73" s="46" t="n"/>
      <c r="CQ73" s="46" t="n"/>
      <c r="CR73" s="46" t="n"/>
      <c r="CS73" s="46" t="n"/>
      <c r="CT73" s="46" t="n"/>
      <c r="CU73" s="46" t="n"/>
      <c r="CV73" s="46" t="n"/>
      <c r="CW73" s="46" t="n"/>
      <c r="CX73" s="46" t="n"/>
      <c r="CY73" s="46" t="n"/>
      <c r="CZ73" s="46" t="n"/>
      <c r="DA73" s="46" t="n"/>
    </row>
    <row r="74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6" t="n"/>
      <c r="AB74" s="46" t="n"/>
      <c r="AC74" s="46" t="n"/>
      <c r="AD74" s="46" t="n"/>
      <c r="AE74" s="46" t="n"/>
      <c r="AF74" s="46" t="n"/>
      <c r="AG74" s="46" t="n"/>
      <c r="AH74" s="46" t="n"/>
      <c r="AI74" s="46" t="n"/>
      <c r="AJ74" s="46" t="n"/>
      <c r="AK74" s="46" t="n"/>
      <c r="AL74" s="46" t="n"/>
      <c r="AM74" s="46" t="n"/>
      <c r="AN74" s="46" t="n"/>
      <c r="AO74" s="46" t="n"/>
      <c r="AP74" s="46" t="n"/>
      <c r="AQ74" s="46" t="n"/>
      <c r="AR74" s="46" t="n"/>
      <c r="AS74" s="46" t="n"/>
      <c r="AT74" s="46" t="n"/>
      <c r="AU74" s="46" t="n"/>
      <c r="AV74" s="46" t="n"/>
      <c r="AW74" s="46" t="n"/>
      <c r="AX74" s="46" t="n"/>
      <c r="AY74" s="46" t="n"/>
      <c r="AZ74" s="46" t="n"/>
      <c r="BA74" s="46" t="n"/>
      <c r="BB74" s="46" t="n"/>
      <c r="BC74" s="46" t="n"/>
      <c r="BD74" s="46" t="n"/>
      <c r="BE74" s="46" t="n"/>
      <c r="BF74" s="46" t="n"/>
      <c r="BG74" s="46" t="n"/>
      <c r="BH74" s="46" t="n"/>
      <c r="BI74" s="46" t="n"/>
      <c r="BJ74" s="46" t="n"/>
      <c r="BK74" s="46" t="n"/>
      <c r="BL74" s="46" t="n"/>
      <c r="BM74" s="46" t="n"/>
      <c r="BN74" s="46" t="n"/>
      <c r="BO74" s="46" t="n"/>
      <c r="BP74" s="46" t="n"/>
      <c r="BQ74" s="46" t="n"/>
      <c r="BR74" s="46" t="n"/>
      <c r="BS74" s="46" t="n"/>
      <c r="BT74" s="46" t="n"/>
      <c r="BU74" s="46" t="n"/>
      <c r="BV74" s="46" t="n"/>
      <c r="BW74" s="46" t="n"/>
      <c r="BX74" s="46" t="n"/>
      <c r="BY74" s="46" t="n"/>
      <c r="BZ74" s="46" t="n"/>
      <c r="CA74" s="46" t="n"/>
      <c r="CB74" s="46" t="n"/>
      <c r="CC74" s="46" t="n"/>
      <c r="CD74" s="46" t="n"/>
      <c r="CE74" s="46" t="n"/>
      <c r="CF74" s="46" t="n"/>
      <c r="CG74" s="46" t="n"/>
      <c r="CH74" s="46" t="n"/>
      <c r="CI74" s="46" t="n"/>
      <c r="CJ74" s="46" t="n"/>
      <c r="CK74" s="46" t="n"/>
      <c r="CL74" s="46" t="n"/>
      <c r="CM74" s="46" t="n"/>
      <c r="CN74" s="46" t="n"/>
      <c r="CO74" s="46" t="n"/>
      <c r="CP74" s="46" t="n"/>
      <c r="CQ74" s="46" t="n"/>
      <c r="CR74" s="46" t="n"/>
      <c r="CS74" s="46" t="n"/>
      <c r="CT74" s="46" t="n"/>
      <c r="CU74" s="46" t="n"/>
      <c r="CV74" s="46" t="n"/>
      <c r="CW74" s="46" t="n"/>
      <c r="CX74" s="46" t="n"/>
      <c r="CY74" s="46" t="n"/>
      <c r="CZ74" s="46" t="n"/>
      <c r="DA74" s="46" t="n"/>
    </row>
    <row r="75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46" t="n"/>
      <c r="N75" s="46" t="n"/>
      <c r="O75" s="46" t="n"/>
      <c r="P75" s="46" t="n"/>
      <c r="Q75" s="46" t="n"/>
      <c r="R75" s="46" t="n"/>
      <c r="S75" s="46" t="n"/>
      <c r="T75" s="46" t="n"/>
      <c r="U75" s="46" t="n"/>
      <c r="V75" s="46" t="n"/>
      <c r="W75" s="46" t="n"/>
      <c r="X75" s="46" t="n"/>
      <c r="Y75" s="46" t="n"/>
      <c r="Z75" s="46" t="n"/>
      <c r="AA75" s="46" t="n"/>
      <c r="AB75" s="46" t="n"/>
      <c r="AC75" s="46" t="n"/>
      <c r="AD75" s="46" t="n"/>
      <c r="AE75" s="46" t="n"/>
      <c r="AF75" s="46" t="n"/>
      <c r="AG75" s="46" t="n"/>
      <c r="AH75" s="46" t="n"/>
      <c r="AI75" s="46" t="n"/>
      <c r="AJ75" s="46" t="n"/>
      <c r="AK75" s="46" t="n"/>
      <c r="AL75" s="46" t="n"/>
      <c r="AM75" s="46" t="n"/>
      <c r="AN75" s="46" t="n"/>
      <c r="AO75" s="46" t="n"/>
      <c r="AP75" s="46" t="n"/>
      <c r="AQ75" s="46" t="n"/>
      <c r="AR75" s="46" t="n"/>
      <c r="AS75" s="46" t="n"/>
      <c r="AT75" s="46" t="n"/>
      <c r="AU75" s="46" t="n"/>
      <c r="AV75" s="46" t="n"/>
      <c r="AW75" s="46" t="n"/>
      <c r="AX75" s="46" t="n"/>
      <c r="AY75" s="46" t="n"/>
      <c r="AZ75" s="46" t="n"/>
      <c r="BA75" s="46" t="n"/>
      <c r="BB75" s="46" t="n"/>
      <c r="BC75" s="46" t="n"/>
      <c r="BD75" s="46" t="n"/>
      <c r="BE75" s="46" t="n"/>
      <c r="BF75" s="46" t="n"/>
      <c r="BG75" s="46" t="n"/>
      <c r="BH75" s="46" t="n"/>
      <c r="BI75" s="46" t="n"/>
      <c r="BJ75" s="46" t="n"/>
      <c r="BK75" s="46" t="n"/>
      <c r="BL75" s="46" t="n"/>
      <c r="BM75" s="46" t="n"/>
      <c r="BN75" s="46" t="n"/>
      <c r="BO75" s="46" t="n"/>
      <c r="BP75" s="46" t="n"/>
      <c r="BQ75" s="46" t="n"/>
      <c r="BR75" s="46" t="n"/>
      <c r="BS75" s="46" t="n"/>
      <c r="BT75" s="46" t="n"/>
      <c r="BU75" s="46" t="n"/>
      <c r="BV75" s="46" t="n"/>
      <c r="BW75" s="46" t="n"/>
      <c r="BX75" s="46" t="n"/>
      <c r="BY75" s="46" t="n"/>
      <c r="BZ75" s="46" t="n"/>
      <c r="CA75" s="46" t="n"/>
      <c r="CB75" s="46" t="n"/>
      <c r="CC75" s="46" t="n"/>
      <c r="CD75" s="46" t="n"/>
      <c r="CE75" s="46" t="n"/>
      <c r="CF75" s="46" t="n"/>
      <c r="CG75" s="46" t="n"/>
      <c r="CH75" s="46" t="n"/>
      <c r="CI75" s="46" t="n"/>
      <c r="CJ75" s="46" t="n"/>
      <c r="CK75" s="46" t="n"/>
      <c r="CL75" s="46" t="n"/>
      <c r="CM75" s="46" t="n"/>
      <c r="CN75" s="46" t="n"/>
      <c r="CO75" s="46" t="n"/>
      <c r="CP75" s="46" t="n"/>
      <c r="CQ75" s="46" t="n"/>
      <c r="CR75" s="46" t="n"/>
      <c r="CS75" s="46" t="n"/>
      <c r="CT75" s="46" t="n"/>
      <c r="CU75" s="46" t="n"/>
      <c r="CV75" s="46" t="n"/>
      <c r="CW75" s="46" t="n"/>
      <c r="CX75" s="46" t="n"/>
      <c r="CY75" s="46" t="n"/>
      <c r="CZ75" s="46" t="n"/>
      <c r="DA75" s="46" t="n"/>
    </row>
    <row r="76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  <c r="AB76" s="46" t="n"/>
      <c r="AC76" s="46" t="n"/>
      <c r="AD76" s="46" t="n"/>
      <c r="AE76" s="46" t="n"/>
      <c r="AF76" s="46" t="n"/>
      <c r="AG76" s="46" t="n"/>
      <c r="AH76" s="46" t="n"/>
      <c r="AI76" s="46" t="n"/>
      <c r="AJ76" s="46" t="n"/>
      <c r="AK76" s="46" t="n"/>
      <c r="AL76" s="46" t="n"/>
      <c r="AM76" s="46" t="n"/>
      <c r="AN76" s="46" t="n"/>
      <c r="AO76" s="46" t="n"/>
      <c r="AP76" s="46" t="n"/>
      <c r="AQ76" s="46" t="n"/>
      <c r="AR76" s="46" t="n"/>
      <c r="AS76" s="46" t="n"/>
      <c r="AT76" s="46" t="n"/>
      <c r="AU76" s="46" t="n"/>
      <c r="AV76" s="46" t="n"/>
      <c r="AW76" s="46" t="n"/>
      <c r="AX76" s="46" t="n"/>
      <c r="AY76" s="46" t="n"/>
      <c r="AZ76" s="46" t="n"/>
      <c r="BA76" s="46" t="n"/>
      <c r="BB76" s="46" t="n"/>
      <c r="BC76" s="46" t="n"/>
      <c r="BD76" s="46" t="n"/>
      <c r="BE76" s="46" t="n"/>
      <c r="BF76" s="46" t="n"/>
      <c r="BG76" s="46" t="n"/>
      <c r="BH76" s="46" t="n"/>
      <c r="BI76" s="46" t="n"/>
      <c r="BJ76" s="46" t="n"/>
      <c r="BK76" s="46" t="n"/>
      <c r="BL76" s="46" t="n"/>
      <c r="BM76" s="46" t="n"/>
      <c r="BN76" s="46" t="n"/>
      <c r="BO76" s="46" t="n"/>
      <c r="BP76" s="46" t="n"/>
      <c r="BQ76" s="46" t="n"/>
      <c r="BR76" s="46" t="n"/>
      <c r="BS76" s="46" t="n"/>
      <c r="BT76" s="46" t="n"/>
      <c r="BU76" s="46" t="n"/>
      <c r="BV76" s="46" t="n"/>
      <c r="BW76" s="46" t="n"/>
      <c r="BX76" s="46" t="n"/>
      <c r="BY76" s="46" t="n"/>
      <c r="BZ76" s="46" t="n"/>
      <c r="CA76" s="46" t="n"/>
      <c r="CB76" s="46" t="n"/>
      <c r="CC76" s="46" t="n"/>
      <c r="CD76" s="46" t="n"/>
      <c r="CE76" s="46" t="n"/>
      <c r="CF76" s="46" t="n"/>
      <c r="CG76" s="46" t="n"/>
      <c r="CH76" s="46" t="n"/>
      <c r="CI76" s="46" t="n"/>
      <c r="CJ76" s="46" t="n"/>
      <c r="CK76" s="46" t="n"/>
      <c r="CL76" s="46" t="n"/>
      <c r="CM76" s="46" t="n"/>
      <c r="CN76" s="46" t="n"/>
      <c r="CO76" s="46" t="n"/>
      <c r="CP76" s="46" t="n"/>
      <c r="CQ76" s="46" t="n"/>
      <c r="CR76" s="46" t="n"/>
      <c r="CS76" s="46" t="n"/>
      <c r="CT76" s="46" t="n"/>
      <c r="CU76" s="46" t="n"/>
      <c r="CV76" s="46" t="n"/>
      <c r="CW76" s="46" t="n"/>
      <c r="CX76" s="46" t="n"/>
      <c r="CY76" s="46" t="n"/>
      <c r="CZ76" s="46" t="n"/>
      <c r="DA76" s="46" t="n"/>
    </row>
    <row r="77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46" t="n"/>
      <c r="AE77" s="46" t="n"/>
      <c r="AF77" s="46" t="n"/>
      <c r="AG77" s="46" t="n"/>
      <c r="AH77" s="46" t="n"/>
      <c r="AI77" s="46" t="n"/>
      <c r="AJ77" s="46" t="n"/>
      <c r="AK77" s="46" t="n"/>
      <c r="AL77" s="46" t="n"/>
      <c r="AM77" s="46" t="n"/>
      <c r="AN77" s="46" t="n"/>
      <c r="AO77" s="46" t="n"/>
      <c r="AP77" s="46" t="n"/>
      <c r="AQ77" s="46" t="n"/>
      <c r="AR77" s="46" t="n"/>
      <c r="AS77" s="46" t="n"/>
      <c r="AT77" s="46" t="n"/>
      <c r="AU77" s="46" t="n"/>
      <c r="AV77" s="46" t="n"/>
      <c r="AW77" s="46" t="n"/>
      <c r="AX77" s="46" t="n"/>
      <c r="AY77" s="46" t="n"/>
      <c r="AZ77" s="46" t="n"/>
      <c r="BA77" s="46" t="n"/>
      <c r="BB77" s="46" t="n"/>
      <c r="BC77" s="46" t="n"/>
      <c r="BD77" s="46" t="n"/>
      <c r="BE77" s="46" t="n"/>
      <c r="BF77" s="46" t="n"/>
      <c r="BG77" s="46" t="n"/>
      <c r="BH77" s="46" t="n"/>
      <c r="BI77" s="46" t="n"/>
      <c r="BJ77" s="46" t="n"/>
      <c r="BK77" s="46" t="n"/>
      <c r="BL77" s="46" t="n"/>
      <c r="BM77" s="46" t="n"/>
      <c r="BN77" s="46" t="n"/>
      <c r="BO77" s="46" t="n"/>
      <c r="BP77" s="46" t="n"/>
      <c r="BQ77" s="46" t="n"/>
      <c r="BR77" s="46" t="n"/>
      <c r="BS77" s="46" t="n"/>
      <c r="BT77" s="46" t="n"/>
      <c r="BU77" s="46" t="n"/>
      <c r="BV77" s="46" t="n"/>
      <c r="BW77" s="46" t="n"/>
      <c r="BX77" s="46" t="n"/>
      <c r="BY77" s="46" t="n"/>
      <c r="BZ77" s="46" t="n"/>
      <c r="CA77" s="46" t="n"/>
      <c r="CB77" s="46" t="n"/>
      <c r="CC77" s="46" t="n"/>
      <c r="CD77" s="46" t="n"/>
      <c r="CE77" s="46" t="n"/>
      <c r="CF77" s="46" t="n"/>
      <c r="CG77" s="46" t="n"/>
      <c r="CH77" s="46" t="n"/>
      <c r="CI77" s="46" t="n"/>
      <c r="CJ77" s="46" t="n"/>
      <c r="CK77" s="46" t="n"/>
      <c r="CL77" s="46" t="n"/>
      <c r="CM77" s="46" t="n"/>
      <c r="CN77" s="46" t="n"/>
      <c r="CO77" s="46" t="n"/>
      <c r="CP77" s="46" t="n"/>
      <c r="CQ77" s="46" t="n"/>
      <c r="CR77" s="46" t="n"/>
      <c r="CS77" s="46" t="n"/>
      <c r="CT77" s="46" t="n"/>
      <c r="CU77" s="46" t="n"/>
      <c r="CV77" s="46" t="n"/>
      <c r="CW77" s="46" t="n"/>
      <c r="CX77" s="46" t="n"/>
      <c r="CY77" s="46" t="n"/>
      <c r="CZ77" s="46" t="n"/>
      <c r="DA77" s="46" t="n"/>
    </row>
    <row r="78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  <c r="AB78" s="46" t="n"/>
      <c r="AC78" s="46" t="n"/>
      <c r="AD78" s="46" t="n"/>
      <c r="AE78" s="46" t="n"/>
      <c r="AF78" s="46" t="n"/>
      <c r="AG78" s="46" t="n"/>
      <c r="AH78" s="46" t="n"/>
      <c r="AI78" s="46" t="n"/>
      <c r="AJ78" s="46" t="n"/>
      <c r="AK78" s="46" t="n"/>
      <c r="AL78" s="46" t="n"/>
      <c r="AM78" s="46" t="n"/>
      <c r="AN78" s="46" t="n"/>
      <c r="AO78" s="46" t="n"/>
      <c r="AP78" s="46" t="n"/>
      <c r="AQ78" s="46" t="n"/>
      <c r="AR78" s="46" t="n"/>
      <c r="AS78" s="46" t="n"/>
      <c r="AT78" s="46" t="n"/>
      <c r="AU78" s="46" t="n"/>
      <c r="AV78" s="46" t="n"/>
      <c r="AW78" s="46" t="n"/>
      <c r="AX78" s="46" t="n"/>
      <c r="AY78" s="46" t="n"/>
      <c r="AZ78" s="46" t="n"/>
      <c r="BA78" s="46" t="n"/>
      <c r="BB78" s="46" t="n"/>
      <c r="BC78" s="46" t="n"/>
      <c r="BD78" s="46" t="n"/>
      <c r="BE78" s="46" t="n"/>
      <c r="BF78" s="46" t="n"/>
      <c r="BG78" s="46" t="n"/>
      <c r="BH78" s="46" t="n"/>
      <c r="BI78" s="46" t="n"/>
      <c r="BJ78" s="46" t="n"/>
      <c r="BK78" s="46" t="n"/>
      <c r="BL78" s="46" t="n"/>
      <c r="BM78" s="46" t="n"/>
      <c r="BN78" s="46" t="n"/>
      <c r="BO78" s="46" t="n"/>
      <c r="BP78" s="46" t="n"/>
      <c r="BQ78" s="46" t="n"/>
      <c r="BR78" s="46" t="n"/>
      <c r="BS78" s="46" t="n"/>
      <c r="BT78" s="46" t="n"/>
      <c r="BU78" s="46" t="n"/>
      <c r="BV78" s="46" t="n"/>
      <c r="BW78" s="46" t="n"/>
      <c r="BX78" s="46" t="n"/>
      <c r="BY78" s="46" t="n"/>
      <c r="BZ78" s="46" t="n"/>
      <c r="CA78" s="46" t="n"/>
      <c r="CB78" s="46" t="n"/>
      <c r="CC78" s="46" t="n"/>
      <c r="CD78" s="46" t="n"/>
      <c r="CE78" s="46" t="n"/>
      <c r="CF78" s="46" t="n"/>
      <c r="CG78" s="46" t="n"/>
      <c r="CH78" s="46" t="n"/>
      <c r="CI78" s="46" t="n"/>
      <c r="CJ78" s="46" t="n"/>
      <c r="CK78" s="46" t="n"/>
      <c r="CL78" s="46" t="n"/>
      <c r="CM78" s="46" t="n"/>
      <c r="CN78" s="46" t="n"/>
      <c r="CO78" s="46" t="n"/>
      <c r="CP78" s="46" t="n"/>
      <c r="CQ78" s="46" t="n"/>
      <c r="CR78" s="46" t="n"/>
      <c r="CS78" s="46" t="n"/>
      <c r="CT78" s="46" t="n"/>
      <c r="CU78" s="46" t="n"/>
      <c r="CV78" s="46" t="n"/>
      <c r="CW78" s="46" t="n"/>
      <c r="CX78" s="46" t="n"/>
      <c r="CY78" s="46" t="n"/>
      <c r="CZ78" s="46" t="n"/>
      <c r="DA78" s="46" t="n"/>
    </row>
    <row r="79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46" t="n"/>
      <c r="AE79" s="46" t="n"/>
      <c r="AF79" s="46" t="n"/>
      <c r="AG79" s="46" t="n"/>
      <c r="AH79" s="46" t="n"/>
      <c r="AI79" s="46" t="n"/>
      <c r="AJ79" s="46" t="n"/>
      <c r="AK79" s="46" t="n"/>
      <c r="AL79" s="46" t="n"/>
      <c r="AM79" s="46" t="n"/>
      <c r="AN79" s="46" t="n"/>
      <c r="AO79" s="46" t="n"/>
      <c r="AP79" s="46" t="n"/>
      <c r="AQ79" s="46" t="n"/>
      <c r="AR79" s="46" t="n"/>
      <c r="AS79" s="46" t="n"/>
      <c r="AT79" s="46" t="n"/>
      <c r="AU79" s="46" t="n"/>
      <c r="AV79" s="46" t="n"/>
      <c r="AW79" s="46" t="n"/>
      <c r="AX79" s="46" t="n"/>
      <c r="AY79" s="46" t="n"/>
      <c r="AZ79" s="46" t="n"/>
      <c r="BA79" s="46" t="n"/>
      <c r="BB79" s="46" t="n"/>
      <c r="BC79" s="46" t="n"/>
      <c r="BD79" s="46" t="n"/>
      <c r="BE79" s="46" t="n"/>
      <c r="BF79" s="46" t="n"/>
      <c r="BG79" s="46" t="n"/>
      <c r="BH79" s="46" t="n"/>
      <c r="BI79" s="46" t="n"/>
      <c r="BJ79" s="46" t="n"/>
      <c r="BK79" s="46" t="n"/>
      <c r="BL79" s="46" t="n"/>
      <c r="BM79" s="46" t="n"/>
      <c r="BN79" s="46" t="n"/>
      <c r="BO79" s="46" t="n"/>
      <c r="BP79" s="46" t="n"/>
      <c r="BQ79" s="46" t="n"/>
      <c r="BR79" s="46" t="n"/>
      <c r="BS79" s="46" t="n"/>
      <c r="BT79" s="46" t="n"/>
      <c r="BU79" s="46" t="n"/>
      <c r="BV79" s="46" t="n"/>
      <c r="BW79" s="46" t="n"/>
      <c r="BX79" s="46" t="n"/>
      <c r="BY79" s="46" t="n"/>
      <c r="BZ79" s="46" t="n"/>
      <c r="CA79" s="46" t="n"/>
      <c r="CB79" s="46" t="n"/>
      <c r="CC79" s="46" t="n"/>
      <c r="CD79" s="46" t="n"/>
      <c r="CE79" s="46" t="n"/>
      <c r="CF79" s="46" t="n"/>
      <c r="CG79" s="46" t="n"/>
      <c r="CH79" s="46" t="n"/>
      <c r="CI79" s="46" t="n"/>
      <c r="CJ79" s="46" t="n"/>
      <c r="CK79" s="46" t="n"/>
      <c r="CL79" s="46" t="n"/>
      <c r="CM79" s="46" t="n"/>
      <c r="CN79" s="46" t="n"/>
      <c r="CO79" s="46" t="n"/>
      <c r="CP79" s="46" t="n"/>
      <c r="CQ79" s="46" t="n"/>
      <c r="CR79" s="46" t="n"/>
      <c r="CS79" s="46" t="n"/>
      <c r="CT79" s="46" t="n"/>
      <c r="CU79" s="46" t="n"/>
      <c r="CV79" s="46" t="n"/>
      <c r="CW79" s="46" t="n"/>
      <c r="CX79" s="46" t="n"/>
      <c r="CY79" s="46" t="n"/>
      <c r="CZ79" s="46" t="n"/>
      <c r="DA79" s="46" t="n"/>
    </row>
    <row r="80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46" t="n"/>
      <c r="AE80" s="46" t="n"/>
      <c r="AF80" s="46" t="n"/>
      <c r="AG80" s="46" t="n"/>
      <c r="AH80" s="46" t="n"/>
      <c r="AI80" s="46" t="n"/>
      <c r="AJ80" s="46" t="n"/>
      <c r="AK80" s="46" t="n"/>
      <c r="AL80" s="46" t="n"/>
      <c r="AM80" s="46" t="n"/>
      <c r="AN80" s="46" t="n"/>
      <c r="AO80" s="46" t="n"/>
      <c r="AP80" s="46" t="n"/>
      <c r="AQ80" s="46" t="n"/>
      <c r="AR80" s="46" t="n"/>
      <c r="AS80" s="46" t="n"/>
      <c r="AT80" s="46" t="n"/>
      <c r="AU80" s="46" t="n"/>
      <c r="AV80" s="46" t="n"/>
      <c r="AW80" s="46" t="n"/>
      <c r="AX80" s="46" t="n"/>
      <c r="AY80" s="46" t="n"/>
      <c r="AZ80" s="46" t="n"/>
      <c r="BA80" s="46" t="n"/>
      <c r="BB80" s="46" t="n"/>
      <c r="BC80" s="46" t="n"/>
      <c r="BD80" s="46" t="n"/>
      <c r="BE80" s="46" t="n"/>
      <c r="BF80" s="46" t="n"/>
      <c r="BG80" s="46" t="n"/>
      <c r="BH80" s="46" t="n"/>
      <c r="BI80" s="46" t="n"/>
      <c r="BJ80" s="46" t="n"/>
      <c r="BK80" s="46" t="n"/>
      <c r="BL80" s="46" t="n"/>
      <c r="BM80" s="46" t="n"/>
      <c r="BN80" s="46" t="n"/>
      <c r="BO80" s="46" t="n"/>
      <c r="BP80" s="46" t="n"/>
      <c r="BQ80" s="46" t="n"/>
      <c r="BR80" s="46" t="n"/>
      <c r="BS80" s="46" t="n"/>
      <c r="BT80" s="46" t="n"/>
      <c r="BU80" s="46" t="n"/>
      <c r="BV80" s="46" t="n"/>
      <c r="BW80" s="46" t="n"/>
      <c r="BX80" s="46" t="n"/>
      <c r="BY80" s="46" t="n"/>
      <c r="BZ80" s="46" t="n"/>
      <c r="CA80" s="46" t="n"/>
      <c r="CB80" s="46" t="n"/>
      <c r="CC80" s="46" t="n"/>
      <c r="CD80" s="46" t="n"/>
      <c r="CE80" s="46" t="n"/>
      <c r="CF80" s="46" t="n"/>
      <c r="CG80" s="46" t="n"/>
      <c r="CH80" s="46" t="n"/>
      <c r="CI80" s="46" t="n"/>
      <c r="CJ80" s="46" t="n"/>
      <c r="CK80" s="46" t="n"/>
      <c r="CL80" s="46" t="n"/>
      <c r="CM80" s="46" t="n"/>
      <c r="CN80" s="46" t="n"/>
      <c r="CO80" s="46" t="n"/>
      <c r="CP80" s="46" t="n"/>
      <c r="CQ80" s="46" t="n"/>
      <c r="CR80" s="46" t="n"/>
      <c r="CS80" s="46" t="n"/>
      <c r="CT80" s="46" t="n"/>
      <c r="CU80" s="46" t="n"/>
      <c r="CV80" s="46" t="n"/>
      <c r="CW80" s="46" t="n"/>
      <c r="CX80" s="46" t="n"/>
      <c r="CY80" s="46" t="n"/>
      <c r="CZ80" s="46" t="n"/>
      <c r="DA80" s="46" t="n"/>
    </row>
    <row r="81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6" t="n"/>
      <c r="AB81" s="46" t="n"/>
      <c r="AC81" s="46" t="n"/>
      <c r="AD81" s="46" t="n"/>
      <c r="AE81" s="46" t="n"/>
      <c r="AF81" s="46" t="n"/>
      <c r="AG81" s="46" t="n"/>
      <c r="AH81" s="46" t="n"/>
      <c r="AI81" s="46" t="n"/>
      <c r="AJ81" s="46" t="n"/>
      <c r="AK81" s="46" t="n"/>
      <c r="AL81" s="46" t="n"/>
      <c r="AM81" s="46" t="n"/>
      <c r="AN81" s="46" t="n"/>
      <c r="AO81" s="46" t="n"/>
      <c r="AP81" s="46" t="n"/>
      <c r="AQ81" s="46" t="n"/>
      <c r="AR81" s="46" t="n"/>
      <c r="AS81" s="46" t="n"/>
      <c r="AT81" s="46" t="n"/>
      <c r="AU81" s="46" t="n"/>
      <c r="AV81" s="46" t="n"/>
      <c r="AW81" s="46" t="n"/>
      <c r="AX81" s="46" t="n"/>
      <c r="AY81" s="46" t="n"/>
      <c r="AZ81" s="46" t="n"/>
      <c r="BA81" s="46" t="n"/>
      <c r="BB81" s="46" t="n"/>
      <c r="BC81" s="46" t="n"/>
      <c r="BD81" s="46" t="n"/>
      <c r="BE81" s="46" t="n"/>
      <c r="BF81" s="46" t="n"/>
      <c r="BG81" s="46" t="n"/>
      <c r="BH81" s="46" t="n"/>
      <c r="BI81" s="46" t="n"/>
      <c r="BJ81" s="46" t="n"/>
      <c r="BK81" s="46" t="n"/>
      <c r="BL81" s="46" t="n"/>
      <c r="BM81" s="46" t="n"/>
      <c r="BN81" s="46" t="n"/>
      <c r="BO81" s="46" t="n"/>
      <c r="BP81" s="46" t="n"/>
      <c r="BQ81" s="46" t="n"/>
      <c r="BR81" s="46" t="n"/>
      <c r="BS81" s="46" t="n"/>
      <c r="BT81" s="46" t="n"/>
      <c r="BU81" s="46" t="n"/>
      <c r="BV81" s="46" t="n"/>
      <c r="BW81" s="46" t="n"/>
      <c r="BX81" s="46" t="n"/>
      <c r="BY81" s="46" t="n"/>
      <c r="BZ81" s="46" t="n"/>
      <c r="CA81" s="46" t="n"/>
      <c r="CB81" s="46" t="n"/>
      <c r="CC81" s="46" t="n"/>
      <c r="CD81" s="46" t="n"/>
      <c r="CE81" s="46" t="n"/>
      <c r="CF81" s="46" t="n"/>
      <c r="CG81" s="46" t="n"/>
      <c r="CH81" s="46" t="n"/>
      <c r="CI81" s="46" t="n"/>
      <c r="CJ81" s="46" t="n"/>
      <c r="CK81" s="46" t="n"/>
      <c r="CL81" s="46" t="n"/>
      <c r="CM81" s="46" t="n"/>
      <c r="CN81" s="46" t="n"/>
      <c r="CO81" s="46" t="n"/>
      <c r="CP81" s="46" t="n"/>
      <c r="CQ81" s="46" t="n"/>
      <c r="CR81" s="46" t="n"/>
      <c r="CS81" s="46" t="n"/>
      <c r="CT81" s="46" t="n"/>
      <c r="CU81" s="46" t="n"/>
      <c r="CV81" s="46" t="n"/>
      <c r="CW81" s="46" t="n"/>
      <c r="CX81" s="46" t="n"/>
      <c r="CY81" s="46" t="n"/>
      <c r="CZ81" s="46" t="n"/>
      <c r="DA81" s="46" t="n"/>
    </row>
    <row r="82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6" t="n"/>
      <c r="AB82" s="46" t="n"/>
      <c r="AC82" s="46" t="n"/>
      <c r="AD82" s="46" t="n"/>
      <c r="AE82" s="46" t="n"/>
      <c r="AF82" s="46" t="n"/>
      <c r="AG82" s="46" t="n"/>
      <c r="AH82" s="46" t="n"/>
      <c r="AI82" s="46" t="n"/>
      <c r="AJ82" s="46" t="n"/>
      <c r="AK82" s="46" t="n"/>
      <c r="AL82" s="46" t="n"/>
      <c r="AM82" s="46" t="n"/>
      <c r="AN82" s="46" t="n"/>
      <c r="AO82" s="46" t="n"/>
      <c r="AP82" s="46" t="n"/>
      <c r="AQ82" s="46" t="n"/>
      <c r="AR82" s="46" t="n"/>
      <c r="AS82" s="46" t="n"/>
      <c r="AT82" s="46" t="n"/>
      <c r="AU82" s="46" t="n"/>
      <c r="AV82" s="46" t="n"/>
      <c r="AW82" s="46" t="n"/>
      <c r="AX82" s="46" t="n"/>
      <c r="AY82" s="46" t="n"/>
      <c r="AZ82" s="46" t="n"/>
      <c r="BA82" s="46" t="n"/>
      <c r="BB82" s="46" t="n"/>
      <c r="BC82" s="46" t="n"/>
      <c r="BD82" s="46" t="n"/>
      <c r="BE82" s="46" t="n"/>
      <c r="BF82" s="46" t="n"/>
      <c r="BG82" s="46" t="n"/>
      <c r="BH82" s="46" t="n"/>
      <c r="BI82" s="46" t="n"/>
      <c r="BJ82" s="46" t="n"/>
      <c r="BK82" s="46" t="n"/>
      <c r="BL82" s="46" t="n"/>
      <c r="BM82" s="46" t="n"/>
      <c r="BN82" s="46" t="n"/>
      <c r="BO82" s="46" t="n"/>
      <c r="BP82" s="46" t="n"/>
      <c r="BQ82" s="46" t="n"/>
      <c r="BR82" s="46" t="n"/>
      <c r="BS82" s="46" t="n"/>
      <c r="BT82" s="46" t="n"/>
      <c r="BU82" s="46" t="n"/>
      <c r="BV82" s="46" t="n"/>
      <c r="BW82" s="46" t="n"/>
      <c r="BX82" s="46" t="n"/>
      <c r="BY82" s="46" t="n"/>
      <c r="BZ82" s="46" t="n"/>
      <c r="CA82" s="46" t="n"/>
      <c r="CB82" s="46" t="n"/>
      <c r="CC82" s="46" t="n"/>
      <c r="CD82" s="46" t="n"/>
      <c r="CE82" s="46" t="n"/>
      <c r="CF82" s="46" t="n"/>
      <c r="CG82" s="46" t="n"/>
      <c r="CH82" s="46" t="n"/>
      <c r="CI82" s="46" t="n"/>
      <c r="CJ82" s="46" t="n"/>
      <c r="CK82" s="46" t="n"/>
      <c r="CL82" s="46" t="n"/>
      <c r="CM82" s="46" t="n"/>
      <c r="CN82" s="46" t="n"/>
      <c r="CO82" s="46" t="n"/>
      <c r="CP82" s="46" t="n"/>
      <c r="CQ82" s="46" t="n"/>
      <c r="CR82" s="46" t="n"/>
      <c r="CS82" s="46" t="n"/>
      <c r="CT82" s="46" t="n"/>
      <c r="CU82" s="46" t="n"/>
      <c r="CV82" s="46" t="n"/>
      <c r="CW82" s="46" t="n"/>
      <c r="CX82" s="46" t="n"/>
      <c r="CY82" s="46" t="n"/>
      <c r="CZ82" s="46" t="n"/>
      <c r="DA82" s="46" t="n"/>
    </row>
    <row r="84">
      <c r="B84" s="101" t="inlineStr">
        <is>
          <t>PORTFOLIO PERFORMANCE UNDER ALTERNATIVE HEDGE RATIOS</t>
        </is>
      </c>
    </row>
    <row r="85">
      <c r="B85" s="91" t="inlineStr">
        <is>
          <t>Rebased performance (USD, day 0 = 100). Same futures contract as above, only the hedge ratio changes.</t>
        </is>
      </c>
    </row>
    <row r="86">
      <c r="B86" s="92" t="inlineStr">
        <is>
          <t>Day</t>
        </is>
      </c>
      <c r="C86" s="92">
        <f>C11</f>
        <v/>
      </c>
      <c r="D86" s="92">
        <f>D11</f>
        <v/>
      </c>
      <c r="E86" s="92">
        <f>E11</f>
        <v/>
      </c>
      <c r="F86" s="92">
        <f>F11</f>
        <v/>
      </c>
      <c r="G86" s="92">
        <f>G11</f>
        <v/>
      </c>
      <c r="H86" s="92">
        <f>H11</f>
        <v/>
      </c>
      <c r="I86" s="92">
        <f>I11</f>
        <v/>
      </c>
      <c r="J86" s="92">
        <f>J11</f>
        <v/>
      </c>
      <c r="K86" s="92">
        <f>K11</f>
        <v/>
      </c>
      <c r="L86" s="92">
        <f>L11</f>
        <v/>
      </c>
      <c r="M86" s="92">
        <f>M11</f>
        <v/>
      </c>
      <c r="N86" s="92">
        <f>N11</f>
        <v/>
      </c>
      <c r="O86" s="92">
        <f>O11</f>
        <v/>
      </c>
      <c r="P86" s="92">
        <f>P11</f>
        <v/>
      </c>
      <c r="Q86" s="92">
        <f>Q11</f>
        <v/>
      </c>
      <c r="R86" s="92">
        <f>R11</f>
        <v/>
      </c>
      <c r="S86" s="92">
        <f>S11</f>
        <v/>
      </c>
      <c r="T86" s="92">
        <f>T11</f>
        <v/>
      </c>
      <c r="U86" s="92">
        <f>U11</f>
        <v/>
      </c>
      <c r="V86" s="92">
        <f>V11</f>
        <v/>
      </c>
      <c r="W86" s="92">
        <f>W11</f>
        <v/>
      </c>
      <c r="X86" s="92">
        <f>X11</f>
        <v/>
      </c>
      <c r="Y86" s="92">
        <f>Y11</f>
        <v/>
      </c>
      <c r="Z86" s="92">
        <f>Z11</f>
        <v/>
      </c>
      <c r="AA86" s="92">
        <f>AA11</f>
        <v/>
      </c>
      <c r="AB86" s="92">
        <f>AB11</f>
        <v/>
      </c>
      <c r="AC86" s="92">
        <f>AC11</f>
        <v/>
      </c>
      <c r="AD86" s="92">
        <f>AD11</f>
        <v/>
      </c>
      <c r="AE86" s="92">
        <f>AE11</f>
        <v/>
      </c>
      <c r="AF86" s="92">
        <f>AF11</f>
        <v/>
      </c>
      <c r="AG86" s="92">
        <f>AG11</f>
        <v/>
      </c>
      <c r="AH86" s="92">
        <f>AH11</f>
        <v/>
      </c>
      <c r="AI86" s="92">
        <f>AI11</f>
        <v/>
      </c>
      <c r="AJ86" s="92">
        <f>AJ11</f>
        <v/>
      </c>
      <c r="AK86" s="92">
        <f>AK11</f>
        <v/>
      </c>
      <c r="AL86" s="92">
        <f>AL11</f>
        <v/>
      </c>
      <c r="AM86" s="92">
        <f>AM11</f>
        <v/>
      </c>
      <c r="AN86" s="92">
        <f>AN11</f>
        <v/>
      </c>
      <c r="AO86" s="92">
        <f>AO11</f>
        <v/>
      </c>
      <c r="AP86" s="92">
        <f>AP11</f>
        <v/>
      </c>
      <c r="AQ86" s="92">
        <f>AQ11</f>
        <v/>
      </c>
      <c r="AR86" s="92">
        <f>AR11</f>
        <v/>
      </c>
      <c r="AS86" s="92">
        <f>AS11</f>
        <v/>
      </c>
      <c r="AT86" s="92">
        <f>AT11</f>
        <v/>
      </c>
      <c r="AU86" s="92">
        <f>AU11</f>
        <v/>
      </c>
      <c r="AV86" s="92">
        <f>AV11</f>
        <v/>
      </c>
      <c r="AW86" s="92">
        <f>AW11</f>
        <v/>
      </c>
      <c r="AX86" s="92">
        <f>AX11</f>
        <v/>
      </c>
      <c r="AY86" s="92">
        <f>AY11</f>
        <v/>
      </c>
      <c r="AZ86" s="92">
        <f>AZ11</f>
        <v/>
      </c>
      <c r="BA86" s="92">
        <f>BA11</f>
        <v/>
      </c>
      <c r="BB86" s="92">
        <f>BB11</f>
        <v/>
      </c>
      <c r="BC86" s="92">
        <f>BC11</f>
        <v/>
      </c>
      <c r="BD86" s="92">
        <f>BD11</f>
        <v/>
      </c>
      <c r="BE86" s="92">
        <f>BE11</f>
        <v/>
      </c>
      <c r="BF86" s="92">
        <f>BF11</f>
        <v/>
      </c>
      <c r="BG86" s="92">
        <f>BG11</f>
        <v/>
      </c>
      <c r="BH86" s="92">
        <f>BH11</f>
        <v/>
      </c>
      <c r="BI86" s="92">
        <f>BI11</f>
        <v/>
      </c>
      <c r="BJ86" s="92">
        <f>BJ11</f>
        <v/>
      </c>
      <c r="BK86" s="92">
        <f>BK11</f>
        <v/>
      </c>
      <c r="BL86" s="92">
        <f>BL11</f>
        <v/>
      </c>
      <c r="BM86" s="92">
        <f>BM11</f>
        <v/>
      </c>
      <c r="BN86" s="92">
        <f>BN11</f>
        <v/>
      </c>
      <c r="BO86" s="92">
        <f>BO11</f>
        <v/>
      </c>
      <c r="BP86" s="92">
        <f>BP11</f>
        <v/>
      </c>
      <c r="BQ86" s="92">
        <f>BQ11</f>
        <v/>
      </c>
      <c r="BR86" s="92">
        <f>BR11</f>
        <v/>
      </c>
      <c r="BS86" s="92">
        <f>BS11</f>
        <v/>
      </c>
      <c r="BT86" s="92">
        <f>BT11</f>
        <v/>
      </c>
      <c r="BU86" s="92">
        <f>BU11</f>
        <v/>
      </c>
      <c r="BV86" s="92">
        <f>BV11</f>
        <v/>
      </c>
      <c r="BW86" s="92">
        <f>BW11</f>
        <v/>
      </c>
      <c r="BX86" s="92">
        <f>BX11</f>
        <v/>
      </c>
      <c r="BY86" s="92">
        <f>BY11</f>
        <v/>
      </c>
      <c r="BZ86" s="92">
        <f>BZ11</f>
        <v/>
      </c>
      <c r="CA86" s="92">
        <f>CA11</f>
        <v/>
      </c>
      <c r="CB86" s="92">
        <f>CB11</f>
        <v/>
      </c>
      <c r="CC86" s="92">
        <f>CC11</f>
        <v/>
      </c>
      <c r="CD86" s="92">
        <f>CD11</f>
        <v/>
      </c>
      <c r="CE86" s="92">
        <f>CE11</f>
        <v/>
      </c>
      <c r="CF86" s="92">
        <f>CF11</f>
        <v/>
      </c>
      <c r="CG86" s="92">
        <f>CG11</f>
        <v/>
      </c>
      <c r="CH86" s="92">
        <f>CH11</f>
        <v/>
      </c>
      <c r="CI86" s="92">
        <f>CI11</f>
        <v/>
      </c>
      <c r="CJ86" s="92">
        <f>CJ11</f>
        <v/>
      </c>
      <c r="CK86" s="92">
        <f>CK11</f>
        <v/>
      </c>
      <c r="CL86" s="92">
        <f>CL11</f>
        <v/>
      </c>
      <c r="CM86" s="92">
        <f>CM11</f>
        <v/>
      </c>
      <c r="CN86" s="92">
        <f>CN11</f>
        <v/>
      </c>
      <c r="CO86" s="92">
        <f>CO11</f>
        <v/>
      </c>
    </row>
    <row r="87">
      <c r="B87" t="inlineStr">
        <is>
          <t>0% Hedged (USD)</t>
        </is>
      </c>
      <c r="C87" s="113">
        <f>(C$23+$C$52*($C$22/$C$49*0)*(C$56-$C$56)*$C$49)/$C$7*100</f>
        <v/>
      </c>
      <c r="D87" s="113">
        <f>(D$23+$C$52*($C$22/$C$49*0)*(D$56-$C$56)*$C$49)/$C$7*100</f>
        <v/>
      </c>
      <c r="E87" s="113">
        <f>(E$23+$C$52*($C$22/$C$49*0)*(E$56-$C$56)*$C$49)/$C$7*100</f>
        <v/>
      </c>
      <c r="F87" s="113">
        <f>(F$23+$C$52*($C$22/$C$49*0)*(F$56-$C$56)*$C$49)/$C$7*100</f>
        <v/>
      </c>
      <c r="G87" s="113">
        <f>(G$23+$C$52*($C$22/$C$49*0)*(G$56-$C$56)*$C$49)/$C$7*100</f>
        <v/>
      </c>
      <c r="H87" s="113">
        <f>(H$23+$C$52*($C$22/$C$49*0)*(H$56-$C$56)*$C$49)/$C$7*100</f>
        <v/>
      </c>
      <c r="I87" s="113">
        <f>(I$23+$C$52*($C$22/$C$49*0)*(I$56-$C$56)*$C$49)/$C$7*100</f>
        <v/>
      </c>
      <c r="J87" s="113">
        <f>(J$23+$C$52*($C$22/$C$49*0)*(J$56-$C$56)*$C$49)/$C$7*100</f>
        <v/>
      </c>
      <c r="K87" s="113">
        <f>(K$23+$C$52*($C$22/$C$49*0)*(K$56-$C$56)*$C$49)/$C$7*100</f>
        <v/>
      </c>
      <c r="L87" s="113">
        <f>(L$23+$C$52*($C$22/$C$49*0)*(L$56-$C$56)*$C$49)/$C$7*100</f>
        <v/>
      </c>
      <c r="M87" s="113">
        <f>(M$23+$C$52*($C$22/$C$49*0)*(M$56-$C$56)*$C$49)/$C$7*100</f>
        <v/>
      </c>
      <c r="N87" s="113">
        <f>(N$23+$C$52*($C$22/$C$49*0)*(N$56-$C$56)*$C$49)/$C$7*100</f>
        <v/>
      </c>
      <c r="O87" s="113">
        <f>(O$23+$C$52*($C$22/$C$49*0)*(O$56-$C$56)*$C$49)/$C$7*100</f>
        <v/>
      </c>
      <c r="P87" s="113">
        <f>(P$23+$C$52*($C$22/$C$49*0)*(P$56-$C$56)*$C$49)/$C$7*100</f>
        <v/>
      </c>
      <c r="Q87" s="113">
        <f>(Q$23+$C$52*($C$22/$C$49*0)*(Q$56-$C$56)*$C$49)/$C$7*100</f>
        <v/>
      </c>
      <c r="R87" s="113">
        <f>(R$23+$C$52*($C$22/$C$49*0)*(R$56-$C$56)*$C$49)/$C$7*100</f>
        <v/>
      </c>
      <c r="S87" s="113">
        <f>(S$23+$C$52*($C$22/$C$49*0)*(S$56-$C$56)*$C$49)/$C$7*100</f>
        <v/>
      </c>
      <c r="T87" s="113">
        <f>(T$23+$C$52*($C$22/$C$49*0)*(T$56-$C$56)*$C$49)/$C$7*100</f>
        <v/>
      </c>
      <c r="U87" s="113">
        <f>(U$23+$C$52*($C$22/$C$49*0)*(U$56-$C$56)*$C$49)/$C$7*100</f>
        <v/>
      </c>
      <c r="V87" s="113">
        <f>(V$23+$C$52*($C$22/$C$49*0)*(V$56-$C$56)*$C$49)/$C$7*100</f>
        <v/>
      </c>
      <c r="W87" s="113">
        <f>(W$23+$C$52*($C$22/$C$49*0)*(W$56-$C$56)*$C$49)/$C$7*100</f>
        <v/>
      </c>
      <c r="X87" s="113">
        <f>(X$23+$C$52*($C$22/$C$49*0)*(X$56-$C$56)*$C$49)/$C$7*100</f>
        <v/>
      </c>
      <c r="Y87" s="113">
        <f>(Y$23+$C$52*($C$22/$C$49*0)*(Y$56-$C$56)*$C$49)/$C$7*100</f>
        <v/>
      </c>
      <c r="Z87" s="113">
        <f>(Z$23+$C$52*($C$22/$C$49*0)*(Z$56-$C$56)*$C$49)/$C$7*100</f>
        <v/>
      </c>
      <c r="AA87" s="113">
        <f>(AA$23+$C$52*($C$22/$C$49*0)*(AA$56-$C$56)*$C$49)/$C$7*100</f>
        <v/>
      </c>
      <c r="AB87" s="113">
        <f>(AB$23+$C$52*($C$22/$C$49*0)*(AB$56-$C$56)*$C$49)/$C$7*100</f>
        <v/>
      </c>
      <c r="AC87" s="113">
        <f>(AC$23+$C$52*($C$22/$C$49*0)*(AC$56-$C$56)*$C$49)/$C$7*100</f>
        <v/>
      </c>
      <c r="AD87" s="113">
        <f>(AD$23+$C$52*($C$22/$C$49*0)*(AD$56-$C$56)*$C$49)/$C$7*100</f>
        <v/>
      </c>
      <c r="AE87" s="113">
        <f>(AE$23+$C$52*($C$22/$C$49*0)*(AE$56-$C$56)*$C$49)/$C$7*100</f>
        <v/>
      </c>
      <c r="AF87" s="113">
        <f>(AF$23+$C$52*($C$22/$C$49*0)*(AF$56-$C$56)*$C$49)/$C$7*100</f>
        <v/>
      </c>
      <c r="AG87" s="113">
        <f>(AG$23+$C$52*($C$22/$C$49*0)*(AG$56-$C$56)*$C$49)/$C$7*100</f>
        <v/>
      </c>
      <c r="AH87" s="113">
        <f>(AH$23+$C$52*($C$22/$C$49*0)*(AH$56-$C$56)*$C$49)/$C$7*100</f>
        <v/>
      </c>
      <c r="AI87" s="113">
        <f>(AI$23+$C$52*($C$22/$C$49*0)*(AI$56-$C$56)*$C$49)/$C$7*100</f>
        <v/>
      </c>
      <c r="AJ87" s="113">
        <f>(AJ$23+$C$52*($C$22/$C$49*0)*(AJ$56-$C$56)*$C$49)/$C$7*100</f>
        <v/>
      </c>
      <c r="AK87" s="113">
        <f>(AK$23+$C$52*($C$22/$C$49*0)*(AK$56-$C$56)*$C$49)/$C$7*100</f>
        <v/>
      </c>
      <c r="AL87" s="113">
        <f>(AL$23+$C$52*($C$22/$C$49*0)*(AL$56-$C$56)*$C$49)/$C$7*100</f>
        <v/>
      </c>
      <c r="AM87" s="113">
        <f>(AM$23+$C$52*($C$22/$C$49*0)*(AM$56-$C$56)*$C$49)/$C$7*100</f>
        <v/>
      </c>
      <c r="AN87" s="113">
        <f>(AN$23+$C$52*($C$22/$C$49*0)*(AN$56-$C$56)*$C$49)/$C$7*100</f>
        <v/>
      </c>
      <c r="AO87" s="113">
        <f>(AO$23+$C$52*($C$22/$C$49*0)*(AO$56-$C$56)*$C$49)/$C$7*100</f>
        <v/>
      </c>
      <c r="AP87" s="113">
        <f>(AP$23+$C$52*($C$22/$C$49*0)*(AP$56-$C$56)*$C$49)/$C$7*100</f>
        <v/>
      </c>
      <c r="AQ87" s="113">
        <f>(AQ$23+$C$52*($C$22/$C$49*0)*(AQ$56-$C$56)*$C$49)/$C$7*100</f>
        <v/>
      </c>
      <c r="AR87" s="113">
        <f>(AR$23+$C$52*($C$22/$C$49*0)*(AR$56-$C$56)*$C$49)/$C$7*100</f>
        <v/>
      </c>
      <c r="AS87" s="113">
        <f>(AS$23+$C$52*($C$22/$C$49*0)*(AS$56-$C$56)*$C$49)/$C$7*100</f>
        <v/>
      </c>
      <c r="AT87" s="113">
        <f>(AT$23+$C$52*($C$22/$C$49*0)*(AT$56-$C$56)*$C$49)/$C$7*100</f>
        <v/>
      </c>
      <c r="AU87" s="113">
        <f>(AU$23+$C$52*($C$22/$C$49*0)*(AU$56-$C$56)*$C$49)/$C$7*100</f>
        <v/>
      </c>
      <c r="AV87" s="113">
        <f>(AV$23+$C$52*($C$22/$C$49*0)*(AV$56-$C$56)*$C$49)/$C$7*100</f>
        <v/>
      </c>
      <c r="AW87" s="113">
        <f>(AW$23+$C$52*($C$22/$C$49*0)*(AW$56-$C$56)*$C$49)/$C$7*100</f>
        <v/>
      </c>
      <c r="AX87" s="113">
        <f>(AX$23+$C$52*($C$22/$C$49*0)*(AX$56-$C$56)*$C$49)/$C$7*100</f>
        <v/>
      </c>
      <c r="AY87" s="113">
        <f>(AY$23+$C$52*($C$22/$C$49*0)*(AY$56-$C$56)*$C$49)/$C$7*100</f>
        <v/>
      </c>
      <c r="AZ87" s="113">
        <f>(AZ$23+$C$52*($C$22/$C$49*0)*(AZ$56-$C$56)*$C$49)/$C$7*100</f>
        <v/>
      </c>
      <c r="BA87" s="113">
        <f>(BA$23+$C$52*($C$22/$C$49*0)*(BA$56-$C$56)*$C$49)/$C$7*100</f>
        <v/>
      </c>
      <c r="BB87" s="113">
        <f>(BB$23+$C$52*($C$22/$C$49*0)*(BB$56-$C$56)*$C$49)/$C$7*100</f>
        <v/>
      </c>
      <c r="BC87" s="113">
        <f>(BC$23+$C$52*($C$22/$C$49*0)*(BC$56-$C$56)*$C$49)/$C$7*100</f>
        <v/>
      </c>
      <c r="BD87" s="113">
        <f>(BD$23+$C$52*($C$22/$C$49*0)*(BD$56-$C$56)*$C$49)/$C$7*100</f>
        <v/>
      </c>
      <c r="BE87" s="113">
        <f>(BE$23+$C$52*($C$22/$C$49*0)*(BE$56-$C$56)*$C$49)/$C$7*100</f>
        <v/>
      </c>
      <c r="BF87" s="113">
        <f>(BF$23+$C$52*($C$22/$C$49*0)*(BF$56-$C$56)*$C$49)/$C$7*100</f>
        <v/>
      </c>
      <c r="BG87" s="113">
        <f>(BG$23+$C$52*($C$22/$C$49*0)*(BG$56-$C$56)*$C$49)/$C$7*100</f>
        <v/>
      </c>
      <c r="BH87" s="113">
        <f>(BH$23+$C$52*($C$22/$C$49*0)*(BH$56-$C$56)*$C$49)/$C$7*100</f>
        <v/>
      </c>
      <c r="BI87" s="113">
        <f>(BI$23+$C$52*($C$22/$C$49*0)*(BI$56-$C$56)*$C$49)/$C$7*100</f>
        <v/>
      </c>
      <c r="BJ87" s="113">
        <f>(BJ$23+$C$52*($C$22/$C$49*0)*(BJ$56-$C$56)*$C$49)/$C$7*100</f>
        <v/>
      </c>
      <c r="BK87" s="113">
        <f>(BK$23+$C$52*($C$22/$C$49*0)*(BK$56-$C$56)*$C$49)/$C$7*100</f>
        <v/>
      </c>
      <c r="BL87" s="113">
        <f>(BL$23+$C$52*($C$22/$C$49*0)*(BL$56-$C$56)*$C$49)/$C$7*100</f>
        <v/>
      </c>
      <c r="BM87" s="113">
        <f>(BM$23+$C$52*($C$22/$C$49*0)*(BM$56-$C$56)*$C$49)/$C$7*100</f>
        <v/>
      </c>
      <c r="BN87" s="113">
        <f>(BN$23+$C$52*($C$22/$C$49*0)*(BN$56-$C$56)*$C$49)/$C$7*100</f>
        <v/>
      </c>
      <c r="BO87" s="113">
        <f>(BO$23+$C$52*($C$22/$C$49*0)*(BO$56-$C$56)*$C$49)/$C$7*100</f>
        <v/>
      </c>
      <c r="BP87" s="113">
        <f>(BP$23+$C$52*($C$22/$C$49*0)*(BP$56-$C$56)*$C$49)/$C$7*100</f>
        <v/>
      </c>
      <c r="BQ87" s="113">
        <f>(BQ$23+$C$52*($C$22/$C$49*0)*(BQ$56-$C$56)*$C$49)/$C$7*100</f>
        <v/>
      </c>
      <c r="BR87" s="113">
        <f>(BR$23+$C$52*($C$22/$C$49*0)*(BR$56-$C$56)*$C$49)/$C$7*100</f>
        <v/>
      </c>
      <c r="BS87" s="113">
        <f>(BS$23+$C$52*($C$22/$C$49*0)*(BS$56-$C$56)*$C$49)/$C$7*100</f>
        <v/>
      </c>
      <c r="BT87" s="113">
        <f>(BT$23+$C$52*($C$22/$C$49*0)*(BT$56-$C$56)*$C$49)/$C$7*100</f>
        <v/>
      </c>
      <c r="BU87" s="113">
        <f>(BU$23+$C$52*($C$22/$C$49*0)*(BU$56-$C$56)*$C$49)/$C$7*100</f>
        <v/>
      </c>
      <c r="BV87" s="113">
        <f>(BV$23+$C$52*($C$22/$C$49*0)*(BV$56-$C$56)*$C$49)/$C$7*100</f>
        <v/>
      </c>
      <c r="BW87" s="113">
        <f>(BW$23+$C$52*($C$22/$C$49*0)*(BW$56-$C$56)*$C$49)/$C$7*100</f>
        <v/>
      </c>
      <c r="BX87" s="113">
        <f>(BX$23+$C$52*($C$22/$C$49*0)*(BX$56-$C$56)*$C$49)/$C$7*100</f>
        <v/>
      </c>
      <c r="BY87" s="113">
        <f>(BY$23+$C$52*($C$22/$C$49*0)*(BY$56-$C$56)*$C$49)/$C$7*100</f>
        <v/>
      </c>
      <c r="BZ87" s="113">
        <f>(BZ$23+$C$52*($C$22/$C$49*0)*(BZ$56-$C$56)*$C$49)/$C$7*100</f>
        <v/>
      </c>
      <c r="CA87" s="113">
        <f>(CA$23+$C$52*($C$22/$C$49*0)*(CA$56-$C$56)*$C$49)/$C$7*100</f>
        <v/>
      </c>
      <c r="CB87" s="113">
        <f>(CB$23+$C$52*($C$22/$C$49*0)*(CB$56-$C$56)*$C$49)/$C$7*100</f>
        <v/>
      </c>
      <c r="CC87" s="113">
        <f>(CC$23+$C$52*($C$22/$C$49*0)*(CC$56-$C$56)*$C$49)/$C$7*100</f>
        <v/>
      </c>
      <c r="CD87" s="113">
        <f>(CD$23+$C$52*($C$22/$C$49*0)*(CD$56-$C$56)*$C$49)/$C$7*100</f>
        <v/>
      </c>
      <c r="CE87" s="113">
        <f>(CE$23+$C$52*($C$22/$C$49*0)*(CE$56-$C$56)*$C$49)/$C$7*100</f>
        <v/>
      </c>
      <c r="CF87" s="113">
        <f>(CF$23+$C$52*($C$22/$C$49*0)*(CF$56-$C$56)*$C$49)/$C$7*100</f>
        <v/>
      </c>
      <c r="CG87" s="113">
        <f>(CG$23+$C$52*($C$22/$C$49*0)*(CG$56-$C$56)*$C$49)/$C$7*100</f>
        <v/>
      </c>
      <c r="CH87" s="113">
        <f>(CH$23+$C$52*($C$22/$C$49*0)*(CH$56-$C$56)*$C$49)/$C$7*100</f>
        <v/>
      </c>
      <c r="CI87" s="113">
        <f>(CI$23+$C$52*($C$22/$C$49*0)*(CI$56-$C$56)*$C$49)/$C$7*100</f>
        <v/>
      </c>
      <c r="CJ87" s="113">
        <f>(CJ$23+$C$52*($C$22/$C$49*0)*(CJ$56-$C$56)*$C$49)/$C$7*100</f>
        <v/>
      </c>
      <c r="CK87" s="113">
        <f>(CK$23+$C$52*($C$22/$C$49*0)*(CK$56-$C$56)*$C$49)/$C$7*100</f>
        <v/>
      </c>
      <c r="CL87" s="113">
        <f>(CL$23+$C$52*($C$22/$C$49*0)*(CL$56-$C$56)*$C$49)/$C$7*100</f>
        <v/>
      </c>
      <c r="CM87" s="113">
        <f>(CM$23+$C$52*($C$22/$C$49*0)*(CM$56-$C$56)*$C$49)/$C$7*100</f>
        <v/>
      </c>
      <c r="CN87" s="113">
        <f>(CN$23+$C$52*($C$22/$C$49*0)*(CN$56-$C$56)*$C$49)/$C$7*100</f>
        <v/>
      </c>
      <c r="CO87" s="113">
        <f>(CO$23+$C$52*($C$22/$C$49*0)*(CO$56-$C$56)*$C$49)/$C$7*100</f>
        <v/>
      </c>
    </row>
    <row r="88">
      <c r="B88" t="inlineStr">
        <is>
          <t>25% Hedged (USD)</t>
        </is>
      </c>
      <c r="C88" s="113">
        <f>(C$23+$C$52*($C$22/$C$49*0.25)*(C$56-$C$56)*$C$49)/$C$7*100</f>
        <v/>
      </c>
      <c r="D88" s="113">
        <f>(D$23+$C$52*($C$22/$C$49*0.25)*(D$56-$C$56)*$C$49)/$C$7*100</f>
        <v/>
      </c>
      <c r="E88" s="113">
        <f>(E$23+$C$52*($C$22/$C$49*0.25)*(E$56-$C$56)*$C$49)/$C$7*100</f>
        <v/>
      </c>
      <c r="F88" s="113">
        <f>(F$23+$C$52*($C$22/$C$49*0.25)*(F$56-$C$56)*$C$49)/$C$7*100</f>
        <v/>
      </c>
      <c r="G88" s="113">
        <f>(G$23+$C$52*($C$22/$C$49*0.25)*(G$56-$C$56)*$C$49)/$C$7*100</f>
        <v/>
      </c>
      <c r="H88" s="113">
        <f>(H$23+$C$52*($C$22/$C$49*0.25)*(H$56-$C$56)*$C$49)/$C$7*100</f>
        <v/>
      </c>
      <c r="I88" s="113">
        <f>(I$23+$C$52*($C$22/$C$49*0.25)*(I$56-$C$56)*$C$49)/$C$7*100</f>
        <v/>
      </c>
      <c r="J88" s="113">
        <f>(J$23+$C$52*($C$22/$C$49*0.25)*(J$56-$C$56)*$C$49)/$C$7*100</f>
        <v/>
      </c>
      <c r="K88" s="113">
        <f>(K$23+$C$52*($C$22/$C$49*0.25)*(K$56-$C$56)*$C$49)/$C$7*100</f>
        <v/>
      </c>
      <c r="L88" s="113">
        <f>(L$23+$C$52*($C$22/$C$49*0.25)*(L$56-$C$56)*$C$49)/$C$7*100</f>
        <v/>
      </c>
      <c r="M88" s="113">
        <f>(M$23+$C$52*($C$22/$C$49*0.25)*(M$56-$C$56)*$C$49)/$C$7*100</f>
        <v/>
      </c>
      <c r="N88" s="113">
        <f>(N$23+$C$52*($C$22/$C$49*0.25)*(N$56-$C$56)*$C$49)/$C$7*100</f>
        <v/>
      </c>
      <c r="O88" s="113">
        <f>(O$23+$C$52*($C$22/$C$49*0.25)*(O$56-$C$56)*$C$49)/$C$7*100</f>
        <v/>
      </c>
      <c r="P88" s="113">
        <f>(P$23+$C$52*($C$22/$C$49*0.25)*(P$56-$C$56)*$C$49)/$C$7*100</f>
        <v/>
      </c>
      <c r="Q88" s="113">
        <f>(Q$23+$C$52*($C$22/$C$49*0.25)*(Q$56-$C$56)*$C$49)/$C$7*100</f>
        <v/>
      </c>
      <c r="R88" s="113">
        <f>(R$23+$C$52*($C$22/$C$49*0.25)*(R$56-$C$56)*$C$49)/$C$7*100</f>
        <v/>
      </c>
      <c r="S88" s="113">
        <f>(S$23+$C$52*($C$22/$C$49*0.25)*(S$56-$C$56)*$C$49)/$C$7*100</f>
        <v/>
      </c>
      <c r="T88" s="113">
        <f>(T$23+$C$52*($C$22/$C$49*0.25)*(T$56-$C$56)*$C$49)/$C$7*100</f>
        <v/>
      </c>
      <c r="U88" s="113">
        <f>(U$23+$C$52*($C$22/$C$49*0.25)*(U$56-$C$56)*$C$49)/$C$7*100</f>
        <v/>
      </c>
      <c r="V88" s="113">
        <f>(V$23+$C$52*($C$22/$C$49*0.25)*(V$56-$C$56)*$C$49)/$C$7*100</f>
        <v/>
      </c>
      <c r="W88" s="113">
        <f>(W$23+$C$52*($C$22/$C$49*0.25)*(W$56-$C$56)*$C$49)/$C$7*100</f>
        <v/>
      </c>
      <c r="X88" s="113">
        <f>(X$23+$C$52*($C$22/$C$49*0.25)*(X$56-$C$56)*$C$49)/$C$7*100</f>
        <v/>
      </c>
      <c r="Y88" s="113">
        <f>(Y$23+$C$52*($C$22/$C$49*0.25)*(Y$56-$C$56)*$C$49)/$C$7*100</f>
        <v/>
      </c>
      <c r="Z88" s="113">
        <f>(Z$23+$C$52*($C$22/$C$49*0.25)*(Z$56-$C$56)*$C$49)/$C$7*100</f>
        <v/>
      </c>
      <c r="AA88" s="113">
        <f>(AA$23+$C$52*($C$22/$C$49*0.25)*(AA$56-$C$56)*$C$49)/$C$7*100</f>
        <v/>
      </c>
      <c r="AB88" s="113">
        <f>(AB$23+$C$52*($C$22/$C$49*0.25)*(AB$56-$C$56)*$C$49)/$C$7*100</f>
        <v/>
      </c>
      <c r="AC88" s="113">
        <f>(AC$23+$C$52*($C$22/$C$49*0.25)*(AC$56-$C$56)*$C$49)/$C$7*100</f>
        <v/>
      </c>
      <c r="AD88" s="113">
        <f>(AD$23+$C$52*($C$22/$C$49*0.25)*(AD$56-$C$56)*$C$49)/$C$7*100</f>
        <v/>
      </c>
      <c r="AE88" s="113">
        <f>(AE$23+$C$52*($C$22/$C$49*0.25)*(AE$56-$C$56)*$C$49)/$C$7*100</f>
        <v/>
      </c>
      <c r="AF88" s="113">
        <f>(AF$23+$C$52*($C$22/$C$49*0.25)*(AF$56-$C$56)*$C$49)/$C$7*100</f>
        <v/>
      </c>
      <c r="AG88" s="113">
        <f>(AG$23+$C$52*($C$22/$C$49*0.25)*(AG$56-$C$56)*$C$49)/$C$7*100</f>
        <v/>
      </c>
      <c r="AH88" s="113">
        <f>(AH$23+$C$52*($C$22/$C$49*0.25)*(AH$56-$C$56)*$C$49)/$C$7*100</f>
        <v/>
      </c>
      <c r="AI88" s="113">
        <f>(AI$23+$C$52*($C$22/$C$49*0.25)*(AI$56-$C$56)*$C$49)/$C$7*100</f>
        <v/>
      </c>
      <c r="AJ88" s="113">
        <f>(AJ$23+$C$52*($C$22/$C$49*0.25)*(AJ$56-$C$56)*$C$49)/$C$7*100</f>
        <v/>
      </c>
      <c r="AK88" s="113">
        <f>(AK$23+$C$52*($C$22/$C$49*0.25)*(AK$56-$C$56)*$C$49)/$C$7*100</f>
        <v/>
      </c>
      <c r="AL88" s="113">
        <f>(AL$23+$C$52*($C$22/$C$49*0.25)*(AL$56-$C$56)*$C$49)/$C$7*100</f>
        <v/>
      </c>
      <c r="AM88" s="113">
        <f>(AM$23+$C$52*($C$22/$C$49*0.25)*(AM$56-$C$56)*$C$49)/$C$7*100</f>
        <v/>
      </c>
      <c r="AN88" s="113">
        <f>(AN$23+$C$52*($C$22/$C$49*0.25)*(AN$56-$C$56)*$C$49)/$C$7*100</f>
        <v/>
      </c>
      <c r="AO88" s="113">
        <f>(AO$23+$C$52*($C$22/$C$49*0.25)*(AO$56-$C$56)*$C$49)/$C$7*100</f>
        <v/>
      </c>
      <c r="AP88" s="113">
        <f>(AP$23+$C$52*($C$22/$C$49*0.25)*(AP$56-$C$56)*$C$49)/$C$7*100</f>
        <v/>
      </c>
      <c r="AQ88" s="113">
        <f>(AQ$23+$C$52*($C$22/$C$49*0.25)*(AQ$56-$C$56)*$C$49)/$C$7*100</f>
        <v/>
      </c>
      <c r="AR88" s="113">
        <f>(AR$23+$C$52*($C$22/$C$49*0.25)*(AR$56-$C$56)*$C$49)/$C$7*100</f>
        <v/>
      </c>
      <c r="AS88" s="113">
        <f>(AS$23+$C$52*($C$22/$C$49*0.25)*(AS$56-$C$56)*$C$49)/$C$7*100</f>
        <v/>
      </c>
      <c r="AT88" s="113">
        <f>(AT$23+$C$52*($C$22/$C$49*0.25)*(AT$56-$C$56)*$C$49)/$C$7*100</f>
        <v/>
      </c>
      <c r="AU88" s="113">
        <f>(AU$23+$C$52*($C$22/$C$49*0.25)*(AU$56-$C$56)*$C$49)/$C$7*100</f>
        <v/>
      </c>
      <c r="AV88" s="113">
        <f>(AV$23+$C$52*($C$22/$C$49*0.25)*(AV$56-$C$56)*$C$49)/$C$7*100</f>
        <v/>
      </c>
      <c r="AW88" s="113">
        <f>(AW$23+$C$52*($C$22/$C$49*0.25)*(AW$56-$C$56)*$C$49)/$C$7*100</f>
        <v/>
      </c>
      <c r="AX88" s="113">
        <f>(AX$23+$C$52*($C$22/$C$49*0.25)*(AX$56-$C$56)*$C$49)/$C$7*100</f>
        <v/>
      </c>
      <c r="AY88" s="113">
        <f>(AY$23+$C$52*($C$22/$C$49*0.25)*(AY$56-$C$56)*$C$49)/$C$7*100</f>
        <v/>
      </c>
      <c r="AZ88" s="113">
        <f>(AZ$23+$C$52*($C$22/$C$49*0.25)*(AZ$56-$C$56)*$C$49)/$C$7*100</f>
        <v/>
      </c>
      <c r="BA88" s="113">
        <f>(BA$23+$C$52*($C$22/$C$49*0.25)*(BA$56-$C$56)*$C$49)/$C$7*100</f>
        <v/>
      </c>
      <c r="BB88" s="113">
        <f>(BB$23+$C$52*($C$22/$C$49*0.25)*(BB$56-$C$56)*$C$49)/$C$7*100</f>
        <v/>
      </c>
      <c r="BC88" s="113">
        <f>(BC$23+$C$52*($C$22/$C$49*0.25)*(BC$56-$C$56)*$C$49)/$C$7*100</f>
        <v/>
      </c>
      <c r="BD88" s="113">
        <f>(BD$23+$C$52*($C$22/$C$49*0.25)*(BD$56-$C$56)*$C$49)/$C$7*100</f>
        <v/>
      </c>
      <c r="BE88" s="113">
        <f>(BE$23+$C$52*($C$22/$C$49*0.25)*(BE$56-$C$56)*$C$49)/$C$7*100</f>
        <v/>
      </c>
      <c r="BF88" s="113">
        <f>(BF$23+$C$52*($C$22/$C$49*0.25)*(BF$56-$C$56)*$C$49)/$C$7*100</f>
        <v/>
      </c>
      <c r="BG88" s="113">
        <f>(BG$23+$C$52*($C$22/$C$49*0.25)*(BG$56-$C$56)*$C$49)/$C$7*100</f>
        <v/>
      </c>
      <c r="BH88" s="113">
        <f>(BH$23+$C$52*($C$22/$C$49*0.25)*(BH$56-$C$56)*$C$49)/$C$7*100</f>
        <v/>
      </c>
      <c r="BI88" s="113">
        <f>(BI$23+$C$52*($C$22/$C$49*0.25)*(BI$56-$C$56)*$C$49)/$C$7*100</f>
        <v/>
      </c>
      <c r="BJ88" s="113">
        <f>(BJ$23+$C$52*($C$22/$C$49*0.25)*(BJ$56-$C$56)*$C$49)/$C$7*100</f>
        <v/>
      </c>
      <c r="BK88" s="113">
        <f>(BK$23+$C$52*($C$22/$C$49*0.25)*(BK$56-$C$56)*$C$49)/$C$7*100</f>
        <v/>
      </c>
      <c r="BL88" s="113">
        <f>(BL$23+$C$52*($C$22/$C$49*0.25)*(BL$56-$C$56)*$C$49)/$C$7*100</f>
        <v/>
      </c>
      <c r="BM88" s="113">
        <f>(BM$23+$C$52*($C$22/$C$49*0.25)*(BM$56-$C$56)*$C$49)/$C$7*100</f>
        <v/>
      </c>
      <c r="BN88" s="113">
        <f>(BN$23+$C$52*($C$22/$C$49*0.25)*(BN$56-$C$56)*$C$49)/$C$7*100</f>
        <v/>
      </c>
      <c r="BO88" s="113">
        <f>(BO$23+$C$52*($C$22/$C$49*0.25)*(BO$56-$C$56)*$C$49)/$C$7*100</f>
        <v/>
      </c>
      <c r="BP88" s="113">
        <f>(BP$23+$C$52*($C$22/$C$49*0.25)*(BP$56-$C$56)*$C$49)/$C$7*100</f>
        <v/>
      </c>
      <c r="BQ88" s="113">
        <f>(BQ$23+$C$52*($C$22/$C$49*0.25)*(BQ$56-$C$56)*$C$49)/$C$7*100</f>
        <v/>
      </c>
      <c r="BR88" s="113">
        <f>(BR$23+$C$52*($C$22/$C$49*0.25)*(BR$56-$C$56)*$C$49)/$C$7*100</f>
        <v/>
      </c>
      <c r="BS88" s="113">
        <f>(BS$23+$C$52*($C$22/$C$49*0.25)*(BS$56-$C$56)*$C$49)/$C$7*100</f>
        <v/>
      </c>
      <c r="BT88" s="113">
        <f>(BT$23+$C$52*($C$22/$C$49*0.25)*(BT$56-$C$56)*$C$49)/$C$7*100</f>
        <v/>
      </c>
      <c r="BU88" s="113">
        <f>(BU$23+$C$52*($C$22/$C$49*0.25)*(BU$56-$C$56)*$C$49)/$C$7*100</f>
        <v/>
      </c>
      <c r="BV88" s="113">
        <f>(BV$23+$C$52*($C$22/$C$49*0.25)*(BV$56-$C$56)*$C$49)/$C$7*100</f>
        <v/>
      </c>
      <c r="BW88" s="113">
        <f>(BW$23+$C$52*($C$22/$C$49*0.25)*(BW$56-$C$56)*$C$49)/$C$7*100</f>
        <v/>
      </c>
      <c r="BX88" s="113">
        <f>(BX$23+$C$52*($C$22/$C$49*0.25)*(BX$56-$C$56)*$C$49)/$C$7*100</f>
        <v/>
      </c>
      <c r="BY88" s="113">
        <f>(BY$23+$C$52*($C$22/$C$49*0.25)*(BY$56-$C$56)*$C$49)/$C$7*100</f>
        <v/>
      </c>
      <c r="BZ88" s="113">
        <f>(BZ$23+$C$52*($C$22/$C$49*0.25)*(BZ$56-$C$56)*$C$49)/$C$7*100</f>
        <v/>
      </c>
      <c r="CA88" s="113">
        <f>(CA$23+$C$52*($C$22/$C$49*0.25)*(CA$56-$C$56)*$C$49)/$C$7*100</f>
        <v/>
      </c>
      <c r="CB88" s="113">
        <f>(CB$23+$C$52*($C$22/$C$49*0.25)*(CB$56-$C$56)*$C$49)/$C$7*100</f>
        <v/>
      </c>
      <c r="CC88" s="113">
        <f>(CC$23+$C$52*($C$22/$C$49*0.25)*(CC$56-$C$56)*$C$49)/$C$7*100</f>
        <v/>
      </c>
      <c r="CD88" s="113">
        <f>(CD$23+$C$52*($C$22/$C$49*0.25)*(CD$56-$C$56)*$C$49)/$C$7*100</f>
        <v/>
      </c>
      <c r="CE88" s="113">
        <f>(CE$23+$C$52*($C$22/$C$49*0.25)*(CE$56-$C$56)*$C$49)/$C$7*100</f>
        <v/>
      </c>
      <c r="CF88" s="113">
        <f>(CF$23+$C$52*($C$22/$C$49*0.25)*(CF$56-$C$56)*$C$49)/$C$7*100</f>
        <v/>
      </c>
      <c r="CG88" s="113">
        <f>(CG$23+$C$52*($C$22/$C$49*0.25)*(CG$56-$C$56)*$C$49)/$C$7*100</f>
        <v/>
      </c>
      <c r="CH88" s="113">
        <f>(CH$23+$C$52*($C$22/$C$49*0.25)*(CH$56-$C$56)*$C$49)/$C$7*100</f>
        <v/>
      </c>
      <c r="CI88" s="113">
        <f>(CI$23+$C$52*($C$22/$C$49*0.25)*(CI$56-$C$56)*$C$49)/$C$7*100</f>
        <v/>
      </c>
      <c r="CJ88" s="113">
        <f>(CJ$23+$C$52*($C$22/$C$49*0.25)*(CJ$56-$C$56)*$C$49)/$C$7*100</f>
        <v/>
      </c>
      <c r="CK88" s="113">
        <f>(CK$23+$C$52*($C$22/$C$49*0.25)*(CK$56-$C$56)*$C$49)/$C$7*100</f>
        <v/>
      </c>
      <c r="CL88" s="113">
        <f>(CL$23+$C$52*($C$22/$C$49*0.25)*(CL$56-$C$56)*$C$49)/$C$7*100</f>
        <v/>
      </c>
      <c r="CM88" s="113">
        <f>(CM$23+$C$52*($C$22/$C$49*0.25)*(CM$56-$C$56)*$C$49)/$C$7*100</f>
        <v/>
      </c>
      <c r="CN88" s="113">
        <f>(CN$23+$C$52*($C$22/$C$49*0.25)*(CN$56-$C$56)*$C$49)/$C$7*100</f>
        <v/>
      </c>
      <c r="CO88" s="113">
        <f>(CO$23+$C$52*($C$22/$C$49*0.25)*(CO$56-$C$56)*$C$49)/$C$7*100</f>
        <v/>
      </c>
    </row>
    <row r="89">
      <c r="B89" t="inlineStr">
        <is>
          <t>50% Hedged (USD)</t>
        </is>
      </c>
      <c r="C89" s="113">
        <f>(C$23+$C$52*($C$22/$C$49*0.5)*(C$56-$C$56)*$C$49)/$C$7*100</f>
        <v/>
      </c>
      <c r="D89" s="113">
        <f>(D$23+$C$52*($C$22/$C$49*0.5)*(D$56-$C$56)*$C$49)/$C$7*100</f>
        <v/>
      </c>
      <c r="E89" s="113">
        <f>(E$23+$C$52*($C$22/$C$49*0.5)*(E$56-$C$56)*$C$49)/$C$7*100</f>
        <v/>
      </c>
      <c r="F89" s="113">
        <f>(F$23+$C$52*($C$22/$C$49*0.5)*(F$56-$C$56)*$C$49)/$C$7*100</f>
        <v/>
      </c>
      <c r="G89" s="113">
        <f>(G$23+$C$52*($C$22/$C$49*0.5)*(G$56-$C$56)*$C$49)/$C$7*100</f>
        <v/>
      </c>
      <c r="H89" s="113">
        <f>(H$23+$C$52*($C$22/$C$49*0.5)*(H$56-$C$56)*$C$49)/$C$7*100</f>
        <v/>
      </c>
      <c r="I89" s="113">
        <f>(I$23+$C$52*($C$22/$C$49*0.5)*(I$56-$C$56)*$C$49)/$C$7*100</f>
        <v/>
      </c>
      <c r="J89" s="113">
        <f>(J$23+$C$52*($C$22/$C$49*0.5)*(J$56-$C$56)*$C$49)/$C$7*100</f>
        <v/>
      </c>
      <c r="K89" s="113">
        <f>(K$23+$C$52*($C$22/$C$49*0.5)*(K$56-$C$56)*$C$49)/$C$7*100</f>
        <v/>
      </c>
      <c r="L89" s="113">
        <f>(L$23+$C$52*($C$22/$C$49*0.5)*(L$56-$C$56)*$C$49)/$C$7*100</f>
        <v/>
      </c>
      <c r="M89" s="113">
        <f>(M$23+$C$52*($C$22/$C$49*0.5)*(M$56-$C$56)*$C$49)/$C$7*100</f>
        <v/>
      </c>
      <c r="N89" s="113">
        <f>(N$23+$C$52*($C$22/$C$49*0.5)*(N$56-$C$56)*$C$49)/$C$7*100</f>
        <v/>
      </c>
      <c r="O89" s="113">
        <f>(O$23+$C$52*($C$22/$C$49*0.5)*(O$56-$C$56)*$C$49)/$C$7*100</f>
        <v/>
      </c>
      <c r="P89" s="113">
        <f>(P$23+$C$52*($C$22/$C$49*0.5)*(P$56-$C$56)*$C$49)/$C$7*100</f>
        <v/>
      </c>
      <c r="Q89" s="113">
        <f>(Q$23+$C$52*($C$22/$C$49*0.5)*(Q$56-$C$56)*$C$49)/$C$7*100</f>
        <v/>
      </c>
      <c r="R89" s="113">
        <f>(R$23+$C$52*($C$22/$C$49*0.5)*(R$56-$C$56)*$C$49)/$C$7*100</f>
        <v/>
      </c>
      <c r="S89" s="113">
        <f>(S$23+$C$52*($C$22/$C$49*0.5)*(S$56-$C$56)*$C$49)/$C$7*100</f>
        <v/>
      </c>
      <c r="T89" s="113">
        <f>(T$23+$C$52*($C$22/$C$49*0.5)*(T$56-$C$56)*$C$49)/$C$7*100</f>
        <v/>
      </c>
      <c r="U89" s="113">
        <f>(U$23+$C$52*($C$22/$C$49*0.5)*(U$56-$C$56)*$C$49)/$C$7*100</f>
        <v/>
      </c>
      <c r="V89" s="113">
        <f>(V$23+$C$52*($C$22/$C$49*0.5)*(V$56-$C$56)*$C$49)/$C$7*100</f>
        <v/>
      </c>
      <c r="W89" s="113">
        <f>(W$23+$C$52*($C$22/$C$49*0.5)*(W$56-$C$56)*$C$49)/$C$7*100</f>
        <v/>
      </c>
      <c r="X89" s="113">
        <f>(X$23+$C$52*($C$22/$C$49*0.5)*(X$56-$C$56)*$C$49)/$C$7*100</f>
        <v/>
      </c>
      <c r="Y89" s="113">
        <f>(Y$23+$C$52*($C$22/$C$49*0.5)*(Y$56-$C$56)*$C$49)/$C$7*100</f>
        <v/>
      </c>
      <c r="Z89" s="113">
        <f>(Z$23+$C$52*($C$22/$C$49*0.5)*(Z$56-$C$56)*$C$49)/$C$7*100</f>
        <v/>
      </c>
      <c r="AA89" s="113">
        <f>(AA$23+$C$52*($C$22/$C$49*0.5)*(AA$56-$C$56)*$C$49)/$C$7*100</f>
        <v/>
      </c>
      <c r="AB89" s="113">
        <f>(AB$23+$C$52*($C$22/$C$49*0.5)*(AB$56-$C$56)*$C$49)/$C$7*100</f>
        <v/>
      </c>
      <c r="AC89" s="113">
        <f>(AC$23+$C$52*($C$22/$C$49*0.5)*(AC$56-$C$56)*$C$49)/$C$7*100</f>
        <v/>
      </c>
      <c r="AD89" s="113">
        <f>(AD$23+$C$52*($C$22/$C$49*0.5)*(AD$56-$C$56)*$C$49)/$C$7*100</f>
        <v/>
      </c>
      <c r="AE89" s="113">
        <f>(AE$23+$C$52*($C$22/$C$49*0.5)*(AE$56-$C$56)*$C$49)/$C$7*100</f>
        <v/>
      </c>
      <c r="AF89" s="113">
        <f>(AF$23+$C$52*($C$22/$C$49*0.5)*(AF$56-$C$56)*$C$49)/$C$7*100</f>
        <v/>
      </c>
      <c r="AG89" s="113">
        <f>(AG$23+$C$52*($C$22/$C$49*0.5)*(AG$56-$C$56)*$C$49)/$C$7*100</f>
        <v/>
      </c>
      <c r="AH89" s="113">
        <f>(AH$23+$C$52*($C$22/$C$49*0.5)*(AH$56-$C$56)*$C$49)/$C$7*100</f>
        <v/>
      </c>
      <c r="AI89" s="113">
        <f>(AI$23+$C$52*($C$22/$C$49*0.5)*(AI$56-$C$56)*$C$49)/$C$7*100</f>
        <v/>
      </c>
      <c r="AJ89" s="113">
        <f>(AJ$23+$C$52*($C$22/$C$49*0.5)*(AJ$56-$C$56)*$C$49)/$C$7*100</f>
        <v/>
      </c>
      <c r="AK89" s="113">
        <f>(AK$23+$C$52*($C$22/$C$49*0.5)*(AK$56-$C$56)*$C$49)/$C$7*100</f>
        <v/>
      </c>
      <c r="AL89" s="113">
        <f>(AL$23+$C$52*($C$22/$C$49*0.5)*(AL$56-$C$56)*$C$49)/$C$7*100</f>
        <v/>
      </c>
      <c r="AM89" s="113">
        <f>(AM$23+$C$52*($C$22/$C$49*0.5)*(AM$56-$C$56)*$C$49)/$C$7*100</f>
        <v/>
      </c>
      <c r="AN89" s="113">
        <f>(AN$23+$C$52*($C$22/$C$49*0.5)*(AN$56-$C$56)*$C$49)/$C$7*100</f>
        <v/>
      </c>
      <c r="AO89" s="113">
        <f>(AO$23+$C$52*($C$22/$C$49*0.5)*(AO$56-$C$56)*$C$49)/$C$7*100</f>
        <v/>
      </c>
      <c r="AP89" s="113">
        <f>(AP$23+$C$52*($C$22/$C$49*0.5)*(AP$56-$C$56)*$C$49)/$C$7*100</f>
        <v/>
      </c>
      <c r="AQ89" s="113">
        <f>(AQ$23+$C$52*($C$22/$C$49*0.5)*(AQ$56-$C$56)*$C$49)/$C$7*100</f>
        <v/>
      </c>
      <c r="AR89" s="113">
        <f>(AR$23+$C$52*($C$22/$C$49*0.5)*(AR$56-$C$56)*$C$49)/$C$7*100</f>
        <v/>
      </c>
      <c r="AS89" s="113">
        <f>(AS$23+$C$52*($C$22/$C$49*0.5)*(AS$56-$C$56)*$C$49)/$C$7*100</f>
        <v/>
      </c>
      <c r="AT89" s="113">
        <f>(AT$23+$C$52*($C$22/$C$49*0.5)*(AT$56-$C$56)*$C$49)/$C$7*100</f>
        <v/>
      </c>
      <c r="AU89" s="113">
        <f>(AU$23+$C$52*($C$22/$C$49*0.5)*(AU$56-$C$56)*$C$49)/$C$7*100</f>
        <v/>
      </c>
      <c r="AV89" s="113">
        <f>(AV$23+$C$52*($C$22/$C$49*0.5)*(AV$56-$C$56)*$C$49)/$C$7*100</f>
        <v/>
      </c>
      <c r="AW89" s="113">
        <f>(AW$23+$C$52*($C$22/$C$49*0.5)*(AW$56-$C$56)*$C$49)/$C$7*100</f>
        <v/>
      </c>
      <c r="AX89" s="113">
        <f>(AX$23+$C$52*($C$22/$C$49*0.5)*(AX$56-$C$56)*$C$49)/$C$7*100</f>
        <v/>
      </c>
      <c r="AY89" s="113">
        <f>(AY$23+$C$52*($C$22/$C$49*0.5)*(AY$56-$C$56)*$C$49)/$C$7*100</f>
        <v/>
      </c>
      <c r="AZ89" s="113">
        <f>(AZ$23+$C$52*($C$22/$C$49*0.5)*(AZ$56-$C$56)*$C$49)/$C$7*100</f>
        <v/>
      </c>
      <c r="BA89" s="113">
        <f>(BA$23+$C$52*($C$22/$C$49*0.5)*(BA$56-$C$56)*$C$49)/$C$7*100</f>
        <v/>
      </c>
      <c r="BB89" s="113">
        <f>(BB$23+$C$52*($C$22/$C$49*0.5)*(BB$56-$C$56)*$C$49)/$C$7*100</f>
        <v/>
      </c>
      <c r="BC89" s="113">
        <f>(BC$23+$C$52*($C$22/$C$49*0.5)*(BC$56-$C$56)*$C$49)/$C$7*100</f>
        <v/>
      </c>
      <c r="BD89" s="113">
        <f>(BD$23+$C$52*($C$22/$C$49*0.5)*(BD$56-$C$56)*$C$49)/$C$7*100</f>
        <v/>
      </c>
      <c r="BE89" s="113">
        <f>(BE$23+$C$52*($C$22/$C$49*0.5)*(BE$56-$C$56)*$C$49)/$C$7*100</f>
        <v/>
      </c>
      <c r="BF89" s="113">
        <f>(BF$23+$C$52*($C$22/$C$49*0.5)*(BF$56-$C$56)*$C$49)/$C$7*100</f>
        <v/>
      </c>
      <c r="BG89" s="113">
        <f>(BG$23+$C$52*($C$22/$C$49*0.5)*(BG$56-$C$56)*$C$49)/$C$7*100</f>
        <v/>
      </c>
      <c r="BH89" s="113">
        <f>(BH$23+$C$52*($C$22/$C$49*0.5)*(BH$56-$C$56)*$C$49)/$C$7*100</f>
        <v/>
      </c>
      <c r="BI89" s="113">
        <f>(BI$23+$C$52*($C$22/$C$49*0.5)*(BI$56-$C$56)*$C$49)/$C$7*100</f>
        <v/>
      </c>
      <c r="BJ89" s="113">
        <f>(BJ$23+$C$52*($C$22/$C$49*0.5)*(BJ$56-$C$56)*$C$49)/$C$7*100</f>
        <v/>
      </c>
      <c r="BK89" s="113">
        <f>(BK$23+$C$52*($C$22/$C$49*0.5)*(BK$56-$C$56)*$C$49)/$C$7*100</f>
        <v/>
      </c>
      <c r="BL89" s="113">
        <f>(BL$23+$C$52*($C$22/$C$49*0.5)*(BL$56-$C$56)*$C$49)/$C$7*100</f>
        <v/>
      </c>
      <c r="BM89" s="113">
        <f>(BM$23+$C$52*($C$22/$C$49*0.5)*(BM$56-$C$56)*$C$49)/$C$7*100</f>
        <v/>
      </c>
      <c r="BN89" s="113">
        <f>(BN$23+$C$52*($C$22/$C$49*0.5)*(BN$56-$C$56)*$C$49)/$C$7*100</f>
        <v/>
      </c>
      <c r="BO89" s="113">
        <f>(BO$23+$C$52*($C$22/$C$49*0.5)*(BO$56-$C$56)*$C$49)/$C$7*100</f>
        <v/>
      </c>
      <c r="BP89" s="113">
        <f>(BP$23+$C$52*($C$22/$C$49*0.5)*(BP$56-$C$56)*$C$49)/$C$7*100</f>
        <v/>
      </c>
      <c r="BQ89" s="113">
        <f>(BQ$23+$C$52*($C$22/$C$49*0.5)*(BQ$56-$C$56)*$C$49)/$C$7*100</f>
        <v/>
      </c>
      <c r="BR89" s="113">
        <f>(BR$23+$C$52*($C$22/$C$49*0.5)*(BR$56-$C$56)*$C$49)/$C$7*100</f>
        <v/>
      </c>
      <c r="BS89" s="113">
        <f>(BS$23+$C$52*($C$22/$C$49*0.5)*(BS$56-$C$56)*$C$49)/$C$7*100</f>
        <v/>
      </c>
      <c r="BT89" s="113">
        <f>(BT$23+$C$52*($C$22/$C$49*0.5)*(BT$56-$C$56)*$C$49)/$C$7*100</f>
        <v/>
      </c>
      <c r="BU89" s="113">
        <f>(BU$23+$C$52*($C$22/$C$49*0.5)*(BU$56-$C$56)*$C$49)/$C$7*100</f>
        <v/>
      </c>
      <c r="BV89" s="113">
        <f>(BV$23+$C$52*($C$22/$C$49*0.5)*(BV$56-$C$56)*$C$49)/$C$7*100</f>
        <v/>
      </c>
      <c r="BW89" s="113">
        <f>(BW$23+$C$52*($C$22/$C$49*0.5)*(BW$56-$C$56)*$C$49)/$C$7*100</f>
        <v/>
      </c>
      <c r="BX89" s="113">
        <f>(BX$23+$C$52*($C$22/$C$49*0.5)*(BX$56-$C$56)*$C$49)/$C$7*100</f>
        <v/>
      </c>
      <c r="BY89" s="113">
        <f>(BY$23+$C$52*($C$22/$C$49*0.5)*(BY$56-$C$56)*$C$49)/$C$7*100</f>
        <v/>
      </c>
      <c r="BZ89" s="113">
        <f>(BZ$23+$C$52*($C$22/$C$49*0.5)*(BZ$56-$C$56)*$C$49)/$C$7*100</f>
        <v/>
      </c>
      <c r="CA89" s="113">
        <f>(CA$23+$C$52*($C$22/$C$49*0.5)*(CA$56-$C$56)*$C$49)/$C$7*100</f>
        <v/>
      </c>
      <c r="CB89" s="113">
        <f>(CB$23+$C$52*($C$22/$C$49*0.5)*(CB$56-$C$56)*$C$49)/$C$7*100</f>
        <v/>
      </c>
      <c r="CC89" s="113">
        <f>(CC$23+$C$52*($C$22/$C$49*0.5)*(CC$56-$C$56)*$C$49)/$C$7*100</f>
        <v/>
      </c>
      <c r="CD89" s="113">
        <f>(CD$23+$C$52*($C$22/$C$49*0.5)*(CD$56-$C$56)*$C$49)/$C$7*100</f>
        <v/>
      </c>
      <c r="CE89" s="113">
        <f>(CE$23+$C$52*($C$22/$C$49*0.5)*(CE$56-$C$56)*$C$49)/$C$7*100</f>
        <v/>
      </c>
      <c r="CF89" s="113">
        <f>(CF$23+$C$52*($C$22/$C$49*0.5)*(CF$56-$C$56)*$C$49)/$C$7*100</f>
        <v/>
      </c>
      <c r="CG89" s="113">
        <f>(CG$23+$C$52*($C$22/$C$49*0.5)*(CG$56-$C$56)*$C$49)/$C$7*100</f>
        <v/>
      </c>
      <c r="CH89" s="113">
        <f>(CH$23+$C$52*($C$22/$C$49*0.5)*(CH$56-$C$56)*$C$49)/$C$7*100</f>
        <v/>
      </c>
      <c r="CI89" s="113">
        <f>(CI$23+$C$52*($C$22/$C$49*0.5)*(CI$56-$C$56)*$C$49)/$C$7*100</f>
        <v/>
      </c>
      <c r="CJ89" s="113">
        <f>(CJ$23+$C$52*($C$22/$C$49*0.5)*(CJ$56-$C$56)*$C$49)/$C$7*100</f>
        <v/>
      </c>
      <c r="CK89" s="113">
        <f>(CK$23+$C$52*($C$22/$C$49*0.5)*(CK$56-$C$56)*$C$49)/$C$7*100</f>
        <v/>
      </c>
      <c r="CL89" s="113">
        <f>(CL$23+$C$52*($C$22/$C$49*0.5)*(CL$56-$C$56)*$C$49)/$C$7*100</f>
        <v/>
      </c>
      <c r="CM89" s="113">
        <f>(CM$23+$C$52*($C$22/$C$49*0.5)*(CM$56-$C$56)*$C$49)/$C$7*100</f>
        <v/>
      </c>
      <c r="CN89" s="113">
        <f>(CN$23+$C$52*($C$22/$C$49*0.5)*(CN$56-$C$56)*$C$49)/$C$7*100</f>
        <v/>
      </c>
      <c r="CO89" s="113">
        <f>(CO$23+$C$52*($C$22/$C$49*0.5)*(CO$56-$C$56)*$C$49)/$C$7*100</f>
        <v/>
      </c>
    </row>
    <row r="90">
      <c r="B90" t="inlineStr">
        <is>
          <t>100% Hedged (USD)</t>
        </is>
      </c>
      <c r="C90" s="113">
        <f>(C$23+$C$52*($C$22/$C$49*1.0)*(C$56-$C$56)*$C$49)/$C$7*100</f>
        <v/>
      </c>
      <c r="D90" s="113">
        <f>(D$23+$C$52*($C$22/$C$49*1.0)*(D$56-$C$56)*$C$49)/$C$7*100</f>
        <v/>
      </c>
      <c r="E90" s="113">
        <f>(E$23+$C$52*($C$22/$C$49*1.0)*(E$56-$C$56)*$C$49)/$C$7*100</f>
        <v/>
      </c>
      <c r="F90" s="113">
        <f>(F$23+$C$52*($C$22/$C$49*1.0)*(F$56-$C$56)*$C$49)/$C$7*100</f>
        <v/>
      </c>
      <c r="G90" s="113">
        <f>(G$23+$C$52*($C$22/$C$49*1.0)*(G$56-$C$56)*$C$49)/$C$7*100</f>
        <v/>
      </c>
      <c r="H90" s="113">
        <f>(H$23+$C$52*($C$22/$C$49*1.0)*(H$56-$C$56)*$C$49)/$C$7*100</f>
        <v/>
      </c>
      <c r="I90" s="113">
        <f>(I$23+$C$52*($C$22/$C$49*1.0)*(I$56-$C$56)*$C$49)/$C$7*100</f>
        <v/>
      </c>
      <c r="J90" s="113">
        <f>(J$23+$C$52*($C$22/$C$49*1.0)*(J$56-$C$56)*$C$49)/$C$7*100</f>
        <v/>
      </c>
      <c r="K90" s="113">
        <f>(K$23+$C$52*($C$22/$C$49*1.0)*(K$56-$C$56)*$C$49)/$C$7*100</f>
        <v/>
      </c>
      <c r="L90" s="113">
        <f>(L$23+$C$52*($C$22/$C$49*1.0)*(L$56-$C$56)*$C$49)/$C$7*100</f>
        <v/>
      </c>
      <c r="M90" s="113">
        <f>(M$23+$C$52*($C$22/$C$49*1.0)*(M$56-$C$56)*$C$49)/$C$7*100</f>
        <v/>
      </c>
      <c r="N90" s="113">
        <f>(N$23+$C$52*($C$22/$C$49*1.0)*(N$56-$C$56)*$C$49)/$C$7*100</f>
        <v/>
      </c>
      <c r="O90" s="113">
        <f>(O$23+$C$52*($C$22/$C$49*1.0)*(O$56-$C$56)*$C$49)/$C$7*100</f>
        <v/>
      </c>
      <c r="P90" s="113">
        <f>(P$23+$C$52*($C$22/$C$49*1.0)*(P$56-$C$56)*$C$49)/$C$7*100</f>
        <v/>
      </c>
      <c r="Q90" s="113">
        <f>(Q$23+$C$52*($C$22/$C$49*1.0)*(Q$56-$C$56)*$C$49)/$C$7*100</f>
        <v/>
      </c>
      <c r="R90" s="113">
        <f>(R$23+$C$52*($C$22/$C$49*1.0)*(R$56-$C$56)*$C$49)/$C$7*100</f>
        <v/>
      </c>
      <c r="S90" s="113">
        <f>(S$23+$C$52*($C$22/$C$49*1.0)*(S$56-$C$56)*$C$49)/$C$7*100</f>
        <v/>
      </c>
      <c r="T90" s="113">
        <f>(T$23+$C$52*($C$22/$C$49*1.0)*(T$56-$C$56)*$C$49)/$C$7*100</f>
        <v/>
      </c>
      <c r="U90" s="113">
        <f>(U$23+$C$52*($C$22/$C$49*1.0)*(U$56-$C$56)*$C$49)/$C$7*100</f>
        <v/>
      </c>
      <c r="V90" s="113">
        <f>(V$23+$C$52*($C$22/$C$49*1.0)*(V$56-$C$56)*$C$49)/$C$7*100</f>
        <v/>
      </c>
      <c r="W90" s="113">
        <f>(W$23+$C$52*($C$22/$C$49*1.0)*(W$56-$C$56)*$C$49)/$C$7*100</f>
        <v/>
      </c>
      <c r="X90" s="113">
        <f>(X$23+$C$52*($C$22/$C$49*1.0)*(X$56-$C$56)*$C$49)/$C$7*100</f>
        <v/>
      </c>
      <c r="Y90" s="113">
        <f>(Y$23+$C$52*($C$22/$C$49*1.0)*(Y$56-$C$56)*$C$49)/$C$7*100</f>
        <v/>
      </c>
      <c r="Z90" s="113">
        <f>(Z$23+$C$52*($C$22/$C$49*1.0)*(Z$56-$C$56)*$C$49)/$C$7*100</f>
        <v/>
      </c>
      <c r="AA90" s="113">
        <f>(AA$23+$C$52*($C$22/$C$49*1.0)*(AA$56-$C$56)*$C$49)/$C$7*100</f>
        <v/>
      </c>
      <c r="AB90" s="113">
        <f>(AB$23+$C$52*($C$22/$C$49*1.0)*(AB$56-$C$56)*$C$49)/$C$7*100</f>
        <v/>
      </c>
      <c r="AC90" s="113">
        <f>(AC$23+$C$52*($C$22/$C$49*1.0)*(AC$56-$C$56)*$C$49)/$C$7*100</f>
        <v/>
      </c>
      <c r="AD90" s="113">
        <f>(AD$23+$C$52*($C$22/$C$49*1.0)*(AD$56-$C$56)*$C$49)/$C$7*100</f>
        <v/>
      </c>
      <c r="AE90" s="113">
        <f>(AE$23+$C$52*($C$22/$C$49*1.0)*(AE$56-$C$56)*$C$49)/$C$7*100</f>
        <v/>
      </c>
      <c r="AF90" s="113">
        <f>(AF$23+$C$52*($C$22/$C$49*1.0)*(AF$56-$C$56)*$C$49)/$C$7*100</f>
        <v/>
      </c>
      <c r="AG90" s="113">
        <f>(AG$23+$C$52*($C$22/$C$49*1.0)*(AG$56-$C$56)*$C$49)/$C$7*100</f>
        <v/>
      </c>
      <c r="AH90" s="113">
        <f>(AH$23+$C$52*($C$22/$C$49*1.0)*(AH$56-$C$56)*$C$49)/$C$7*100</f>
        <v/>
      </c>
      <c r="AI90" s="113">
        <f>(AI$23+$C$52*($C$22/$C$49*1.0)*(AI$56-$C$56)*$C$49)/$C$7*100</f>
        <v/>
      </c>
      <c r="AJ90" s="113">
        <f>(AJ$23+$C$52*($C$22/$C$49*1.0)*(AJ$56-$C$56)*$C$49)/$C$7*100</f>
        <v/>
      </c>
      <c r="AK90" s="113">
        <f>(AK$23+$C$52*($C$22/$C$49*1.0)*(AK$56-$C$56)*$C$49)/$C$7*100</f>
        <v/>
      </c>
      <c r="AL90" s="113">
        <f>(AL$23+$C$52*($C$22/$C$49*1.0)*(AL$56-$C$56)*$C$49)/$C$7*100</f>
        <v/>
      </c>
      <c r="AM90" s="113">
        <f>(AM$23+$C$52*($C$22/$C$49*1.0)*(AM$56-$C$56)*$C$49)/$C$7*100</f>
        <v/>
      </c>
      <c r="AN90" s="113">
        <f>(AN$23+$C$52*($C$22/$C$49*1.0)*(AN$56-$C$56)*$C$49)/$C$7*100</f>
        <v/>
      </c>
      <c r="AO90" s="113">
        <f>(AO$23+$C$52*($C$22/$C$49*1.0)*(AO$56-$C$56)*$C$49)/$C$7*100</f>
        <v/>
      </c>
      <c r="AP90" s="113">
        <f>(AP$23+$C$52*($C$22/$C$49*1.0)*(AP$56-$C$56)*$C$49)/$C$7*100</f>
        <v/>
      </c>
      <c r="AQ90" s="113">
        <f>(AQ$23+$C$52*($C$22/$C$49*1.0)*(AQ$56-$C$56)*$C$49)/$C$7*100</f>
        <v/>
      </c>
      <c r="AR90" s="113">
        <f>(AR$23+$C$52*($C$22/$C$49*1.0)*(AR$56-$C$56)*$C$49)/$C$7*100</f>
        <v/>
      </c>
      <c r="AS90" s="113">
        <f>(AS$23+$C$52*($C$22/$C$49*1.0)*(AS$56-$C$56)*$C$49)/$C$7*100</f>
        <v/>
      </c>
      <c r="AT90" s="113">
        <f>(AT$23+$C$52*($C$22/$C$49*1.0)*(AT$56-$C$56)*$C$49)/$C$7*100</f>
        <v/>
      </c>
      <c r="AU90" s="113">
        <f>(AU$23+$C$52*($C$22/$C$49*1.0)*(AU$56-$C$56)*$C$49)/$C$7*100</f>
        <v/>
      </c>
      <c r="AV90" s="113">
        <f>(AV$23+$C$52*($C$22/$C$49*1.0)*(AV$56-$C$56)*$C$49)/$C$7*100</f>
        <v/>
      </c>
      <c r="AW90" s="113">
        <f>(AW$23+$C$52*($C$22/$C$49*1.0)*(AW$56-$C$56)*$C$49)/$C$7*100</f>
        <v/>
      </c>
      <c r="AX90" s="113">
        <f>(AX$23+$C$52*($C$22/$C$49*1.0)*(AX$56-$C$56)*$C$49)/$C$7*100</f>
        <v/>
      </c>
      <c r="AY90" s="113">
        <f>(AY$23+$C$52*($C$22/$C$49*1.0)*(AY$56-$C$56)*$C$49)/$C$7*100</f>
        <v/>
      </c>
      <c r="AZ90" s="113">
        <f>(AZ$23+$C$52*($C$22/$C$49*1.0)*(AZ$56-$C$56)*$C$49)/$C$7*100</f>
        <v/>
      </c>
      <c r="BA90" s="113">
        <f>(BA$23+$C$52*($C$22/$C$49*1.0)*(BA$56-$C$56)*$C$49)/$C$7*100</f>
        <v/>
      </c>
      <c r="BB90" s="113">
        <f>(BB$23+$C$52*($C$22/$C$49*1.0)*(BB$56-$C$56)*$C$49)/$C$7*100</f>
        <v/>
      </c>
      <c r="BC90" s="113">
        <f>(BC$23+$C$52*($C$22/$C$49*1.0)*(BC$56-$C$56)*$C$49)/$C$7*100</f>
        <v/>
      </c>
      <c r="BD90" s="113">
        <f>(BD$23+$C$52*($C$22/$C$49*1.0)*(BD$56-$C$56)*$C$49)/$C$7*100</f>
        <v/>
      </c>
      <c r="BE90" s="113">
        <f>(BE$23+$C$52*($C$22/$C$49*1.0)*(BE$56-$C$56)*$C$49)/$C$7*100</f>
        <v/>
      </c>
      <c r="BF90" s="113">
        <f>(BF$23+$C$52*($C$22/$C$49*1.0)*(BF$56-$C$56)*$C$49)/$C$7*100</f>
        <v/>
      </c>
      <c r="BG90" s="113">
        <f>(BG$23+$C$52*($C$22/$C$49*1.0)*(BG$56-$C$56)*$C$49)/$C$7*100</f>
        <v/>
      </c>
      <c r="BH90" s="113">
        <f>(BH$23+$C$52*($C$22/$C$49*1.0)*(BH$56-$C$56)*$C$49)/$C$7*100</f>
        <v/>
      </c>
      <c r="BI90" s="113">
        <f>(BI$23+$C$52*($C$22/$C$49*1.0)*(BI$56-$C$56)*$C$49)/$C$7*100</f>
        <v/>
      </c>
      <c r="BJ90" s="113">
        <f>(BJ$23+$C$52*($C$22/$C$49*1.0)*(BJ$56-$C$56)*$C$49)/$C$7*100</f>
        <v/>
      </c>
      <c r="BK90" s="113">
        <f>(BK$23+$C$52*($C$22/$C$49*1.0)*(BK$56-$C$56)*$C$49)/$C$7*100</f>
        <v/>
      </c>
      <c r="BL90" s="113">
        <f>(BL$23+$C$52*($C$22/$C$49*1.0)*(BL$56-$C$56)*$C$49)/$C$7*100</f>
        <v/>
      </c>
      <c r="BM90" s="113">
        <f>(BM$23+$C$52*($C$22/$C$49*1.0)*(BM$56-$C$56)*$C$49)/$C$7*100</f>
        <v/>
      </c>
      <c r="BN90" s="113">
        <f>(BN$23+$C$52*($C$22/$C$49*1.0)*(BN$56-$C$56)*$C$49)/$C$7*100</f>
        <v/>
      </c>
      <c r="BO90" s="113">
        <f>(BO$23+$C$52*($C$22/$C$49*1.0)*(BO$56-$C$56)*$C$49)/$C$7*100</f>
        <v/>
      </c>
      <c r="BP90" s="113">
        <f>(BP$23+$C$52*($C$22/$C$49*1.0)*(BP$56-$C$56)*$C$49)/$C$7*100</f>
        <v/>
      </c>
      <c r="BQ90" s="113">
        <f>(BQ$23+$C$52*($C$22/$C$49*1.0)*(BQ$56-$C$56)*$C$49)/$C$7*100</f>
        <v/>
      </c>
      <c r="BR90" s="113">
        <f>(BR$23+$C$52*($C$22/$C$49*1.0)*(BR$56-$C$56)*$C$49)/$C$7*100</f>
        <v/>
      </c>
      <c r="BS90" s="113">
        <f>(BS$23+$C$52*($C$22/$C$49*1.0)*(BS$56-$C$56)*$C$49)/$C$7*100</f>
        <v/>
      </c>
      <c r="BT90" s="113">
        <f>(BT$23+$C$52*($C$22/$C$49*1.0)*(BT$56-$C$56)*$C$49)/$C$7*100</f>
        <v/>
      </c>
      <c r="BU90" s="113">
        <f>(BU$23+$C$52*($C$22/$C$49*1.0)*(BU$56-$C$56)*$C$49)/$C$7*100</f>
        <v/>
      </c>
      <c r="BV90" s="113">
        <f>(BV$23+$C$52*($C$22/$C$49*1.0)*(BV$56-$C$56)*$C$49)/$C$7*100</f>
        <v/>
      </c>
      <c r="BW90" s="113">
        <f>(BW$23+$C$52*($C$22/$C$49*1.0)*(BW$56-$C$56)*$C$49)/$C$7*100</f>
        <v/>
      </c>
      <c r="BX90" s="113">
        <f>(BX$23+$C$52*($C$22/$C$49*1.0)*(BX$56-$C$56)*$C$49)/$C$7*100</f>
        <v/>
      </c>
      <c r="BY90" s="113">
        <f>(BY$23+$C$52*($C$22/$C$49*1.0)*(BY$56-$C$56)*$C$49)/$C$7*100</f>
        <v/>
      </c>
      <c r="BZ90" s="113">
        <f>(BZ$23+$C$52*($C$22/$C$49*1.0)*(BZ$56-$C$56)*$C$49)/$C$7*100</f>
        <v/>
      </c>
      <c r="CA90" s="113">
        <f>(CA$23+$C$52*($C$22/$C$49*1.0)*(CA$56-$C$56)*$C$49)/$C$7*100</f>
        <v/>
      </c>
      <c r="CB90" s="113">
        <f>(CB$23+$C$52*($C$22/$C$49*1.0)*(CB$56-$C$56)*$C$49)/$C$7*100</f>
        <v/>
      </c>
      <c r="CC90" s="113">
        <f>(CC$23+$C$52*($C$22/$C$49*1.0)*(CC$56-$C$56)*$C$49)/$C$7*100</f>
        <v/>
      </c>
      <c r="CD90" s="113">
        <f>(CD$23+$C$52*($C$22/$C$49*1.0)*(CD$56-$C$56)*$C$49)/$C$7*100</f>
        <v/>
      </c>
      <c r="CE90" s="113">
        <f>(CE$23+$C$52*($C$22/$C$49*1.0)*(CE$56-$C$56)*$C$49)/$C$7*100</f>
        <v/>
      </c>
      <c r="CF90" s="113">
        <f>(CF$23+$C$52*($C$22/$C$49*1.0)*(CF$56-$C$56)*$C$49)/$C$7*100</f>
        <v/>
      </c>
      <c r="CG90" s="113">
        <f>(CG$23+$C$52*($C$22/$C$49*1.0)*(CG$56-$C$56)*$C$49)/$C$7*100</f>
        <v/>
      </c>
      <c r="CH90" s="113">
        <f>(CH$23+$C$52*($C$22/$C$49*1.0)*(CH$56-$C$56)*$C$49)/$C$7*100</f>
        <v/>
      </c>
      <c r="CI90" s="113">
        <f>(CI$23+$C$52*($C$22/$C$49*1.0)*(CI$56-$C$56)*$C$49)/$C$7*100</f>
        <v/>
      </c>
      <c r="CJ90" s="113">
        <f>(CJ$23+$C$52*($C$22/$C$49*1.0)*(CJ$56-$C$56)*$C$49)/$C$7*100</f>
        <v/>
      </c>
      <c r="CK90" s="113">
        <f>(CK$23+$C$52*($C$22/$C$49*1.0)*(CK$56-$C$56)*$C$49)/$C$7*100</f>
        <v/>
      </c>
      <c r="CL90" s="113">
        <f>(CL$23+$C$52*($C$22/$C$49*1.0)*(CL$56-$C$56)*$C$49)/$C$7*100</f>
        <v/>
      </c>
      <c r="CM90" s="113">
        <f>(CM$23+$C$52*($C$22/$C$49*1.0)*(CM$56-$C$56)*$C$49)/$C$7*100</f>
        <v/>
      </c>
      <c r="CN90" s="113">
        <f>(CN$23+$C$52*($C$22/$C$49*1.0)*(CN$56-$C$56)*$C$49)/$C$7*100</f>
        <v/>
      </c>
      <c r="CO90" s="113">
        <f>(CO$23+$C$52*($C$22/$C$49*1.0)*(CO$56-$C$56)*$C$49)/$C$7*100</f>
        <v/>
      </c>
    </row>
    <row r="110">
      <c r="B110" s="101" t="inlineStr">
        <is>
          <t>SUMMARY: return and risk of the UK equity carve-out (day 0 to day 90)</t>
        </is>
      </c>
    </row>
    <row r="111">
      <c r="B111" s="92" t="inlineStr">
        <is>
          <t>Measure</t>
        </is>
      </c>
      <c r="C111" s="92" t="inlineStr">
        <is>
          <t>Value</t>
        </is>
      </c>
    </row>
    <row r="112">
      <c r="B112" s="93" t="inlineStr">
        <is>
          <t>GBP fund return (local currency)</t>
        </is>
      </c>
      <c r="C112" s="97">
        <f>CO22/C22-1</f>
        <v/>
      </c>
    </row>
    <row r="113">
      <c r="B113" s="93" t="inlineStr">
        <is>
          <t>GBP vs. USD currency return</t>
        </is>
      </c>
      <c r="C113" s="97">
        <f>CO13/C13-1</f>
        <v/>
      </c>
    </row>
    <row r="114">
      <c r="B114" s="93" t="inlineStr">
        <is>
          <t>Unhedged return in USD</t>
        </is>
      </c>
      <c r="C114" s="97">
        <f>CO23/C23-1</f>
        <v/>
      </c>
    </row>
    <row r="115">
      <c r="B115" s="93" t="inlineStr">
        <is>
          <t>Daily volatility - GBP fund (local)</t>
        </is>
      </c>
      <c r="C115" s="97">
        <f t="array" ref="C115">_xlfn.STDEV.S(D22:CO22/C22:CN22-1)</f>
        <v/>
      </c>
    </row>
    <row r="116">
      <c r="B116" s="93" t="inlineStr">
        <is>
          <t>Daily volatility - GBP/USD exchange rate</t>
        </is>
      </c>
      <c r="C116" s="97">
        <f t="array" ref="C116">_xlfn.STDEV.S(D13:CO13/C13:CN13-1)</f>
        <v/>
      </c>
    </row>
    <row r="117">
      <c r="B117" s="93" t="inlineStr">
        <is>
          <t>Daily volatility - unhedged USD value</t>
        </is>
      </c>
      <c r="C117" s="97">
        <f t="array" ref="C117">_xlfn.STDEV.S(D23:CO23/C23:CN23-1)</f>
        <v/>
      </c>
    </row>
    <row r="118">
      <c r="B118" s="93" t="inlineStr">
        <is>
          <t>Number of contracts (50% hedge)</t>
        </is>
      </c>
      <c r="C118" s="114">
        <f>C51</f>
        <v/>
      </c>
    </row>
    <row r="119">
      <c r="B119" s="93" t="inlineStr">
        <is>
          <t>Futures P&amp;L at 50% hedge (USD)</t>
        </is>
      </c>
      <c r="C119" s="102">
        <f>CO57</f>
        <v/>
      </c>
    </row>
    <row r="121">
      <c r="B121" s="92" t="inlineStr">
        <is>
          <t>Hedge ratio</t>
        </is>
      </c>
      <c r="C121" s="92" t="inlineStr">
        <is>
          <t>No. of contracts</t>
        </is>
      </c>
      <c r="D121" s="92" t="inlineStr">
        <is>
          <t>Futures P&amp;L (USD)</t>
        </is>
      </c>
      <c r="E121" s="92" t="inlineStr">
        <is>
          <t>End value (USD)</t>
        </is>
      </c>
      <c r="F121" s="92" t="inlineStr">
        <is>
          <t>Return (USD)</t>
        </is>
      </c>
      <c r="G121" s="92" t="inlineStr">
        <is>
          <t>Daily volatility</t>
        </is>
      </c>
      <c r="H121" s="92" t="inlineStr">
        <is>
          <t>Gain vs. unhedged (USD)</t>
        </is>
      </c>
    </row>
    <row r="122">
      <c r="B122" s="115" t="n">
        <v>0</v>
      </c>
      <c r="C122" s="114">
        <f>$C$22/$C$49*B122</f>
        <v/>
      </c>
      <c r="D122" s="102">
        <f>$C$52*C122*($CO$56-$C$56)*$C$49</f>
        <v/>
      </c>
      <c r="E122" s="102">
        <f>$CO$23+D122</f>
        <v/>
      </c>
      <c r="F122" s="97">
        <f>E122/$C$7-1</f>
        <v/>
      </c>
      <c r="G122" s="97">
        <f t="array" ref="G122">_xlfn.STDEV.S(D87:CO87/C87:CN87-1)</f>
        <v/>
      </c>
      <c r="H122" s="102">
        <f>E122-$E$122</f>
        <v/>
      </c>
    </row>
    <row r="123">
      <c r="B123" s="115" t="n">
        <v>0.25</v>
      </c>
      <c r="C123" s="114">
        <f>$C$22/$C$49*B123</f>
        <v/>
      </c>
      <c r="D123" s="102">
        <f>$C$52*C123*($CO$56-$C$56)*$C$49</f>
        <v/>
      </c>
      <c r="E123" s="102">
        <f>$CO$23+D123</f>
        <v/>
      </c>
      <c r="F123" s="97">
        <f>E123/$C$7-1</f>
        <v/>
      </c>
      <c r="G123" s="97">
        <f t="array" ref="G123">_xlfn.STDEV.S(D88:CO88/C88:CN88-1)</f>
        <v/>
      </c>
      <c r="H123" s="102">
        <f>E123-$E$122</f>
        <v/>
      </c>
    </row>
    <row r="124">
      <c r="B124" s="116" t="n">
        <v>0.5</v>
      </c>
      <c r="C124" s="100">
        <f>$C$22/$C$49*B124</f>
        <v/>
      </c>
      <c r="D124" s="117">
        <f>$C$52*C124*($CO$56-$C$56)*$C$49</f>
        <v/>
      </c>
      <c r="E124" s="117">
        <f>$CO$23+D124</f>
        <v/>
      </c>
      <c r="F124" s="98">
        <f>E124/$C$7-1</f>
        <v/>
      </c>
      <c r="G124" s="98">
        <f t="array" ref="G124">_xlfn.STDEV.S(D89:CO89/C89:CN89-1)</f>
        <v/>
      </c>
      <c r="H124" s="117">
        <f>E124-$E$122</f>
        <v/>
      </c>
    </row>
    <row r="125">
      <c r="B125" s="115" t="n">
        <v>1</v>
      </c>
      <c r="C125" s="114">
        <f>$C$22/$C$49*B125</f>
        <v/>
      </c>
      <c r="D125" s="102">
        <f>$C$52*C125*($CO$56-$C$56)*$C$49</f>
        <v/>
      </c>
      <c r="E125" s="102">
        <f>$CO$23+D125</f>
        <v/>
      </c>
      <c r="F125" s="97">
        <f>E125/$C$7-1</f>
        <v/>
      </c>
      <c r="G125" s="97">
        <f t="array" ref="G125">_xlfn.STDEV.S(D90:CO90/C90:CN90-1)</f>
        <v/>
      </c>
      <c r="H125" s="102">
        <f>E125-$E$122</f>
        <v/>
      </c>
    </row>
    <row r="127">
      <c r="B127" s="91" t="inlineStr">
        <is>
          <t>Contracts are shown unrounded (as in the model); in practice the position would be rounded to whole contracts.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Cara Marshall</dc:creator>
  <dcterms:created xmlns:dcterms="http://purl.org/dc/terms/" xmlns:xsi="http://www.w3.org/2001/XMLSchema-instance" xsi:type="dcterms:W3CDTF">2023-12-16T15:41:22Z</dcterms:created>
  <dcterms:modified xmlns:dcterms="http://purl.org/dc/terms/" xmlns:xsi="http://www.w3.org/2001/XMLSchema-instance" xsi:type="dcterms:W3CDTF">2026-10-14T12:00:03Z</dcterms:modified>
  <cp:lastModifiedBy>Labao, Dianne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0x010100A8167A1D472FC0499AC7E3EDDEA0BE45</vt:lpwstr>
  </property>
  <property name="MediaServiceImageTags" fmtid="{D5CDD505-2E9C-101B-9397-08002B2CF9AE}" pid="3">
    <vt:lpwstr xmlns:vt="http://schemas.openxmlformats.org/officeDocument/2006/docPropsVTypes"/>
  </property>
</Properties>
</file>