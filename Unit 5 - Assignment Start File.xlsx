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labao\Downloads\00. CFAI Final Files\Unit 5\"/>
    </mc:Choice>
  </mc:AlternateContent>
  <xr:revisionPtr revIDLastSave="0" documentId="13_ncr:1_{272B4F72-C1C0-4D79-A096-7333686A6BAA}" xr6:coauthVersionLast="47" xr6:coauthVersionMax="47" xr10:uidLastSave="{00000000-0000-0000-0000-000000000000}"/>
  <bookViews>
    <workbookView xWindow="-28920" yWindow="1920" windowWidth="29040" windowHeight="15840" tabRatio="834" activeTab="3" xr2:uid="{9FD83A32-DED4-4A45-91C8-715E48D21DB5}"/>
  </bookViews>
  <sheets>
    <sheet name="SAA with CME" sheetId="17" r:id="rId1"/>
    <sheet name="Index Returns" sheetId="18" r:id="rId2"/>
    <sheet name="Scenarios MPT" sheetId="22" r:id="rId3"/>
    <sheet name="MC Sim - Oil Price Crash" sheetId="26" r:id="rId4"/>
    <sheet name="MC Sim - Dot Com Bubble Burst" sheetId="23" r:id="rId5"/>
    <sheet name="MC Sim - Global Financial Crisi" sheetId="24" r:id="rId6"/>
    <sheet name="MC Sim - European Debt Crisis" sheetId="25" r:id="rId7"/>
  </sheets>
  <definedNames>
    <definedName name="solver_adj" localSheetId="0" hidden="1">'SAA with CME'!$C$17:$H$17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'SAA with CME'!$C$17:$H$17</definedName>
    <definedName name="solver_lhs2" localSheetId="0" hidden="1">'SAA with CME'!$I$17</definedName>
    <definedName name="solver_lhs3" localSheetId="0" hidden="1">'SAA with CME'!$I$20</definedName>
    <definedName name="solver_lhs4" localSheetId="0" hidden="1">'SAA with CME'!#REF!</definedName>
    <definedName name="solver_lhs5" localSheetId="0" hidden="1">'SAA with CME'!#REF!</definedName>
    <definedName name="solver_lhs6" localSheetId="0" hidden="1">'SAA with CME'!#REF!</definedName>
    <definedName name="solver_lhs7" localSheetId="0" hidden="1">'SAA with CME'!#REF!</definedName>
    <definedName name="solver_lhs8" localSheetId="0" hidden="1">'SAA with CME'!#REF!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'SAA with CME'!$I$18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hs1" localSheetId="0" hidden="1">'SAA with CME'!$K$17</definedName>
    <definedName name="solver_rhs2" localSheetId="0" hidden="1">1</definedName>
    <definedName name="solver_rhs3" localSheetId="0" hidden="1">'SAA with CME'!$K$20</definedName>
    <definedName name="solver_rhs4" localSheetId="0" hidden="1">'SAA with CME'!#REF!</definedName>
    <definedName name="solver_rhs5" localSheetId="0" hidden="1">'SAA with CME'!#REF!</definedName>
    <definedName name="solver_rhs6" localSheetId="0" hidden="1">'SAA with CME'!#REF!</definedName>
    <definedName name="solver_rhs7" localSheetId="0" hidden="1">'SAA with CME'!#REF!</definedName>
    <definedName name="solver_rhs8" localSheetId="0" hidden="1">'SAA with CME'!#REF!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2" l="1"/>
  <c r="B10" i="22"/>
  <c r="C10" i="22"/>
  <c r="D10" i="22"/>
  <c r="A11" i="22"/>
  <c r="B11" i="22"/>
  <c r="C11" i="22"/>
  <c r="D11" i="22"/>
  <c r="B9" i="22"/>
  <c r="C9" i="22"/>
  <c r="D9" i="22"/>
  <c r="A9" i="22"/>
  <c r="D16" i="17" l="1"/>
  <c r="E16" i="17"/>
  <c r="F16" i="17"/>
  <c r="G16" i="17"/>
  <c r="H16" i="17"/>
  <c r="C16" i="17"/>
  <c r="D18" i="17"/>
  <c r="E18" i="17"/>
  <c r="F18" i="17"/>
  <c r="G18" i="17"/>
  <c r="H18" i="17"/>
  <c r="C18" i="17"/>
  <c r="I19" i="17" a="1"/>
  <c r="I19" i="17" s="1"/>
  <c r="I20" i="17" s="1"/>
  <c r="I17" i="17"/>
  <c r="I18" i="17" l="1"/>
  <c r="I22" i="17" s="1"/>
</calcChain>
</file>

<file path=xl/sharedStrings.xml><?xml version="1.0" encoding="utf-8"?>
<sst xmlns="http://schemas.openxmlformats.org/spreadsheetml/2006/main" count="140" uniqueCount="45">
  <si>
    <t>Dev ex US</t>
  </si>
  <si>
    <t>EM</t>
  </si>
  <si>
    <t>UST</t>
  </si>
  <si>
    <t>REITs</t>
  </si>
  <si>
    <t>SIX Asset Portfolio</t>
  </si>
  <si>
    <t>Correl</t>
  </si>
  <si>
    <t>E Return</t>
  </si>
  <si>
    <t>Volatility</t>
  </si>
  <si>
    <t>Define portfolio objectives and constraints</t>
  </si>
  <si>
    <t>Weights</t>
  </si>
  <si>
    <t>Objective: Max Return</t>
  </si>
  <si>
    <t>Variance</t>
  </si>
  <si>
    <t>For Risk Level: Medium</t>
  </si>
  <si>
    <t>Risk-Free Rate</t>
  </si>
  <si>
    <t>Sharpe Ratio</t>
  </si>
  <si>
    <t>per asset</t>
  </si>
  <si>
    <t>Index</t>
  </si>
  <si>
    <t>Compounded Annual Portfolio Return</t>
  </si>
  <si>
    <t>Scenario</t>
  </si>
  <si>
    <t>sector specific crash</t>
  </si>
  <si>
    <t>Dot-Com Bubble Burst</t>
  </si>
  <si>
    <t>systemic financial crisis</t>
  </si>
  <si>
    <t>Global Financial Crisis</t>
  </si>
  <si>
    <t>sovereign debt crisis</t>
  </si>
  <si>
    <t>European Debt Crisis</t>
  </si>
  <si>
    <t>End</t>
  </si>
  <si>
    <t>Start</t>
  </si>
  <si>
    <t>Scenario Name</t>
  </si>
  <si>
    <t>SAA weights:</t>
  </si>
  <si>
    <t>Volatility of Portfolio</t>
  </si>
  <si>
    <t>Average Monthly Return</t>
  </si>
  <si>
    <t>Average Annual Return</t>
  </si>
  <si>
    <t>Monthly Portfolio Return</t>
  </si>
  <si>
    <t>Annual Volatility of the Portfolio</t>
  </si>
  <si>
    <t>Simulation Average Annual Return</t>
  </si>
  <si>
    <t>Simulation Average Annual Volatility</t>
  </si>
  <si>
    <t>US Large Cap</t>
  </si>
  <si>
    <t>US IG Corp Bond</t>
  </si>
  <si>
    <t>Monthly Return</t>
  </si>
  <si>
    <t>Monthly Risk</t>
  </si>
  <si>
    <t>Annual Return</t>
  </si>
  <si>
    <t>Annual Risk</t>
  </si>
  <si>
    <t>Constraint</t>
  </si>
  <si>
    <t>commodity price shock</t>
  </si>
  <si>
    <t>Oil Price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</si>
</sst>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_);\(#,##0\);\-\-_)"/>
    <numFmt numFmtId="165" formatCode="0.0%"/>
    <numFmt numFmtId="166" formatCode="0.000000_ ;[Red]\-0.000000\ "/>
    <numFmt numFmtId="167" formatCode="0.000000"/>
    <numFmt numFmtId="168" formatCode="0.0000"/>
    <numFmt numFmtId="169" formatCode="0.0000%"/>
    <numFmt numFmtId="170" formatCode="_(* #,##0.000000_);_(* \(#,##0.000000\);_(* &quot;-&quot;??????_);_(@_)"/>
    <numFmt numFmtId="171" formatCode="#,##0.0000"/>
    <numFmt numFmtId="172" formatCode="m/d/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Lato"/>
      <family val="2"/>
    </font>
    <font>
      <b/>
      <sz val="8"/>
      <color rgb="FF333333"/>
      <name val="Lato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Arial"/>
      <family val="2"/>
    </font>
    <font>
      <sz val="14"/>
      <color rgb="FF4476FF"/>
      <name val="Arial"/>
      <family val="2"/>
    </font>
    <font>
      <sz val="14"/>
      <color rgb="FF9C0006"/>
      <name val="Arial"/>
      <family val="2"/>
    </font>
    <font>
      <sz val="14"/>
      <name val="Arial"/>
      <family val="2"/>
    </font>
    <font>
      <b/>
      <i/>
      <sz val="14"/>
      <color rgb="FF333333"/>
      <name val="Arial"/>
      <family val="2"/>
    </font>
    <font>
      <i/>
      <sz val="14"/>
      <color theme="1"/>
      <name val="Arial"/>
      <family val="2"/>
    </font>
    <font>
      <b/>
      <sz val="14"/>
      <color rgb="FF333333"/>
      <name val="Arial"/>
      <family val="2"/>
    </font>
    <font>
      <b/>
      <sz val="14"/>
      <color theme="1"/>
      <name val="Arial"/>
      <family val="2"/>
    </font>
    <font>
      <b/>
      <sz val="14"/>
      <color rgb="FFFFFFFF"/>
      <name val="Arial"/>
      <family val="2"/>
    </font>
    <font>
      <i/>
      <sz val="14"/>
      <color theme="9" tint="-0.249977111117893"/>
      <name val="Arial"/>
      <family val="2"/>
    </font>
    <font>
      <b/>
      <sz val="14"/>
      <name val="Arial"/>
      <family val="2"/>
    </font>
    <font>
      <b/>
      <sz val="14"/>
      <color rgb="FF4476FF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4"/>
      <color rgb="FF006100"/>
      <name val="Arial"/>
      <family val="2"/>
    </font>
    <font>
      <sz val="14"/>
      <color rgb="FF7030A0"/>
      <name val="Arial"/>
      <family val="2"/>
    </font>
    <font>
      <sz val="14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7A87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06005A"/>
        <bgColor indexed="64"/>
      </patternFill>
    </fill>
    <fill>
      <patternFill patternType="solid">
        <fgColor rgb="FFF7ECDE"/>
        <bgColor indexed="64"/>
      </patternFill>
    </fill>
    <fill>
      <patternFill patternType="solid">
        <fgColor rgb="FF4476FF"/>
        <bgColor indexed="64"/>
      </patternFill>
    </fill>
    <fill>
      <patternFill patternType="solid">
        <fgColor rgb="FF00BBFF"/>
        <bgColor indexed="64"/>
      </patternFill>
    </fill>
    <fill>
      <patternFill patternType="solid">
        <fgColor rgb="FFF5CA2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2" fillId="2" borderId="0" applyNumberFormat="0" applyBorder="0" applyProtection="0">
      <alignment horizontal="left" vertical="top"/>
      <protection locked="0"/>
    </xf>
    <xf numFmtId="164" fontId="3" fillId="0" borderId="1" applyNumberFormat="0" applyFill="0" applyProtection="0">
      <alignment horizontal="left"/>
      <protection locked="0"/>
    </xf>
    <xf numFmtId="0" fontId="4" fillId="3" borderId="0" applyNumberFormat="0" applyBorder="0" applyAlignment="0" applyProtection="0"/>
    <xf numFmtId="43" fontId="1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51">
    <xf numFmtId="0" fontId="0" fillId="0" borderId="0" xfId="0"/>
    <xf numFmtId="0" fontId="6" fillId="0" borderId="0" xfId="0" applyFont="1"/>
    <xf numFmtId="0" fontId="6" fillId="0" borderId="3" xfId="0" applyFont="1" applyBorder="1"/>
    <xf numFmtId="2" fontId="7" fillId="0" borderId="0" xfId="0" applyNumberFormat="1" applyFont="1" applyAlignment="1">
      <alignment horizontal="center"/>
    </xf>
    <xf numFmtId="2" fontId="8" fillId="3" borderId="0" xfId="4" applyNumberFormat="1" applyFont="1" applyAlignment="1">
      <alignment horizontal="center"/>
    </xf>
    <xf numFmtId="0" fontId="6" fillId="6" borderId="0" xfId="0" applyFont="1" applyFill="1"/>
    <xf numFmtId="9" fontId="8" fillId="6" borderId="0" xfId="4" applyNumberFormat="1" applyFont="1" applyFill="1" applyAlignment="1">
      <alignment horizontal="center"/>
    </xf>
    <xf numFmtId="10" fontId="6" fillId="0" borderId="0" xfId="1" applyNumberFormat="1" applyFont="1" applyAlignment="1">
      <alignment horizontal="center"/>
    </xf>
    <xf numFmtId="10" fontId="9" fillId="7" borderId="4" xfId="4" applyNumberFormat="1" applyFont="1" applyFill="1" applyBorder="1" applyAlignment="1">
      <alignment horizontal="center"/>
    </xf>
    <xf numFmtId="0" fontId="9" fillId="7" borderId="0" xfId="0" applyFont="1" applyFill="1"/>
    <xf numFmtId="0" fontId="10" fillId="9" borderId="2" xfId="3" applyNumberFormat="1" applyFont="1" applyFill="1" applyBorder="1" applyAlignment="1" applyProtection="1">
      <alignment horizontal="right"/>
    </xf>
    <xf numFmtId="167" fontId="11" fillId="9" borderId="2" xfId="0" applyNumberFormat="1" applyFont="1" applyFill="1" applyBorder="1"/>
    <xf numFmtId="0" fontId="12" fillId="8" borderId="2" xfId="3" applyNumberFormat="1" applyFont="1" applyFill="1" applyBorder="1" applyAlignment="1" applyProtection="1">
      <alignment horizontal="right"/>
    </xf>
    <xf numFmtId="165" fontId="8" fillId="3" borderId="2" xfId="1" applyNumberFormat="1" applyFont="1" applyFill="1" applyBorder="1" applyAlignment="1">
      <alignment horizontal="center"/>
    </xf>
    <xf numFmtId="0" fontId="6" fillId="8" borderId="0" xfId="0" applyFont="1" applyFill="1" applyAlignment="1">
      <alignment horizontal="right"/>
    </xf>
    <xf numFmtId="9" fontId="8" fillId="3" borderId="0" xfId="4" applyNumberFormat="1" applyFont="1"/>
    <xf numFmtId="0" fontId="13" fillId="0" borderId="2" xfId="0" applyFont="1" applyBorder="1" applyAlignment="1">
      <alignment horizontal="right"/>
    </xf>
    <xf numFmtId="10" fontId="9" fillId="0" borderId="2" xfId="4" applyNumberFormat="1" applyFont="1" applyFill="1" applyBorder="1" applyAlignment="1">
      <alignment horizontal="center"/>
    </xf>
    <xf numFmtId="168" fontId="9" fillId="0" borderId="2" xfId="4" applyNumberFormat="1" applyFont="1" applyFill="1" applyBorder="1" applyAlignment="1">
      <alignment horizontal="center"/>
    </xf>
    <xf numFmtId="164" fontId="14" fillId="5" borderId="0" xfId="2" applyFont="1" applyFill="1">
      <alignment horizontal="left" vertical="top"/>
      <protection locked="0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6" fillId="7" borderId="0" xfId="0" applyFont="1" applyFill="1"/>
    <xf numFmtId="0" fontId="13" fillId="0" borderId="0" xfId="0" applyFont="1" applyAlignment="1">
      <alignment horizontal="center"/>
    </xf>
    <xf numFmtId="166" fontId="6" fillId="6" borderId="0" xfId="0" applyNumberFormat="1" applyFont="1" applyFill="1" applyAlignment="1">
      <alignment horizontal="center"/>
    </xf>
    <xf numFmtId="0" fontId="13" fillId="0" borderId="0" xfId="0" applyFont="1"/>
    <xf numFmtId="0" fontId="6" fillId="0" borderId="0" xfId="0" applyFont="1" applyAlignment="1">
      <alignment horizontal="center"/>
    </xf>
    <xf numFmtId="9" fontId="6" fillId="0" borderId="0" xfId="1" applyFont="1"/>
    <xf numFmtId="0" fontId="17" fillId="0" borderId="0" xfId="0" applyFont="1"/>
    <xf numFmtId="0" fontId="13" fillId="0" borderId="3" xfId="0" applyFont="1" applyBorder="1" applyAlignment="1">
      <alignment horizontal="center"/>
    </xf>
    <xf numFmtId="172" fontId="18" fillId="5" borderId="0" xfId="0" applyNumberFormat="1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172" fontId="13" fillId="0" borderId="2" xfId="0" applyNumberFormat="1" applyFont="1" applyBorder="1" applyAlignment="1">
      <alignment horizontal="center" vertical="top"/>
    </xf>
    <xf numFmtId="169" fontId="6" fillId="0" borderId="0" xfId="0" applyNumberFormat="1" applyFont="1"/>
    <xf numFmtId="172" fontId="6" fillId="0" borderId="0" xfId="0" applyNumberFormat="1" applyFont="1"/>
    <xf numFmtId="0" fontId="19" fillId="5" borderId="0" xfId="0" applyFont="1" applyFill="1" applyAlignment="1">
      <alignment horizontal="center"/>
    </xf>
    <xf numFmtId="10" fontId="6" fillId="0" borderId="0" xfId="1" applyNumberFormat="1" applyFont="1"/>
    <xf numFmtId="10" fontId="6" fillId="0" borderId="0" xfId="0" applyNumberFormat="1" applyFont="1"/>
    <xf numFmtId="2" fontId="20" fillId="7" borderId="0" xfId="6" applyNumberFormat="1" applyFont="1" applyFill="1" applyAlignment="1">
      <alignment horizontal="center"/>
    </xf>
    <xf numFmtId="169" fontId="6" fillId="0" borderId="0" xfId="1" applyNumberFormat="1" applyFont="1"/>
    <xf numFmtId="168" fontId="21" fillId="0" borderId="0" xfId="0" applyNumberFormat="1" applyFont="1"/>
    <xf numFmtId="9" fontId="13" fillId="0" borderId="0" xfId="1" applyFont="1"/>
    <xf numFmtId="10" fontId="13" fillId="0" borderId="0" xfId="0" applyNumberFormat="1" applyFont="1" applyAlignment="1">
      <alignment horizontal="center"/>
    </xf>
    <xf numFmtId="10" fontId="13" fillId="0" borderId="0" xfId="1" applyNumberFormat="1" applyFont="1" applyFill="1" applyAlignment="1">
      <alignment horizontal="center"/>
    </xf>
    <xf numFmtId="171" fontId="13" fillId="0" borderId="0" xfId="0" applyNumberFormat="1" applyFont="1" applyAlignment="1">
      <alignment horizontal="center"/>
    </xf>
    <xf numFmtId="10" fontId="13" fillId="0" borderId="0" xfId="0" applyNumberFormat="1" applyFont="1"/>
    <xf numFmtId="170" fontId="22" fillId="0" borderId="0" xfId="0" applyNumberFormat="1" applyFont="1"/>
    <xf numFmtId="0" fontId="22" fillId="0" borderId="0" xfId="0" applyFont="1"/>
    <xf numFmtId="2" fontId="18" fillId="7" borderId="0" xfId="6" applyNumberFormat="1" applyFont="1" applyFill="1" applyAlignment="1">
      <alignment horizontal="center"/>
    </xf>
    <xf numFmtId="2" fontId="6" fillId="7" borderId="0" xfId="6" applyNumberFormat="1" applyFont="1" applyFill="1" applyAlignment="1">
      <alignment horizontal="center"/>
    </xf>
    <xf numFmtId="0" fontId="13" fillId="0" borderId="0" xfId="0" applyFont="1" applyAlignment="1">
      <alignment horizontal="center"/>
    </xf>
  </cellXfs>
  <cellStyles count="7">
    <cellStyle name="Bad" xfId="4" builtinId="27"/>
    <cellStyle name="banner1" xfId="2" xr:uid="{F35FB680-D0E5-47B7-A0DF-77AFD555020F}"/>
    <cellStyle name="Comma 2" xfId="5" xr:uid="{03F4E665-9F2B-42BF-ADF6-76F32A91541B}"/>
    <cellStyle name="Good" xfId="6" builtinId="26"/>
    <cellStyle name="headingL" xfId="3" xr:uid="{EDCBA92D-0226-4EA6-AE8B-63A11C776D67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6005A"/>
      <color rgb="FF4476FF"/>
      <color rgb="FFF5CA27"/>
      <color rgb="FF9999FF"/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956C-5241-4CB7-867A-3DF792118037}">
  <sheetPr codeName="Sheet1">
    <tabColor rgb="FF06005A"/>
  </sheetPr>
  <dimension ref="A1:O22"/>
  <sheetViews>
    <sheetView zoomScale="95" workbookViewId="0"/>
  </sheetViews>
  <sheetFormatPr defaultColWidth="9.1796875" defaultRowHeight="17.5" x14ac:dyDescent="0.35"/>
  <cols>
    <col min="1" max="1" width="26.453125" style="1" bestFit="1" customWidth="1"/>
    <col min="2" max="2" width="24.1796875" style="1" bestFit="1" customWidth="1"/>
    <col min="3" max="3" width="19.7265625" style="1" bestFit="1" customWidth="1"/>
    <col min="4" max="4" width="15.26953125" style="1" bestFit="1" customWidth="1"/>
    <col min="5" max="6" width="14.7265625" style="1" bestFit="1" customWidth="1"/>
    <col min="7" max="7" width="24.1796875" style="1" bestFit="1" customWidth="1"/>
    <col min="8" max="8" width="21" style="1" bestFit="1" customWidth="1"/>
    <col min="9" max="9" width="14" style="1" bestFit="1" customWidth="1"/>
    <col min="10" max="10" width="59" style="1" bestFit="1" customWidth="1"/>
    <col min="11" max="11" width="6.81640625" style="1" bestFit="1" customWidth="1"/>
    <col min="12" max="12" width="12.54296875" style="1" bestFit="1" customWidth="1"/>
    <col min="13" max="15" width="8.81640625" style="1" bestFit="1" customWidth="1"/>
    <col min="16" max="16384" width="9.1796875" style="1"/>
  </cols>
  <sheetData>
    <row r="1" spans="1:15" ht="18" x14ac:dyDescent="0.35">
      <c r="A1" s="19" t="s">
        <v>4</v>
      </c>
      <c r="B1" s="19"/>
      <c r="C1" s="19"/>
      <c r="D1" s="19"/>
      <c r="E1" s="19"/>
    </row>
    <row r="2" spans="1:15" x14ac:dyDescent="0.35">
      <c r="B2" s="20"/>
      <c r="C2" s="20"/>
      <c r="D2" s="20"/>
      <c r="E2" s="20"/>
      <c r="F2" s="20"/>
      <c r="G2" s="20"/>
      <c r="H2" s="20"/>
    </row>
    <row r="3" spans="1:15" ht="18" x14ac:dyDescent="0.4">
      <c r="A3" s="21"/>
      <c r="B3" s="22" t="s">
        <v>5</v>
      </c>
      <c r="C3" s="23" t="s">
        <v>36</v>
      </c>
      <c r="D3" s="23" t="s">
        <v>0</v>
      </c>
      <c r="E3" s="23" t="s">
        <v>1</v>
      </c>
      <c r="F3" s="23" t="s">
        <v>2</v>
      </c>
      <c r="G3" s="23" t="s">
        <v>37</v>
      </c>
      <c r="H3" s="23" t="s">
        <v>3</v>
      </c>
    </row>
    <row r="4" spans="1:15" ht="18" x14ac:dyDescent="0.4">
      <c r="A4" s="21"/>
      <c r="B4" s="23" t="s">
        <v>36</v>
      </c>
      <c r="C4" s="24">
        <v>1</v>
      </c>
      <c r="D4" s="24">
        <v>0.89500000000000002</v>
      </c>
      <c r="E4" s="24">
        <v>0.79499999999999993</v>
      </c>
      <c r="F4" s="24">
        <v>-0.33494999999999997</v>
      </c>
      <c r="G4" s="24">
        <v>0.27</v>
      </c>
      <c r="H4" s="24">
        <v>0.72</v>
      </c>
    </row>
    <row r="5" spans="1:15" ht="18" x14ac:dyDescent="0.4">
      <c r="A5" s="21"/>
      <c r="B5" s="23" t="s">
        <v>0</v>
      </c>
      <c r="C5" s="24">
        <v>0.89500000000000002</v>
      </c>
      <c r="D5" s="24">
        <v>1</v>
      </c>
      <c r="E5" s="24">
        <v>0.86499999999999999</v>
      </c>
      <c r="F5" s="24">
        <v>-0.29554999999999998</v>
      </c>
      <c r="G5" s="24">
        <v>0.39</v>
      </c>
      <c r="H5" s="24">
        <v>0.61499999999999999</v>
      </c>
    </row>
    <row r="6" spans="1:15" ht="18" x14ac:dyDescent="0.4">
      <c r="A6" s="21"/>
      <c r="B6" s="23" t="s">
        <v>1</v>
      </c>
      <c r="C6" s="24">
        <v>0.79499999999999993</v>
      </c>
      <c r="D6" s="24">
        <v>0.86499999999999999</v>
      </c>
      <c r="E6" s="24">
        <v>1</v>
      </c>
      <c r="F6" s="24">
        <v>-0.25690000000000002</v>
      </c>
      <c r="G6" s="24">
        <v>0.41499999999999998</v>
      </c>
      <c r="H6" s="24">
        <v>0.58499999999999996</v>
      </c>
    </row>
    <row r="7" spans="1:15" ht="18" x14ac:dyDescent="0.4">
      <c r="A7" s="21"/>
      <c r="B7" s="23" t="s">
        <v>2</v>
      </c>
      <c r="C7" s="24">
        <v>-0.33494999999999997</v>
      </c>
      <c r="D7" s="24">
        <v>-0.29554999999999998</v>
      </c>
      <c r="E7" s="24">
        <v>-0.25690000000000002</v>
      </c>
      <c r="F7" s="24">
        <v>1</v>
      </c>
      <c r="G7" s="24">
        <v>0.53499999999999992</v>
      </c>
      <c r="H7" s="24">
        <v>-2.4645E-2</v>
      </c>
    </row>
    <row r="8" spans="1:15" ht="18" x14ac:dyDescent="0.4">
      <c r="A8" s="21"/>
      <c r="B8" s="23" t="s">
        <v>37</v>
      </c>
      <c r="C8" s="24">
        <v>0.27</v>
      </c>
      <c r="D8" s="24">
        <v>0.39</v>
      </c>
      <c r="E8" s="24">
        <v>0.41499999999999998</v>
      </c>
      <c r="F8" s="24">
        <v>0.53499999999999992</v>
      </c>
      <c r="G8" s="24">
        <v>1</v>
      </c>
      <c r="H8" s="24">
        <v>0.42499999999999999</v>
      </c>
    </row>
    <row r="9" spans="1:15" ht="18" x14ac:dyDescent="0.4">
      <c r="A9" s="21"/>
      <c r="B9" s="23" t="s">
        <v>3</v>
      </c>
      <c r="C9" s="24">
        <v>0.72</v>
      </c>
      <c r="D9" s="24">
        <v>0.61499999999999999</v>
      </c>
      <c r="E9" s="24">
        <v>0.58499999999999996</v>
      </c>
      <c r="F9" s="24">
        <v>-2.4645E-2</v>
      </c>
      <c r="G9" s="24">
        <v>0.42499999999999999</v>
      </c>
      <c r="H9" s="24">
        <v>1</v>
      </c>
    </row>
    <row r="10" spans="1:15" ht="18" x14ac:dyDescent="0.4">
      <c r="A10" s="25"/>
      <c r="B10" s="26"/>
      <c r="C10" s="26"/>
      <c r="D10" s="26"/>
    </row>
    <row r="11" spans="1:15" ht="18" x14ac:dyDescent="0.4">
      <c r="B11" s="25" t="s">
        <v>6</v>
      </c>
      <c r="C11" s="7">
        <v>5.7739500000000006E-2</v>
      </c>
      <c r="D11" s="7">
        <v>6.2828999999999996E-2</v>
      </c>
      <c r="E11" s="7">
        <v>7.5861000000000012E-2</v>
      </c>
      <c r="F11" s="7">
        <v>1.8441000000000003E-2</v>
      </c>
      <c r="G11" s="7">
        <v>3.0496499999999999E-2</v>
      </c>
      <c r="H11" s="7">
        <v>5.8608000000000014E-2</v>
      </c>
      <c r="J11" s="27"/>
      <c r="K11" s="27"/>
      <c r="L11" s="27"/>
      <c r="M11" s="27"/>
      <c r="N11" s="27"/>
      <c r="O11" s="27"/>
    </row>
    <row r="12" spans="1:15" ht="18" x14ac:dyDescent="0.4">
      <c r="B12" s="25" t="s">
        <v>7</v>
      </c>
      <c r="C12" s="7">
        <v>0.16566000000000003</v>
      </c>
      <c r="D12" s="7">
        <v>0.19881950000000001</v>
      </c>
      <c r="E12" s="7">
        <v>0.240119</v>
      </c>
      <c r="F12" s="7">
        <v>0.1008315</v>
      </c>
      <c r="G12" s="7">
        <v>6.0962000000000002E-2</v>
      </c>
      <c r="H12" s="7">
        <v>0.23424500000000001</v>
      </c>
      <c r="J12" s="27"/>
      <c r="K12" s="27"/>
      <c r="L12" s="27"/>
      <c r="M12" s="27"/>
      <c r="N12" s="27"/>
      <c r="O12" s="27"/>
    </row>
    <row r="13" spans="1:15" ht="18" x14ac:dyDescent="0.4">
      <c r="A13" s="25"/>
      <c r="B13" s="7"/>
      <c r="C13" s="7"/>
      <c r="D13" s="7"/>
    </row>
    <row r="14" spans="1:15" ht="18" x14ac:dyDescent="0.4">
      <c r="A14" s="25"/>
      <c r="B14" s="7"/>
      <c r="C14" s="7"/>
      <c r="D14" s="7"/>
    </row>
    <row r="15" spans="1:15" ht="18" x14ac:dyDescent="0.4">
      <c r="A15" s="23"/>
      <c r="B15" s="7"/>
      <c r="C15" s="7"/>
      <c r="D15" s="7"/>
      <c r="J15" s="28" t="s">
        <v>8</v>
      </c>
    </row>
    <row r="16" spans="1:15" ht="18" x14ac:dyDescent="0.4">
      <c r="B16" s="2"/>
      <c r="C16" s="29" t="str">
        <f>C3</f>
        <v>US Large Cap</v>
      </c>
      <c r="D16" s="29" t="str">
        <f t="shared" ref="D16:H16" si="0">D3</f>
        <v>Dev ex US</v>
      </c>
      <c r="E16" s="29" t="str">
        <f t="shared" si="0"/>
        <v>EM</v>
      </c>
      <c r="F16" s="29" t="str">
        <f t="shared" si="0"/>
        <v>UST</v>
      </c>
      <c r="G16" s="29" t="str">
        <f t="shared" si="0"/>
        <v>US IG Corp Bond</v>
      </c>
      <c r="H16" s="29" t="str">
        <f t="shared" si="0"/>
        <v>REITs</v>
      </c>
    </row>
    <row r="17" spans="2:12" ht="18" x14ac:dyDescent="0.4">
      <c r="B17" s="23" t="s">
        <v>9</v>
      </c>
      <c r="C17" s="3">
        <v>0.16666666666666666</v>
      </c>
      <c r="D17" s="3">
        <v>0.16666666666666666</v>
      </c>
      <c r="E17" s="3">
        <v>0.16666666666666666</v>
      </c>
      <c r="F17" s="3">
        <v>0.16666666666666666</v>
      </c>
      <c r="G17" s="3">
        <v>0.16666666666666666</v>
      </c>
      <c r="H17" s="3">
        <v>0.16666666666666666</v>
      </c>
      <c r="I17" s="4">
        <f>SUM(C17:H17)</f>
        <v>0.99999999999999989</v>
      </c>
      <c r="J17" s="5" t="s">
        <v>42</v>
      </c>
      <c r="K17" s="6">
        <v>0.1</v>
      </c>
      <c r="L17" s="5" t="s">
        <v>15</v>
      </c>
    </row>
    <row r="18" spans="2:12" ht="18" x14ac:dyDescent="0.4">
      <c r="B18" s="23" t="s">
        <v>6</v>
      </c>
      <c r="C18" s="7">
        <f>C17*C11</f>
        <v>9.6232499999999999E-3</v>
      </c>
      <c r="D18" s="7">
        <f t="shared" ref="D18:H18" si="1">D17*D11</f>
        <v>1.0471499999999998E-2</v>
      </c>
      <c r="E18" s="7">
        <f t="shared" si="1"/>
        <v>1.2643500000000002E-2</v>
      </c>
      <c r="F18" s="7">
        <f t="shared" si="1"/>
        <v>3.0735000000000003E-3</v>
      </c>
      <c r="G18" s="7">
        <f t="shared" si="1"/>
        <v>5.0827499999999996E-3</v>
      </c>
      <c r="H18" s="7">
        <f t="shared" si="1"/>
        <v>9.7680000000000024E-3</v>
      </c>
      <c r="I18" s="8">
        <f>SUM(C18:H18)</f>
        <v>5.0662499999999999E-2</v>
      </c>
      <c r="J18" s="9" t="s">
        <v>10</v>
      </c>
    </row>
    <row r="19" spans="2:12" x14ac:dyDescent="0.35">
      <c r="H19" s="10" t="s">
        <v>11</v>
      </c>
      <c r="I19" s="11">
        <f t="array" ref="I19">MMULT(MMULT(C17:H17*$C$12:$H$12,$C$4:$H$9),TRANSPOSE(C17:H17*$C$12:$H$12))</f>
        <v>1.6285505879941969E-2</v>
      </c>
    </row>
    <row r="20" spans="2:12" ht="18" x14ac:dyDescent="0.4">
      <c r="H20" s="12" t="s">
        <v>7</v>
      </c>
      <c r="I20" s="13">
        <f>SQRT(I19)</f>
        <v>0.12761467736879628</v>
      </c>
      <c r="J20" s="14" t="s">
        <v>12</v>
      </c>
      <c r="K20" s="15">
        <v>0.15</v>
      </c>
    </row>
    <row r="21" spans="2:12" ht="18" x14ac:dyDescent="0.4">
      <c r="H21" s="16" t="s">
        <v>13</v>
      </c>
      <c r="I21" s="17">
        <v>0.03</v>
      </c>
    </row>
    <row r="22" spans="2:12" ht="18" x14ac:dyDescent="0.4">
      <c r="H22" s="16" t="s">
        <v>14</v>
      </c>
      <c r="I22" s="18">
        <f>(I18-I21)/I20</f>
        <v>0.16191319388981423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C2EA-1393-41DF-A2FD-B6251D4F56BB}">
  <sheetPr codeName="Sheet4">
    <tabColor rgb="FF06005A"/>
  </sheetPr>
  <dimension ref="A1:G204"/>
  <sheetViews>
    <sheetView zoomScaleNormal="100" workbookViewId="0">
      <pane xSplit="1" ySplit="1" topLeftCell="B27" activePane="bottomRight" state="frozen"/>
      <selection pane="topRight" activeCell="B2" sqref="B2"/>
      <selection pane="bottomLeft" activeCell="B2" sqref="B2"/>
      <selection pane="bottomRight" activeCell="B14" sqref="B14"/>
    </sheetView>
  </sheetViews>
  <sheetFormatPr defaultColWidth="8.7265625" defaultRowHeight="17.5" x14ac:dyDescent="0.35"/>
  <cols>
    <col min="1" max="1" width="15.453125" style="34" bestFit="1" customWidth="1"/>
    <col min="2" max="2" width="18.7265625" style="1" bestFit="1" customWidth="1"/>
    <col min="3" max="5" width="14.81640625" style="1" bestFit="1" customWidth="1"/>
    <col min="6" max="6" width="23" style="1" bestFit="1" customWidth="1"/>
    <col min="7" max="7" width="14.81640625" style="1" bestFit="1" customWidth="1"/>
    <col min="8" max="8" width="8.7265625" style="1"/>
    <col min="9" max="9" width="10.453125" style="1" bestFit="1" customWidth="1"/>
    <col min="10" max="10" width="10.54296875" style="1" bestFit="1" customWidth="1"/>
    <col min="11" max="11" width="9" style="1" bestFit="1" customWidth="1"/>
    <col min="12" max="12" width="3.54296875" style="1" bestFit="1" customWidth="1"/>
    <col min="13" max="13" width="4" style="1" bestFit="1" customWidth="1"/>
    <col min="14" max="14" width="11.54296875" style="1" bestFit="1" customWidth="1"/>
    <col min="15" max="15" width="5.26953125" style="1" bestFit="1" customWidth="1"/>
    <col min="16" max="16384" width="8.7265625" style="1"/>
  </cols>
  <sheetData>
    <row r="1" spans="1:7" x14ac:dyDescent="0.35">
      <c r="A1" s="30" t="s">
        <v>16</v>
      </c>
      <c r="B1" s="31" t="s">
        <v>36</v>
      </c>
      <c r="C1" s="31" t="s">
        <v>0</v>
      </c>
      <c r="D1" s="31" t="s">
        <v>1</v>
      </c>
      <c r="E1" s="31" t="s">
        <v>2</v>
      </c>
      <c r="F1" s="31" t="s">
        <v>37</v>
      </c>
      <c r="G1" s="31" t="s">
        <v>3</v>
      </c>
    </row>
    <row r="2" spans="1:7" ht="18" x14ac:dyDescent="0.35">
      <c r="A2" s="32">
        <v>36585</v>
      </c>
      <c r="B2" s="33">
        <v>-9.6300857850478948E-3</v>
      </c>
      <c r="C2" s="33">
        <v>2.3583929827465312E-3</v>
      </c>
      <c r="D2" s="33">
        <v>2.3583929827465312E-3</v>
      </c>
      <c r="E2" s="33">
        <v>-2.124305659810875E-2</v>
      </c>
      <c r="F2" s="33">
        <v>5.6581650558273806E-3</v>
      </c>
      <c r="G2" s="33">
        <v>-2.8660243832535889E-2</v>
      </c>
    </row>
    <row r="3" spans="1:7" ht="18" x14ac:dyDescent="0.35">
      <c r="A3" s="32">
        <v>36616</v>
      </c>
      <c r="B3" s="33">
        <v>4.5823842373267823E-2</v>
      </c>
      <c r="C3" s="33">
        <v>2.3207190262707109E-2</v>
      </c>
      <c r="D3" s="33">
        <v>2.3207190262707109E-2</v>
      </c>
      <c r="E3" s="33">
        <v>-4.0337182432634976E-2</v>
      </c>
      <c r="F3" s="33">
        <v>7.7365716419859638E-3</v>
      </c>
      <c r="G3" s="33">
        <v>-3.3643128729558135E-3</v>
      </c>
    </row>
    <row r="4" spans="1:7" ht="18" x14ac:dyDescent="0.35">
      <c r="A4" s="32">
        <v>36644</v>
      </c>
      <c r="B4" s="33">
        <v>-7.2999361080427934E-3</v>
      </c>
      <c r="C4" s="33">
        <v>-2.7483516888283179E-2</v>
      </c>
      <c r="D4" s="33">
        <v>-2.7483516888283179E-2</v>
      </c>
      <c r="E4" s="33">
        <v>-4.2514904356095319E-2</v>
      </c>
      <c r="F4" s="33">
        <v>6.4363279522932533E-3</v>
      </c>
      <c r="G4" s="33">
        <v>5.5385687031828792E-2</v>
      </c>
    </row>
    <row r="5" spans="1:7" ht="18" x14ac:dyDescent="0.35">
      <c r="A5" s="32">
        <v>36677</v>
      </c>
      <c r="B5" s="33">
        <v>-2.8714769095326508E-2</v>
      </c>
      <c r="C5" s="33">
        <v>-4.0368748070757153E-2</v>
      </c>
      <c r="D5" s="33">
        <v>-4.0368748070757153E-2</v>
      </c>
      <c r="E5" s="33">
        <v>7.510662768965351E-2</v>
      </c>
      <c r="F5" s="33">
        <v>-2.2235327471829429E-2</v>
      </c>
      <c r="G5" s="33">
        <v>3.7859265038497895E-2</v>
      </c>
    </row>
    <row r="6" spans="1:7" ht="18" x14ac:dyDescent="0.35">
      <c r="A6" s="32">
        <v>36707</v>
      </c>
      <c r="B6" s="33">
        <v>3.5217747069699996E-2</v>
      </c>
      <c r="C6" s="33">
        <v>4.2731255404420715E-2</v>
      </c>
      <c r="D6" s="33">
        <v>4.2731255404420715E-2</v>
      </c>
      <c r="E6" s="33">
        <v>-5.3285341237913834E-2</v>
      </c>
      <c r="F6" s="33">
        <v>2.7657173975432475E-2</v>
      </c>
      <c r="G6" s="33">
        <v>3.2296559888723625E-2</v>
      </c>
    </row>
    <row r="7" spans="1:7" ht="18" x14ac:dyDescent="0.35">
      <c r="A7" s="32">
        <v>36738</v>
      </c>
      <c r="B7" s="33">
        <v>6.6991229997019749E-3</v>
      </c>
      <c r="C7" s="33">
        <v>-8.8846428524317587E-3</v>
      </c>
      <c r="D7" s="33">
        <v>-8.8846428524317587E-3</v>
      </c>
      <c r="E7" s="33">
        <v>-7.0970627702397699E-3</v>
      </c>
      <c r="F7" s="33">
        <v>1.3513590703897011E-2</v>
      </c>
      <c r="G7" s="33">
        <v>4.6883911692140262E-2</v>
      </c>
    </row>
    <row r="8" spans="1:7" ht="18" x14ac:dyDescent="0.35">
      <c r="A8" s="32">
        <v>36769</v>
      </c>
      <c r="B8" s="33">
        <v>7.3634753279517157E-3</v>
      </c>
      <c r="C8" s="33">
        <v>-2.8449636650639102E-2</v>
      </c>
      <c r="D8" s="33">
        <v>-2.8449636650639102E-2</v>
      </c>
      <c r="E8" s="33">
        <v>-3.7646687062811671E-2</v>
      </c>
      <c r="F8" s="33">
        <v>1.2964600974499921E-2</v>
      </c>
      <c r="G8" s="33">
        <v>1.7230577358280479E-2</v>
      </c>
    </row>
    <row r="9" spans="1:7" ht="18" x14ac:dyDescent="0.35">
      <c r="A9" s="32">
        <v>36798</v>
      </c>
      <c r="B9" s="33">
        <v>-6.7194634344624985E-6</v>
      </c>
      <c r="C9" s="33">
        <v>-3.1463387241688998E-2</v>
      </c>
      <c r="D9" s="33">
        <v>-3.1463387241688998E-2</v>
      </c>
      <c r="E9" s="33">
        <v>-4.6492537313432385E-3</v>
      </c>
      <c r="F9" s="33">
        <v>5.6364753259160339E-3</v>
      </c>
      <c r="G9" s="33">
        <v>-9.9409610890840178E-3</v>
      </c>
    </row>
    <row r="10" spans="1:7" ht="18" x14ac:dyDescent="0.35">
      <c r="A10" s="32">
        <v>36830</v>
      </c>
      <c r="B10" s="33">
        <v>-5.7550426718945398E-2</v>
      </c>
      <c r="C10" s="33">
        <v>-4.4308938161451962E-2</v>
      </c>
      <c r="D10" s="33">
        <v>-4.4308938161451962E-2</v>
      </c>
      <c r="E10" s="33">
        <v>-1.042051585248697E-2</v>
      </c>
      <c r="F10" s="33">
        <v>3.9797153540046624E-3</v>
      </c>
      <c r="G10" s="33">
        <v>-2.784007877277022E-2</v>
      </c>
    </row>
    <row r="11" spans="1:7" ht="18" x14ac:dyDescent="0.35">
      <c r="A11" s="32">
        <v>36860</v>
      </c>
      <c r="B11" s="33">
        <v>-1.4561192518158954E-2</v>
      </c>
      <c r="C11" s="33">
        <v>-5.1056650683715555E-3</v>
      </c>
      <c r="D11" s="33">
        <v>-5.1056650683715555E-3</v>
      </c>
      <c r="E11" s="33">
        <v>-3.7341299477221678E-3</v>
      </c>
      <c r="F11" s="33">
        <v>3.8094361303182933E-3</v>
      </c>
      <c r="G11" s="33">
        <v>-7.5495409316419496E-4</v>
      </c>
    </row>
    <row r="12" spans="1:7" ht="18" x14ac:dyDescent="0.35">
      <c r="A12" s="32">
        <v>36889</v>
      </c>
      <c r="B12" s="33">
        <v>-3.3936814016594215E-2</v>
      </c>
      <c r="C12" s="33">
        <v>-8.4341112945693231E-3</v>
      </c>
      <c r="D12" s="33">
        <v>-8.4341112945693231E-3</v>
      </c>
      <c r="E12" s="33">
        <v>-8.3370814592703651E-2</v>
      </c>
      <c r="F12" s="33">
        <v>2.1878738372563374E-2</v>
      </c>
      <c r="G12" s="33">
        <v>6.2460936077176794E-2</v>
      </c>
    </row>
    <row r="13" spans="1:7" ht="18" x14ac:dyDescent="0.35">
      <c r="A13" s="32">
        <v>36922</v>
      </c>
      <c r="B13" s="33">
        <v>3.5318839795140779E-3</v>
      </c>
      <c r="C13" s="33">
        <v>-3.6590615583295388E-3</v>
      </c>
      <c r="D13" s="33">
        <v>-3.6590615583295388E-3</v>
      </c>
      <c r="E13" s="33">
        <v>-1.5179394914152908E-2</v>
      </c>
      <c r="F13" s="33">
        <v>2.0431285841032619E-2</v>
      </c>
      <c r="G13" s="33">
        <v>2.5456538235906809E-2</v>
      </c>
    </row>
    <row r="14" spans="1:7" ht="18" x14ac:dyDescent="0.35">
      <c r="A14" s="32">
        <v>36950</v>
      </c>
      <c r="B14" s="33">
        <v>-2.1155170781393059E-2</v>
      </c>
      <c r="C14" s="33">
        <v>-3.8610931086627942E-2</v>
      </c>
      <c r="D14" s="33">
        <v>-3.8610931086627942E-2</v>
      </c>
      <c r="E14" s="33">
        <v>-1.2014257825778814E-2</v>
      </c>
      <c r="F14" s="33">
        <v>1.0899635139082452E-2</v>
      </c>
      <c r="G14" s="33">
        <v>-1.0098094955587595E-2</v>
      </c>
    </row>
    <row r="15" spans="1:7" ht="18" x14ac:dyDescent="0.35">
      <c r="A15" s="32">
        <v>36980</v>
      </c>
      <c r="B15" s="33">
        <v>-9.24461174020174E-2</v>
      </c>
      <c r="C15" s="33">
        <v>-7.3900929810795851E-2</v>
      </c>
      <c r="D15" s="33">
        <v>-7.3900929810795851E-2</v>
      </c>
      <c r="E15" s="33">
        <v>-4.186997973125154E-2</v>
      </c>
      <c r="F15" s="33">
        <v>1.6043450384671157E-2</v>
      </c>
      <c r="G15" s="33">
        <v>1.1386860424594017E-3</v>
      </c>
    </row>
    <row r="16" spans="1:7" ht="18" x14ac:dyDescent="0.35">
      <c r="A16" s="32">
        <v>37011</v>
      </c>
      <c r="B16" s="33">
        <v>6.6495208718043975E-4</v>
      </c>
      <c r="C16" s="33">
        <v>1.0414779274806291E-2</v>
      </c>
      <c r="D16" s="33">
        <v>1.0414779274806291E-2</v>
      </c>
      <c r="E16" s="33">
        <v>5.2307406029028794E-2</v>
      </c>
      <c r="F16" s="33">
        <v>-3.8808730950765954E-3</v>
      </c>
      <c r="G16" s="33">
        <v>-1.7960002053045655E-3</v>
      </c>
    </row>
    <row r="17" spans="1:7" ht="18" x14ac:dyDescent="0.35">
      <c r="A17" s="32">
        <v>37042</v>
      </c>
      <c r="B17" s="33">
        <v>7.3147526094529944E-2</v>
      </c>
      <c r="C17" s="33">
        <v>2.7636174022820599E-2</v>
      </c>
      <c r="D17" s="33">
        <v>2.7636174022820599E-2</v>
      </c>
      <c r="E17" s="33">
        <v>4.8699404077735008E-2</v>
      </c>
      <c r="F17" s="33">
        <v>6.1702312693614108E-3</v>
      </c>
      <c r="G17" s="33">
        <v>3.7346662951508201E-2</v>
      </c>
    </row>
    <row r="18" spans="1:7" ht="18" x14ac:dyDescent="0.35">
      <c r="A18" s="32">
        <v>37071</v>
      </c>
      <c r="B18" s="33">
        <v>-2.2497273705420727E-2</v>
      </c>
      <c r="C18" s="33">
        <v>-5.438012004353137E-2</v>
      </c>
      <c r="D18" s="33">
        <v>-5.438012004353137E-2</v>
      </c>
      <c r="E18" s="33">
        <v>-1.9861009069338856E-2</v>
      </c>
      <c r="F18" s="33">
        <v>1.419047284446045E-2</v>
      </c>
      <c r="G18" s="33">
        <v>4.1628670000049779E-2</v>
      </c>
    </row>
    <row r="19" spans="1:7" ht="18" x14ac:dyDescent="0.35">
      <c r="A19" s="32">
        <v>37103</v>
      </c>
      <c r="B19" s="33">
        <v>-2.9590030823663606E-2</v>
      </c>
      <c r="C19" s="33">
        <v>-4.4834509433404827E-2</v>
      </c>
      <c r="D19" s="33">
        <v>-4.4834509433404827E-2</v>
      </c>
      <c r="E19" s="33">
        <v>-9.101558979904582E-3</v>
      </c>
      <c r="F19" s="33">
        <v>8.5875150586876142E-3</v>
      </c>
      <c r="G19" s="33">
        <v>1.341627682967567E-2</v>
      </c>
    </row>
    <row r="20" spans="1:7" ht="18" x14ac:dyDescent="0.35">
      <c r="A20" s="32">
        <v>37134</v>
      </c>
      <c r="B20" s="33">
        <v>-2.1236879970350273E-2</v>
      </c>
      <c r="C20" s="33">
        <v>1.1007154650522405E-2</v>
      </c>
      <c r="D20" s="33">
        <v>1.1007154650522405E-2</v>
      </c>
      <c r="E20" s="33">
        <v>-5.0587565438815672E-2</v>
      </c>
      <c r="F20" s="33">
        <v>1.6983020576995772E-2</v>
      </c>
      <c r="G20" s="33">
        <v>3.637894372893076E-2</v>
      </c>
    </row>
    <row r="21" spans="1:7" ht="18" x14ac:dyDescent="0.35">
      <c r="A21" s="32">
        <v>37162</v>
      </c>
      <c r="B21" s="33">
        <v>-0.11536716863541069</v>
      </c>
      <c r="C21" s="33">
        <v>-0.1102640872101945</v>
      </c>
      <c r="D21" s="33">
        <v>-0.1102640872101945</v>
      </c>
      <c r="E21" s="33">
        <v>-4.8184465320149292E-2</v>
      </c>
      <c r="F21" s="33">
        <v>4.6525338611720828E-3</v>
      </c>
      <c r="G21" s="33">
        <v>-4.2569092503770799E-2</v>
      </c>
    </row>
    <row r="22" spans="1:7" ht="18" x14ac:dyDescent="0.35">
      <c r="A22" s="32">
        <v>37195</v>
      </c>
      <c r="B22" s="33">
        <v>2.8081624689667923E-2</v>
      </c>
      <c r="C22" s="33">
        <v>1.4521514793307769E-2</v>
      </c>
      <c r="D22" s="33">
        <v>1.4521514793307769E-2</v>
      </c>
      <c r="E22" s="33">
        <v>-3.485940961077711E-2</v>
      </c>
      <c r="F22" s="33">
        <v>1.2022781283614446E-2</v>
      </c>
      <c r="G22" s="33">
        <v>-6.5468352363511678E-3</v>
      </c>
    </row>
    <row r="23" spans="1:7" ht="18" x14ac:dyDescent="0.35">
      <c r="A23" s="32">
        <v>37225</v>
      </c>
      <c r="B23" s="33">
        <v>5.0438974157059321E-2</v>
      </c>
      <c r="C23" s="33">
        <v>2.4707871365465824E-2</v>
      </c>
      <c r="D23" s="33">
        <v>2.4707871365465824E-2</v>
      </c>
      <c r="E23" s="33">
        <v>1.8542848611526004E-2</v>
      </c>
      <c r="F23" s="33">
        <v>6.5438740321151975E-3</v>
      </c>
      <c r="G23" s="33">
        <v>2.0273026457702903E-2</v>
      </c>
    </row>
    <row r="24" spans="1:7" ht="18" x14ac:dyDescent="0.35">
      <c r="A24" s="32">
        <v>37256</v>
      </c>
      <c r="B24" s="33">
        <v>1.9241549537887322E-2</v>
      </c>
      <c r="C24" s="33">
        <v>-7.0435532343323089E-3</v>
      </c>
      <c r="D24" s="33">
        <v>-7.0435532343323089E-3</v>
      </c>
      <c r="E24" s="33">
        <v>9.3733204342685131E-2</v>
      </c>
      <c r="F24" s="33">
        <v>-1.3475870570297347E-2</v>
      </c>
      <c r="G24" s="33">
        <v>2.5746884428183774E-2</v>
      </c>
    </row>
    <row r="25" spans="1:7" ht="18" x14ac:dyDescent="0.35">
      <c r="A25" s="32">
        <v>37287</v>
      </c>
      <c r="B25" s="33">
        <v>-1.4718673139183004E-3</v>
      </c>
      <c r="C25" s="33">
        <v>-2.6607050457072286E-2</v>
      </c>
      <c r="D25" s="33">
        <v>-2.6607050457072286E-2</v>
      </c>
      <c r="E25" s="33">
        <v>-1.0179010179010448E-2</v>
      </c>
      <c r="F25" s="33">
        <v>1.3970043711144933E-2</v>
      </c>
      <c r="G25" s="33">
        <v>1.2404905293704088E-2</v>
      </c>
    </row>
    <row r="26" spans="1:7" ht="18" x14ac:dyDescent="0.35">
      <c r="A26" s="32">
        <v>37315</v>
      </c>
      <c r="B26" s="33">
        <v>-3.3838809705033231E-2</v>
      </c>
      <c r="C26" s="33">
        <v>-3.4271238836730257E-2</v>
      </c>
      <c r="D26" s="33">
        <v>-3.4271238836730257E-2</v>
      </c>
      <c r="E26" s="33">
        <v>-2.4650989175065217E-2</v>
      </c>
      <c r="F26" s="33">
        <v>2.0272228035536225E-3</v>
      </c>
      <c r="G26" s="33">
        <v>5.8736349169934369E-3</v>
      </c>
    </row>
    <row r="27" spans="1:7" ht="18" x14ac:dyDescent="0.35">
      <c r="A27" s="32">
        <v>37344</v>
      </c>
      <c r="B27" s="33">
        <v>5.0678412340232071E-2</v>
      </c>
      <c r="C27" s="33">
        <v>6.9115627708579208E-2</v>
      </c>
      <c r="D27" s="33">
        <v>6.9115627708579208E-2</v>
      </c>
      <c r="E27" s="33">
        <v>7.5825117873982051E-2</v>
      </c>
      <c r="F27" s="33">
        <v>-9.7899649669526863E-3</v>
      </c>
      <c r="G27" s="33">
        <v>5.2472146227350136E-2</v>
      </c>
    </row>
    <row r="28" spans="1:7" ht="18" x14ac:dyDescent="0.35">
      <c r="A28" s="32">
        <v>37376</v>
      </c>
      <c r="B28" s="33">
        <v>-3.0087741639739009E-2</v>
      </c>
      <c r="C28" s="33">
        <v>1.7307341956637431E-3</v>
      </c>
      <c r="D28" s="33">
        <v>1.7307341956637431E-3</v>
      </c>
      <c r="E28" s="33">
        <v>-1.3832496042942802E-2</v>
      </c>
      <c r="F28" s="33">
        <v>7.3340231873571821E-3</v>
      </c>
      <c r="G28" s="33">
        <v>3.072382327517131E-2</v>
      </c>
    </row>
    <row r="29" spans="1:7" ht="18" x14ac:dyDescent="0.35">
      <c r="A29" s="32">
        <v>37407</v>
      </c>
      <c r="B29" s="33">
        <v>-2.7411447093741763E-2</v>
      </c>
      <c r="C29" s="33">
        <v>1.779536711593295E-2</v>
      </c>
      <c r="D29" s="33">
        <v>1.779536711593295E-2</v>
      </c>
      <c r="E29" s="33">
        <v>-8.8974180041871114E-3</v>
      </c>
      <c r="F29" s="33">
        <v>2.7479275244082818E-3</v>
      </c>
      <c r="G29" s="33">
        <v>5.1240480768589072E-3</v>
      </c>
    </row>
    <row r="30" spans="1:7" ht="18" x14ac:dyDescent="0.35">
      <c r="A30" s="32">
        <v>37435</v>
      </c>
      <c r="B30" s="33">
        <v>-6.2454412126658726E-2</v>
      </c>
      <c r="C30" s="33">
        <v>-4.6565695018490338E-2</v>
      </c>
      <c r="D30" s="33">
        <v>-4.6565695018490338E-2</v>
      </c>
      <c r="E30" s="33">
        <v>-4.6092237282168408E-2</v>
      </c>
      <c r="F30" s="33">
        <v>1.6809672875310613E-2</v>
      </c>
      <c r="G30" s="33">
        <v>2.4790997104836808E-2</v>
      </c>
    </row>
    <row r="31" spans="1:7" ht="18" x14ac:dyDescent="0.35">
      <c r="A31" s="32">
        <v>37468</v>
      </c>
      <c r="B31" s="33">
        <v>-0.11043423726631621</v>
      </c>
      <c r="C31" s="33">
        <v>-5.4572418611946991E-2</v>
      </c>
      <c r="D31" s="33">
        <v>-5.4572418611946991E-2</v>
      </c>
      <c r="E31" s="33">
        <v>-5.5479180314255694E-2</v>
      </c>
      <c r="F31" s="33">
        <v>-1.5964260999483625E-3</v>
      </c>
      <c r="G31" s="33">
        <v>-4.973727466424506E-2</v>
      </c>
    </row>
    <row r="32" spans="1:7" ht="18" x14ac:dyDescent="0.35">
      <c r="A32" s="32">
        <v>37498</v>
      </c>
      <c r="B32" s="33">
        <v>8.868834658883655E-3</v>
      </c>
      <c r="C32" s="33">
        <v>-3.7235705470999407E-2</v>
      </c>
      <c r="D32" s="33">
        <v>-3.7235705470999407E-2</v>
      </c>
      <c r="E32" s="33">
        <v>-8.5083520562665133E-2</v>
      </c>
      <c r="F32" s="33">
        <v>5.8285340015119275E-3</v>
      </c>
      <c r="G32" s="33">
        <v>-4.471579111802116E-3</v>
      </c>
    </row>
    <row r="33" spans="1:7" ht="18" x14ac:dyDescent="0.35">
      <c r="A33" s="32">
        <v>37529</v>
      </c>
      <c r="B33" s="33">
        <v>-4.818331900617303E-2</v>
      </c>
      <c r="C33" s="33">
        <v>-6.487096935210146E-2</v>
      </c>
      <c r="D33" s="33">
        <v>-6.487096935210146E-2</v>
      </c>
      <c r="E33" s="33">
        <v>-9.0967328635490063E-2</v>
      </c>
      <c r="F33" s="33">
        <v>2.4956699616963812E-2</v>
      </c>
      <c r="G33" s="33">
        <v>9.6714575554527112E-3</v>
      </c>
    </row>
    <row r="34" spans="1:7" ht="18" x14ac:dyDescent="0.35">
      <c r="A34" s="32">
        <v>37560</v>
      </c>
      <c r="B34" s="33">
        <v>-2.1073220181808388E-2</v>
      </c>
      <c r="C34" s="33">
        <v>-3.0264060630235328E-2</v>
      </c>
      <c r="D34" s="33">
        <v>-3.0264060630235328E-2</v>
      </c>
      <c r="E34" s="33">
        <v>1.8322762508809112E-2</v>
      </c>
      <c r="F34" s="33">
        <v>-1.2800031178730303E-2</v>
      </c>
      <c r="G34" s="33">
        <v>-5.3420745447294533E-2</v>
      </c>
    </row>
    <row r="35" spans="1:7" ht="18" x14ac:dyDescent="0.35">
      <c r="A35" s="32">
        <v>37589</v>
      </c>
      <c r="B35" s="33">
        <v>6.5610837556304327E-2</v>
      </c>
      <c r="C35" s="33">
        <v>5.4443863095649414E-2</v>
      </c>
      <c r="D35" s="33">
        <v>5.4443863095649414E-2</v>
      </c>
      <c r="E35" s="33">
        <v>2.7281005281369619E-2</v>
      </c>
      <c r="F35" s="33">
        <v>1.8756558146300013E-2</v>
      </c>
      <c r="G35" s="33">
        <v>3.443819352372756E-2</v>
      </c>
    </row>
    <row r="36" spans="1:7" ht="18" x14ac:dyDescent="0.35">
      <c r="A36" s="32">
        <v>37621</v>
      </c>
      <c r="B36" s="33">
        <v>-9.266433178412397E-3</v>
      </c>
      <c r="C36" s="33">
        <v>-1.7911674888419059E-2</v>
      </c>
      <c r="D36" s="33">
        <v>-1.7911674888419059E-2</v>
      </c>
      <c r="E36" s="33">
        <v>-3.9620632444348023E-3</v>
      </c>
      <c r="F36" s="33">
        <v>1.9125850069370055E-2</v>
      </c>
      <c r="G36" s="33">
        <v>1.6599709314958654E-2</v>
      </c>
    </row>
    <row r="37" spans="1:7" ht="18" x14ac:dyDescent="0.35">
      <c r="A37" s="32">
        <v>37652</v>
      </c>
      <c r="B37" s="33">
        <v>-3.3497585449769373E-3</v>
      </c>
      <c r="C37" s="33">
        <v>-1.4650481372959432E-2</v>
      </c>
      <c r="D37" s="33">
        <v>-1.4650481372959432E-2</v>
      </c>
      <c r="E37" s="33">
        <v>4.0151157298065803E-3</v>
      </c>
      <c r="F37" s="33">
        <v>1.2738495811483043E-2</v>
      </c>
      <c r="G37" s="33">
        <v>3.3842394189085434E-4</v>
      </c>
    </row>
    <row r="38" spans="1:7" ht="18" x14ac:dyDescent="0.35">
      <c r="A38" s="32">
        <v>37680</v>
      </c>
      <c r="B38" s="33">
        <v>-6.3902501348539434E-2</v>
      </c>
      <c r="C38" s="33">
        <v>-4.9922118380062171E-2</v>
      </c>
      <c r="D38" s="33">
        <v>-4.9922118380062171E-2</v>
      </c>
      <c r="E38" s="33">
        <v>-3.6047245849274101E-2</v>
      </c>
      <c r="F38" s="33">
        <v>1.4119766935957482E-2</v>
      </c>
      <c r="G38" s="33">
        <v>-6.4909119398307057E-3</v>
      </c>
    </row>
    <row r="39" spans="1:7" ht="18" x14ac:dyDescent="0.35">
      <c r="A39" s="32">
        <v>37711</v>
      </c>
      <c r="B39" s="33">
        <v>1.0047402781137008E-2</v>
      </c>
      <c r="C39" s="33">
        <v>-2.5759332341839171E-2</v>
      </c>
      <c r="D39" s="33">
        <v>-2.5759332341839171E-2</v>
      </c>
      <c r="E39" s="33">
        <v>-2.4467777670744408E-2</v>
      </c>
      <c r="F39" s="33">
        <v>9.0145771346178613E-3</v>
      </c>
      <c r="G39" s="33">
        <v>2.2575126974175897E-2</v>
      </c>
    </row>
    <row r="40" spans="1:7" ht="18" x14ac:dyDescent="0.35">
      <c r="A40" s="32">
        <v>37741</v>
      </c>
      <c r="B40" s="33">
        <v>5.061880759327856E-2</v>
      </c>
      <c r="C40" s="33">
        <v>5.0390109930137018E-2</v>
      </c>
      <c r="D40" s="33">
        <v>5.0390109930137018E-2</v>
      </c>
      <c r="E40" s="33">
        <v>3.9774859287054244E-2</v>
      </c>
      <c r="F40" s="33">
        <v>7.1133731267364478E-3</v>
      </c>
      <c r="G40" s="33">
        <v>5.0180171698921895E-2</v>
      </c>
    </row>
    <row r="41" spans="1:7" ht="18" x14ac:dyDescent="0.35">
      <c r="A41" s="32">
        <v>37771</v>
      </c>
      <c r="B41" s="33">
        <v>5.6658403446970609E-2</v>
      </c>
      <c r="C41" s="33">
        <v>7.5152927468686667E-2</v>
      </c>
      <c r="D41" s="33">
        <v>7.5152927468686667E-2</v>
      </c>
      <c r="E41" s="33">
        <v>-9.840009623481269E-2</v>
      </c>
      <c r="F41" s="33">
        <v>3.6965411521073369E-2</v>
      </c>
      <c r="G41" s="33">
        <v>6.205961969165464E-2</v>
      </c>
    </row>
    <row r="42" spans="1:7" ht="18" x14ac:dyDescent="0.35">
      <c r="A42" s="32">
        <v>37802</v>
      </c>
      <c r="B42" s="33">
        <v>5.8915793289372048E-2</v>
      </c>
      <c r="C42" s="33">
        <v>6.6068041955335166E-2</v>
      </c>
      <c r="D42" s="33">
        <v>6.6068041955335166E-2</v>
      </c>
      <c r="E42" s="33">
        <v>-6.5777184789859888E-2</v>
      </c>
      <c r="F42" s="33">
        <v>1.8707623275011357E-2</v>
      </c>
      <c r="G42" s="33">
        <v>3.0221944462403193E-2</v>
      </c>
    </row>
    <row r="43" spans="1:7" ht="18" x14ac:dyDescent="0.35">
      <c r="A43" s="32">
        <v>37833</v>
      </c>
      <c r="B43" s="33">
        <v>8.9731537410506577E-3</v>
      </c>
      <c r="C43" s="33">
        <v>5.052785109042876E-3</v>
      </c>
      <c r="D43" s="33">
        <v>5.052785109042876E-3</v>
      </c>
      <c r="E43" s="33">
        <v>0.19229570771987189</v>
      </c>
      <c r="F43" s="33">
        <v>-2.3936960052823107E-2</v>
      </c>
      <c r="G43" s="33">
        <v>2.4584250628466205E-2</v>
      </c>
    </row>
    <row r="44" spans="1:7" ht="18" x14ac:dyDescent="0.35">
      <c r="A44" s="32">
        <v>37862</v>
      </c>
      <c r="B44" s="33">
        <v>-1.6468276644294106E-3</v>
      </c>
      <c r="C44" s="33">
        <v>1.4707830163145219E-2</v>
      </c>
      <c r="D44" s="33">
        <v>1.4707830163145219E-2</v>
      </c>
      <c r="E44" s="33">
        <v>0.11817102784402135</v>
      </c>
      <c r="F44" s="33">
        <v>-2.3342745648640036E-2</v>
      </c>
      <c r="G44" s="33">
        <v>7.8271570180642753E-3</v>
      </c>
    </row>
    <row r="45" spans="1:7" ht="18" x14ac:dyDescent="0.35">
      <c r="A45" s="32">
        <v>37894</v>
      </c>
      <c r="B45" s="33">
        <v>3.4641467213624495E-2</v>
      </c>
      <c r="C45" s="33">
        <v>5.0049839209217552E-2</v>
      </c>
      <c r="D45" s="33">
        <v>5.0049839209217552E-2</v>
      </c>
      <c r="E45" s="33">
        <v>-3.8457418318157376E-2</v>
      </c>
      <c r="F45" s="33">
        <v>1.7474587230312033E-2</v>
      </c>
      <c r="G45" s="33">
        <v>2.7113479507401124E-2</v>
      </c>
    </row>
    <row r="46" spans="1:7" ht="18" x14ac:dyDescent="0.35">
      <c r="A46" s="32">
        <v>37925</v>
      </c>
      <c r="B46" s="33">
        <v>2.0234254451527725E-2</v>
      </c>
      <c r="C46" s="33">
        <v>5.2542788232108069E-2</v>
      </c>
      <c r="D46" s="33">
        <v>5.2542788232108069E-2</v>
      </c>
      <c r="E46" s="33">
        <v>3.7828147788038485E-3</v>
      </c>
      <c r="F46" s="33">
        <v>8.3013708383886178E-3</v>
      </c>
      <c r="G46" s="33">
        <v>4.5413106880983933E-2</v>
      </c>
    </row>
    <row r="47" spans="1:7" ht="18" x14ac:dyDescent="0.35">
      <c r="A47" s="32">
        <v>37953</v>
      </c>
      <c r="B47" s="33">
        <v>1.5067513438340648E-2</v>
      </c>
      <c r="C47" s="33">
        <v>9.4974928559874699E-3</v>
      </c>
      <c r="D47" s="33">
        <v>9.4974928559874699E-3</v>
      </c>
      <c r="E47" s="33">
        <v>2.2248119504187304E-3</v>
      </c>
      <c r="F47" s="33">
        <v>5.8192282646861281E-3</v>
      </c>
      <c r="G47" s="33">
        <v>2.0510600446334314E-2</v>
      </c>
    </row>
    <row r="48" spans="1:7" ht="18" x14ac:dyDescent="0.35">
      <c r="A48" s="32">
        <v>37986</v>
      </c>
      <c r="B48" s="33">
        <v>2.7286006197768675E-2</v>
      </c>
      <c r="C48" s="33">
        <v>5.1105182621513895E-2</v>
      </c>
      <c r="D48" s="33">
        <v>5.1105182621513895E-2</v>
      </c>
      <c r="E48" s="33">
        <v>-7.5052854122623523E-3</v>
      </c>
      <c r="F48" s="33">
        <v>9.8172749574055758E-3</v>
      </c>
      <c r="G48" s="33">
        <v>4.2891326654420941E-2</v>
      </c>
    </row>
    <row r="49" spans="1:7" ht="18" x14ac:dyDescent="0.35">
      <c r="A49" s="32">
        <v>38016</v>
      </c>
      <c r="B49" s="33">
        <v>4.8721225942805722E-2</v>
      </c>
      <c r="C49" s="33">
        <v>5.1191796008869098E-2</v>
      </c>
      <c r="D49" s="33">
        <v>5.1191796008869098E-2</v>
      </c>
      <c r="E49" s="33">
        <v>-2.7468313984450047E-2</v>
      </c>
      <c r="F49" s="33">
        <v>1.3637003233648635E-2</v>
      </c>
      <c r="G49" s="33">
        <v>3.078390292479968E-2</v>
      </c>
    </row>
    <row r="50" spans="1:7" ht="18" x14ac:dyDescent="0.35">
      <c r="A50" s="32">
        <v>38044</v>
      </c>
      <c r="B50" s="33">
        <v>7.8914946967066652E-3</v>
      </c>
      <c r="C50" s="33">
        <v>1.15019203557713E-2</v>
      </c>
      <c r="D50" s="33">
        <v>1.15019203557713E-2</v>
      </c>
      <c r="E50" s="33">
        <v>-1.5971442882594954E-2</v>
      </c>
      <c r="F50" s="33">
        <v>6.2720225068175024E-3</v>
      </c>
      <c r="G50" s="33">
        <v>3.9735664037518416E-2</v>
      </c>
    </row>
    <row r="51" spans="1:7" ht="18" x14ac:dyDescent="0.35">
      <c r="A51" s="32">
        <v>38077</v>
      </c>
      <c r="B51" s="33">
        <v>-1.459334010835639E-2</v>
      </c>
      <c r="C51" s="33">
        <v>-9.4813002379880856E-3</v>
      </c>
      <c r="D51" s="33">
        <v>-9.4813002379880856E-3</v>
      </c>
      <c r="E51" s="33">
        <v>-6.3093904078888166E-2</v>
      </c>
      <c r="F51" s="33">
        <v>1.5976744691930025E-2</v>
      </c>
      <c r="G51" s="33">
        <v>3.0730913298425585E-2</v>
      </c>
    </row>
    <row r="52" spans="1:7" ht="18" x14ac:dyDescent="0.35">
      <c r="A52" s="32">
        <v>38107</v>
      </c>
      <c r="B52" s="33">
        <v>7.8072109026791521E-3</v>
      </c>
      <c r="C52" s="33">
        <v>1.5745821216945816E-2</v>
      </c>
      <c r="D52" s="33">
        <v>1.5745821216945816E-2</v>
      </c>
      <c r="E52" s="33">
        <v>0.13618041239902373</v>
      </c>
      <c r="F52" s="33">
        <v>-2.2388908912963214E-2</v>
      </c>
      <c r="G52" s="33">
        <v>-6.5776072596548912E-2</v>
      </c>
    </row>
    <row r="53" spans="1:7" ht="18" x14ac:dyDescent="0.35">
      <c r="A53" s="32">
        <v>38138</v>
      </c>
      <c r="B53" s="33">
        <v>-3.0544704643567754E-2</v>
      </c>
      <c r="C53" s="33">
        <v>-4.4615959403922899E-2</v>
      </c>
      <c r="D53" s="33">
        <v>-4.4615959403922899E-2</v>
      </c>
      <c r="E53" s="33">
        <v>8.4616648411829323E-2</v>
      </c>
      <c r="F53" s="33">
        <v>-2.052998775381459E-2</v>
      </c>
      <c r="G53" s="33">
        <v>-3.5689355649677665E-2</v>
      </c>
    </row>
    <row r="54" spans="1:7" ht="18" x14ac:dyDescent="0.35">
      <c r="A54" s="32">
        <v>38168</v>
      </c>
      <c r="B54" s="33">
        <v>2.7602617459386948E-2</v>
      </c>
      <c r="C54" s="33">
        <v>3.8487241046457177E-2</v>
      </c>
      <c r="D54" s="33">
        <v>3.8487241046457177E-2</v>
      </c>
      <c r="E54" s="33">
        <v>3.8828382588323839E-3</v>
      </c>
      <c r="F54" s="33">
        <v>1.8562305876078714E-3</v>
      </c>
      <c r="G54" s="33">
        <v>6.1331957489697254E-2</v>
      </c>
    </row>
    <row r="55" spans="1:7" ht="18" x14ac:dyDescent="0.35">
      <c r="A55" s="32">
        <v>38198</v>
      </c>
      <c r="B55" s="33">
        <v>-2.5239285658891653E-2</v>
      </c>
      <c r="C55" s="33">
        <v>-8.3583583583583844E-3</v>
      </c>
      <c r="D55" s="33">
        <v>-8.3583583583583844E-3</v>
      </c>
      <c r="E55" s="33">
        <v>-4.979378332159743E-2</v>
      </c>
      <c r="F55" s="33">
        <v>1.6322479225761122E-2</v>
      </c>
      <c r="G55" s="33">
        <v>3.5893042892981654E-2</v>
      </c>
    </row>
    <row r="56" spans="1:7" ht="18" x14ac:dyDescent="0.35">
      <c r="A56" s="32">
        <v>38230</v>
      </c>
      <c r="B56" s="33">
        <v>-1.8139734464521048E-2</v>
      </c>
      <c r="C56" s="33">
        <v>-2.1652450411345919E-2</v>
      </c>
      <c r="D56" s="33">
        <v>-2.1652450411345919E-2</v>
      </c>
      <c r="E56" s="33">
        <v>-4.8182973071815086E-2</v>
      </c>
      <c r="F56" s="33">
        <v>1.6045837867546896E-2</v>
      </c>
      <c r="G56" s="33">
        <v>2.2375011813628387E-2</v>
      </c>
    </row>
    <row r="57" spans="1:7" ht="18" x14ac:dyDescent="0.35">
      <c r="A57" s="32">
        <v>38260</v>
      </c>
      <c r="B57" s="33">
        <v>3.0677062084122332E-2</v>
      </c>
      <c r="C57" s="33">
        <v>2.7496904663640104E-2</v>
      </c>
      <c r="D57" s="33">
        <v>2.7496904663640104E-2</v>
      </c>
      <c r="E57" s="33">
        <v>-3.6355087740585178E-2</v>
      </c>
      <c r="F57" s="33">
        <v>1.40526772232854E-2</v>
      </c>
      <c r="G57" s="33">
        <v>3.6065725312564995E-2</v>
      </c>
    </row>
    <row r="58" spans="1:7" ht="18" x14ac:dyDescent="0.35">
      <c r="A58" s="32">
        <v>38289</v>
      </c>
      <c r="B58" s="33">
        <v>3.0417429349992777E-3</v>
      </c>
      <c r="C58" s="33">
        <v>2.9104115412294174E-2</v>
      </c>
      <c r="D58" s="33">
        <v>2.9104115412294174E-2</v>
      </c>
      <c r="E58" s="33">
        <v>-6.9598337950138997E-3</v>
      </c>
      <c r="F58" s="33">
        <v>6.9546177957782399E-3</v>
      </c>
      <c r="G58" s="33">
        <v>3.9330463758768822E-2</v>
      </c>
    </row>
    <row r="59" spans="1:7" ht="18" x14ac:dyDescent="0.35">
      <c r="A59" s="32">
        <v>38321</v>
      </c>
      <c r="B59" s="33">
        <v>4.7840095046536031E-2</v>
      </c>
      <c r="C59" s="33">
        <v>6.031875101642549E-2</v>
      </c>
      <c r="D59" s="33">
        <v>6.031875101642549E-2</v>
      </c>
      <c r="E59" s="33">
        <v>2.3675860385648357E-2</v>
      </c>
      <c r="F59" s="33">
        <v>7.5975126955012487E-4</v>
      </c>
      <c r="G59" s="33">
        <v>5.3607909642165476E-2</v>
      </c>
    </row>
    <row r="60" spans="1:7" ht="18" x14ac:dyDescent="0.35">
      <c r="A60" s="32">
        <v>38352</v>
      </c>
      <c r="B60" s="33">
        <v>2.988883292648143E-2</v>
      </c>
      <c r="C60" s="33">
        <v>3.6404266003012928E-2</v>
      </c>
      <c r="D60" s="33">
        <v>3.6404266003012928E-2</v>
      </c>
      <c r="E60" s="33">
        <v>8.8004508605364004E-3</v>
      </c>
      <c r="F60" s="33">
        <v>5.5951591708842535E-3</v>
      </c>
      <c r="G60" s="33">
        <v>4.7463268469650155E-2</v>
      </c>
    </row>
    <row r="61" spans="1:7" ht="18" x14ac:dyDescent="0.35">
      <c r="A61" s="32">
        <v>38383</v>
      </c>
      <c r="B61" s="33">
        <v>-1.71949056928179E-2</v>
      </c>
      <c r="C61" s="33">
        <v>-1.5225233969925669E-2</v>
      </c>
      <c r="D61" s="33">
        <v>-1.5225233969925669E-2</v>
      </c>
      <c r="E61" s="33">
        <v>-2.2238934250104845E-3</v>
      </c>
      <c r="F61" s="33">
        <v>4.7488849274859354E-3</v>
      </c>
      <c r="G61" s="33">
        <v>-2.54658207939631E-2</v>
      </c>
    </row>
    <row r="62" spans="1:7" ht="18" x14ac:dyDescent="0.35">
      <c r="A62" s="32">
        <v>38411</v>
      </c>
      <c r="B62" s="33">
        <v>1.7628587510720328E-2</v>
      </c>
      <c r="C62" s="33">
        <v>2.4956312284513161E-2</v>
      </c>
      <c r="D62" s="33">
        <v>2.4956312284513161E-2</v>
      </c>
      <c r="E62" s="33">
        <v>-1.332153076045574E-2</v>
      </c>
      <c r="F62" s="33">
        <v>7.7444509172073439E-3</v>
      </c>
      <c r="G62" s="33">
        <v>1.105582894676321E-2</v>
      </c>
    </row>
    <row r="63" spans="1:7" ht="18" x14ac:dyDescent="0.35">
      <c r="A63" s="32">
        <v>38442</v>
      </c>
      <c r="B63" s="33">
        <v>-2.9491580156097929E-3</v>
      </c>
      <c r="C63" s="33">
        <v>1.5853114665814207E-2</v>
      </c>
      <c r="D63" s="33">
        <v>1.5853114665814207E-2</v>
      </c>
      <c r="E63" s="33">
        <v>7.9818273715164964E-2</v>
      </c>
      <c r="F63" s="33">
        <v>-1.5358817156321234E-2</v>
      </c>
      <c r="G63" s="33">
        <v>-1.0086391677764E-2</v>
      </c>
    </row>
    <row r="64" spans="1:7" ht="18" x14ac:dyDescent="0.35">
      <c r="A64" s="32">
        <v>38471</v>
      </c>
      <c r="B64" s="33">
        <v>-2.5832633342865792E-2</v>
      </c>
      <c r="C64" s="33">
        <v>-2.7825932609531808E-2</v>
      </c>
      <c r="D64" s="33">
        <v>-2.7825932609531808E-2</v>
      </c>
      <c r="E64" s="33">
        <v>-3.4856469116196047E-2</v>
      </c>
      <c r="F64" s="33">
        <v>1.5087822129346072E-3</v>
      </c>
      <c r="G64" s="33">
        <v>-7.2351100173552918E-4</v>
      </c>
    </row>
    <row r="65" spans="1:7" ht="18" x14ac:dyDescent="0.35">
      <c r="A65" s="32">
        <v>38503</v>
      </c>
      <c r="B65" s="33">
        <v>1.3010191477178475E-2</v>
      </c>
      <c r="C65" s="33">
        <v>-9.6457294105672647E-3</v>
      </c>
      <c r="D65" s="33">
        <v>-9.6457294105672647E-3</v>
      </c>
      <c r="E65" s="33">
        <v>-4.5304958315050388E-2</v>
      </c>
      <c r="F65" s="33">
        <v>8.6421738567892536E-3</v>
      </c>
      <c r="G65" s="33">
        <v>4.3244610361650282E-2</v>
      </c>
    </row>
    <row r="66" spans="1:7" ht="18" x14ac:dyDescent="0.35">
      <c r="A66" s="32">
        <v>38533</v>
      </c>
      <c r="B66" s="33">
        <v>2.5613528187363701E-2</v>
      </c>
      <c r="C66" s="33">
        <v>8.3198416981471405E-3</v>
      </c>
      <c r="D66" s="33">
        <v>8.3198416981471405E-3</v>
      </c>
      <c r="E66" s="33">
        <v>-3.5254301024724904E-2</v>
      </c>
      <c r="F66" s="33">
        <v>1.4021960395042761E-2</v>
      </c>
      <c r="G66" s="33">
        <v>4.5594158439700855E-2</v>
      </c>
    </row>
    <row r="67" spans="1:7" ht="18" x14ac:dyDescent="0.35">
      <c r="A67" s="32">
        <v>38562</v>
      </c>
      <c r="B67" s="33">
        <v>2.2041714926140731E-2</v>
      </c>
      <c r="C67" s="33">
        <v>1.1360522979095181E-2</v>
      </c>
      <c r="D67" s="33">
        <v>1.1360522979095181E-2</v>
      </c>
      <c r="E67" s="33">
        <v>4.4849931787175959E-2</v>
      </c>
      <c r="F67" s="33">
        <v>-3.1707073308311741E-3</v>
      </c>
      <c r="G67" s="33">
        <v>3.9170476005823192E-2</v>
      </c>
    </row>
    <row r="68" spans="1:7" ht="18" x14ac:dyDescent="0.35">
      <c r="A68" s="32">
        <v>38595</v>
      </c>
      <c r="B68" s="33">
        <v>1.0565708236572886E-3</v>
      </c>
      <c r="C68" s="33">
        <v>4.5032992859079642E-2</v>
      </c>
      <c r="D68" s="33">
        <v>4.5032992859079642E-2</v>
      </c>
      <c r="E68" s="33">
        <v>2.0373116852704737E-2</v>
      </c>
      <c r="F68" s="33">
        <v>1.9374938237809756E-4</v>
      </c>
      <c r="G68" s="33">
        <v>-2.3269434054237663E-3</v>
      </c>
    </row>
    <row r="69" spans="1:7" ht="18" x14ac:dyDescent="0.35">
      <c r="A69" s="32">
        <v>38625</v>
      </c>
      <c r="B69" s="33">
        <v>2.9489239941152415E-3</v>
      </c>
      <c r="C69" s="33">
        <v>3.2752445745906557E-2</v>
      </c>
      <c r="D69" s="33">
        <v>3.2752445745906557E-2</v>
      </c>
      <c r="E69" s="33">
        <v>-1.4911309280954278E-2</v>
      </c>
      <c r="F69" s="33">
        <v>4.3308603567756357E-3</v>
      </c>
      <c r="G69" s="33">
        <v>1.1030132024071878E-2</v>
      </c>
    </row>
    <row r="70" spans="1:7" ht="18" x14ac:dyDescent="0.35">
      <c r="A70" s="32">
        <v>38656</v>
      </c>
      <c r="B70" s="33">
        <v>-2.8709604265862426E-2</v>
      </c>
      <c r="C70" s="33">
        <v>-1.7704642433935786E-2</v>
      </c>
      <c r="D70" s="33">
        <v>-1.7704642433935786E-2</v>
      </c>
      <c r="E70" s="33">
        <v>6.2979133590383332E-2</v>
      </c>
      <c r="F70" s="33">
        <v>-1.3254309714742726E-2</v>
      </c>
      <c r="G70" s="33">
        <v>-4.1262185336355617E-2</v>
      </c>
    </row>
    <row r="71" spans="1:7" ht="18" x14ac:dyDescent="0.35">
      <c r="A71" s="32">
        <v>38686</v>
      </c>
      <c r="B71" s="33">
        <v>3.8828606740847899E-2</v>
      </c>
      <c r="C71" s="33">
        <v>1.8564518237678126E-2</v>
      </c>
      <c r="D71" s="33">
        <v>1.8564518237678126E-2</v>
      </c>
      <c r="E71" s="33">
        <v>1.6018819312198625E-2</v>
      </c>
      <c r="F71" s="33">
        <v>-3.2824409104371217E-3</v>
      </c>
      <c r="G71" s="33">
        <v>2.4405426394214318E-2</v>
      </c>
    </row>
    <row r="72" spans="1:7" ht="18" x14ac:dyDescent="0.35">
      <c r="A72" s="32">
        <v>38716</v>
      </c>
      <c r="B72" s="33">
        <v>2.0882045992228739E-2</v>
      </c>
      <c r="C72" s="33">
        <v>4.2514089683900802E-2</v>
      </c>
      <c r="D72" s="33">
        <v>4.2514089683900802E-2</v>
      </c>
      <c r="E72" s="33">
        <v>-1.4962986297054505E-2</v>
      </c>
      <c r="F72" s="33">
        <v>7.5702394511398038E-3</v>
      </c>
      <c r="G72" s="33">
        <v>2.9695001261500299E-2</v>
      </c>
    </row>
    <row r="73" spans="1:7" ht="18" x14ac:dyDescent="0.35">
      <c r="A73" s="32">
        <v>38748</v>
      </c>
      <c r="B73" s="33">
        <v>1.6507631485782485E-2</v>
      </c>
      <c r="C73" s="33">
        <v>2.9106436322325704E-2</v>
      </c>
      <c r="D73" s="33">
        <v>2.9106436322325704E-2</v>
      </c>
      <c r="E73" s="33">
        <v>-1.1448672849376304E-2</v>
      </c>
      <c r="F73" s="33">
        <v>7.360854326154782E-3</v>
      </c>
      <c r="G73" s="33">
        <v>4.3685023337676085E-2</v>
      </c>
    </row>
    <row r="74" spans="1:7" ht="18" x14ac:dyDescent="0.35">
      <c r="A74" s="32">
        <v>38776</v>
      </c>
      <c r="B74" s="33">
        <v>8.7042296267911658E-4</v>
      </c>
      <c r="C74" s="33">
        <v>7.0841263799010694E-3</v>
      </c>
      <c r="D74" s="33">
        <v>7.0841263799010694E-3</v>
      </c>
      <c r="E74" s="33">
        <v>3.4634820747520841E-2</v>
      </c>
      <c r="F74" s="33">
        <v>-3.1871141072952265E-3</v>
      </c>
      <c r="G74" s="33">
        <v>2.6680245746066682E-2</v>
      </c>
    </row>
    <row r="75" spans="1:7" ht="18" x14ac:dyDescent="0.35">
      <c r="A75" s="32">
        <v>38807</v>
      </c>
      <c r="B75" s="33">
        <v>1.3985765910396419E-2</v>
      </c>
      <c r="C75" s="33">
        <v>2.4995796974906583E-2</v>
      </c>
      <c r="D75" s="33">
        <v>2.4995796974906583E-2</v>
      </c>
      <c r="E75" s="33">
        <v>3.3917150398421518E-2</v>
      </c>
      <c r="F75" s="33">
        <v>-3.8059388830952094E-3</v>
      </c>
      <c r="G75" s="33">
        <v>4.1286079649250913E-2</v>
      </c>
    </row>
    <row r="76" spans="1:7" ht="18" x14ac:dyDescent="0.35">
      <c r="A76" s="32">
        <v>38835</v>
      </c>
      <c r="B76" s="33">
        <v>9.5779610878250869E-3</v>
      </c>
      <c r="C76" s="33">
        <v>4.2950617283950464E-2</v>
      </c>
      <c r="D76" s="33">
        <v>4.2950617283950464E-2</v>
      </c>
      <c r="E76" s="33">
        <v>5.643907283164179E-2</v>
      </c>
      <c r="F76" s="33">
        <v>-9.9069118446653125E-3</v>
      </c>
      <c r="G76" s="33">
        <v>-1.2121386941214646E-2</v>
      </c>
    </row>
    <row r="77" spans="1:7" ht="18" x14ac:dyDescent="0.35">
      <c r="A77" s="32">
        <v>38868</v>
      </c>
      <c r="B77" s="33">
        <v>-1.1700152743392126E-2</v>
      </c>
      <c r="C77" s="33">
        <v>1.6245795658430689E-2</v>
      </c>
      <c r="D77" s="33">
        <v>1.6245795658430689E-2</v>
      </c>
      <c r="E77" s="33">
        <v>2.3940097025943956E-2</v>
      </c>
      <c r="F77" s="33">
        <v>-3.9615209766590454E-4</v>
      </c>
      <c r="G77" s="33">
        <v>-4.7403087362467228E-3</v>
      </c>
    </row>
    <row r="78" spans="1:7" ht="18" x14ac:dyDescent="0.35">
      <c r="A78" s="32">
        <v>38898</v>
      </c>
      <c r="B78" s="33">
        <v>-3.1917496839788319E-2</v>
      </c>
      <c r="C78" s="33">
        <v>-6.6265187820698984E-2</v>
      </c>
      <c r="D78" s="33">
        <v>-6.6265187820698984E-2</v>
      </c>
      <c r="E78" s="33">
        <v>-7.116171499733624E-4</v>
      </c>
      <c r="F78" s="33">
        <v>4.8253741215075944E-4</v>
      </c>
      <c r="G78" s="33">
        <v>-1.270506041366501E-3</v>
      </c>
    </row>
    <row r="79" spans="1:7" ht="18" x14ac:dyDescent="0.35">
      <c r="A79" s="32">
        <v>38929</v>
      </c>
      <c r="B79" s="33">
        <v>2.8794683176818327E-3</v>
      </c>
      <c r="C79" s="33">
        <v>2.2167334720898869E-2</v>
      </c>
      <c r="D79" s="33">
        <v>2.2167334720898869E-2</v>
      </c>
      <c r="E79" s="33">
        <v>-3.6941427808438116E-3</v>
      </c>
      <c r="F79" s="33">
        <v>5.5017966093469893E-3</v>
      </c>
      <c r="G79" s="33">
        <v>4.4424815475946969E-2</v>
      </c>
    </row>
    <row r="80" spans="1:7" ht="18" x14ac:dyDescent="0.35">
      <c r="A80" s="32">
        <v>38960</v>
      </c>
      <c r="B80" s="33">
        <v>1.8269630414999179E-2</v>
      </c>
      <c r="C80" s="33">
        <v>3.8362487650579716E-2</v>
      </c>
      <c r="D80" s="33">
        <v>3.8362487650579716E-2</v>
      </c>
      <c r="E80" s="33">
        <v>-4.1469928426450108E-2</v>
      </c>
      <c r="F80" s="33">
        <v>1.7448518859333149E-2</v>
      </c>
      <c r="G80" s="33">
        <v>3.4683950878792467E-2</v>
      </c>
    </row>
    <row r="81" spans="1:7" ht="18" x14ac:dyDescent="0.35">
      <c r="A81" s="32">
        <v>38989</v>
      </c>
      <c r="B81" s="33">
        <v>2.4510242992668498E-2</v>
      </c>
      <c r="C81" s="33">
        <v>7.4469224877232489E-3</v>
      </c>
      <c r="D81" s="33">
        <v>7.4469224877232489E-3</v>
      </c>
      <c r="E81" s="33">
        <v>-3.230206847360919E-2</v>
      </c>
      <c r="F81" s="33">
        <v>1.4112301427750948E-2</v>
      </c>
      <c r="G81" s="33">
        <v>3.3820349337696412E-2</v>
      </c>
    </row>
    <row r="82" spans="1:7" ht="18" x14ac:dyDescent="0.35">
      <c r="A82" s="32">
        <v>39021</v>
      </c>
      <c r="B82" s="33">
        <v>3.5418110941815996E-2</v>
      </c>
      <c r="C82" s="33">
        <v>3.0373831775700796E-2</v>
      </c>
      <c r="D82" s="33">
        <v>3.0373831775700796E-2</v>
      </c>
      <c r="E82" s="33">
        <v>2.1291839473658669E-3</v>
      </c>
      <c r="F82" s="33">
        <v>5.029449821954992E-3</v>
      </c>
      <c r="G82" s="33">
        <v>4.4163122828804732E-2</v>
      </c>
    </row>
    <row r="83" spans="1:7" ht="18" x14ac:dyDescent="0.35">
      <c r="A83" s="32">
        <v>39051</v>
      </c>
      <c r="B83" s="33">
        <v>2.0527780739858385E-2</v>
      </c>
      <c r="C83" s="33">
        <v>2.8814935064935029E-2</v>
      </c>
      <c r="D83" s="33">
        <v>2.8814935064935029E-2</v>
      </c>
      <c r="E83" s="33">
        <v>-2.8295237136240291E-2</v>
      </c>
      <c r="F83" s="33">
        <v>1.5137269650244535E-2</v>
      </c>
      <c r="G83" s="33">
        <v>3.0386244307726424E-2</v>
      </c>
    </row>
    <row r="84" spans="1:7" ht="18" x14ac:dyDescent="0.35">
      <c r="A84" s="32">
        <v>39080</v>
      </c>
      <c r="B84" s="33">
        <v>2.0584784299245668E-2</v>
      </c>
      <c r="C84" s="33">
        <v>3.5634451019066371E-2</v>
      </c>
      <c r="D84" s="33">
        <v>3.5634451019066371E-2</v>
      </c>
      <c r="E84" s="33">
        <v>-6.6891191709844309E-3</v>
      </c>
      <c r="F84" s="33">
        <v>6.6247127053038991E-3</v>
      </c>
      <c r="G84" s="33">
        <v>3.7827869026342879E-2</v>
      </c>
    </row>
    <row r="85" spans="1:7" ht="18" x14ac:dyDescent="0.35">
      <c r="A85" s="32">
        <v>39113</v>
      </c>
      <c r="B85" s="33">
        <v>6.3174808122597329E-3</v>
      </c>
      <c r="C85" s="33">
        <v>-8.3191644401261564E-3</v>
      </c>
      <c r="D85" s="33">
        <v>-8.3191644401261564E-3</v>
      </c>
      <c r="E85" s="33">
        <v>4.2726215253326698E-2</v>
      </c>
      <c r="F85" s="33">
        <v>-4.7231949226526045E-3</v>
      </c>
      <c r="G85" s="33">
        <v>3.7830068064115874E-2</v>
      </c>
    </row>
    <row r="86" spans="1:7" ht="18" x14ac:dyDescent="0.35">
      <c r="A86" s="32">
        <v>39141</v>
      </c>
      <c r="B86" s="33">
        <v>1.894520265082485E-2</v>
      </c>
      <c r="C86" s="33">
        <v>3.0676321107096997E-2</v>
      </c>
      <c r="D86" s="33">
        <v>3.0676321107096997E-2</v>
      </c>
      <c r="E86" s="33">
        <v>-7.7512440430740487E-3</v>
      </c>
      <c r="F86" s="33">
        <v>8.4347746600210802E-3</v>
      </c>
      <c r="G86" s="33">
        <v>7.5520651521287147E-2</v>
      </c>
    </row>
    <row r="87" spans="1:7" ht="18" x14ac:dyDescent="0.35">
      <c r="A87" s="32">
        <v>39171</v>
      </c>
      <c r="B87" s="33">
        <v>-2.653563388443415E-2</v>
      </c>
      <c r="C87" s="33">
        <v>-1.3270062701279464E-2</v>
      </c>
      <c r="D87" s="33">
        <v>-1.3270062701279464E-2</v>
      </c>
      <c r="E87" s="33">
        <v>-3.3474159853297394E-2</v>
      </c>
      <c r="F87" s="33">
        <v>9.9637830166464346E-3</v>
      </c>
      <c r="G87" s="33">
        <v>-4.6278246323036704E-2</v>
      </c>
    </row>
    <row r="88" spans="1:7" ht="18" x14ac:dyDescent="0.35">
      <c r="A88" s="32">
        <v>39202</v>
      </c>
      <c r="B88" s="33">
        <v>3.9965867302878197E-2</v>
      </c>
      <c r="C88" s="33">
        <v>5.7543616697615568E-2</v>
      </c>
      <c r="D88" s="33">
        <v>5.7543616697615568E-2</v>
      </c>
      <c r="E88" s="33">
        <v>2.8319154787985489E-2</v>
      </c>
      <c r="F88" s="33">
        <v>-3.3323158748110298E-3</v>
      </c>
      <c r="G88" s="33">
        <v>2.7937768434729889E-2</v>
      </c>
    </row>
    <row r="89" spans="1:7" ht="18" x14ac:dyDescent="0.35">
      <c r="A89" s="32">
        <v>39233</v>
      </c>
      <c r="B89" s="33">
        <v>2.919026707883688E-2</v>
      </c>
      <c r="C89" s="33">
        <v>1.7943559865636921E-2</v>
      </c>
      <c r="D89" s="33">
        <v>1.7943559865636921E-2</v>
      </c>
      <c r="E89" s="33">
        <v>1.1196473203169126E-2</v>
      </c>
      <c r="F89" s="33">
        <v>1.7824679122180978E-3</v>
      </c>
      <c r="G89" s="33">
        <v>-2.0431807730259034E-2</v>
      </c>
    </row>
    <row r="90" spans="1:7" ht="18" x14ac:dyDescent="0.35">
      <c r="A90" s="32">
        <v>39262</v>
      </c>
      <c r="B90" s="33">
        <v>2.4841799032428993E-3</v>
      </c>
      <c r="C90" s="33">
        <v>4.2719848083531365E-3</v>
      </c>
      <c r="D90" s="33">
        <v>4.2719848083531365E-3</v>
      </c>
      <c r="E90" s="33">
        <v>7.5108764057241303E-2</v>
      </c>
      <c r="F90" s="33">
        <v>-1.6067370657428501E-2</v>
      </c>
      <c r="G90" s="33">
        <v>-3.2542664390982391E-2</v>
      </c>
    </row>
    <row r="91" spans="1:7" ht="18" x14ac:dyDescent="0.35">
      <c r="A91" s="32">
        <v>39294</v>
      </c>
      <c r="B91" s="33">
        <v>2.6143665818975483E-3</v>
      </c>
      <c r="C91" s="33">
        <v>1.9202670518660678E-2</v>
      </c>
      <c r="D91" s="33">
        <v>1.9202670518660678E-2</v>
      </c>
      <c r="E91" s="33">
        <v>-1.9316909294512741E-2</v>
      </c>
      <c r="F91" s="33">
        <v>5.1327393068595272E-3</v>
      </c>
      <c r="G91" s="33">
        <v>-3.2999305269240463E-2</v>
      </c>
    </row>
    <row r="92" spans="1:7" ht="18" x14ac:dyDescent="0.35">
      <c r="A92" s="32">
        <v>39325</v>
      </c>
      <c r="B92" s="33">
        <v>-4.7145400712889252E-2</v>
      </c>
      <c r="C92" s="33">
        <v>-5.9297343616109888E-2</v>
      </c>
      <c r="D92" s="33">
        <v>-5.9297343616109888E-2</v>
      </c>
      <c r="E92" s="33">
        <v>-6.5844183246658097E-2</v>
      </c>
      <c r="F92" s="33">
        <v>6.1391431307509254E-3</v>
      </c>
      <c r="G92" s="33">
        <v>-5.0596343746005946E-2</v>
      </c>
    </row>
    <row r="93" spans="1:7" ht="18" x14ac:dyDescent="0.35">
      <c r="A93" s="32">
        <v>39353</v>
      </c>
      <c r="B93" s="33">
        <v>2.923346641294983E-2</v>
      </c>
      <c r="C93" s="33">
        <v>3.1162324649298717E-2</v>
      </c>
      <c r="D93" s="33">
        <v>3.1162324649298717E-2</v>
      </c>
      <c r="E93" s="33">
        <v>-3.2772360588972725E-2</v>
      </c>
      <c r="F93" s="33">
        <v>8.8301340346602138E-3</v>
      </c>
      <c r="G93" s="33">
        <v>3.9277324823313906E-2</v>
      </c>
    </row>
    <row r="94" spans="1:7" ht="18" x14ac:dyDescent="0.35">
      <c r="A94" s="32">
        <v>39386</v>
      </c>
      <c r="B94" s="33">
        <v>3.1030457706936E-2</v>
      </c>
      <c r="C94" s="33">
        <v>5.7262642607371773E-2</v>
      </c>
      <c r="D94" s="33">
        <v>5.7262642607371773E-2</v>
      </c>
      <c r="E94" s="33">
        <v>1.3597739706459621E-3</v>
      </c>
      <c r="F94" s="33">
        <v>1.2303948877627166E-2</v>
      </c>
      <c r="G94" s="33">
        <v>4.1854819261228172E-2</v>
      </c>
    </row>
    <row r="95" spans="1:7" ht="18" x14ac:dyDescent="0.35">
      <c r="A95" s="32">
        <v>39416</v>
      </c>
      <c r="B95" s="33">
        <v>-5.1042082837418852E-2</v>
      </c>
      <c r="C95" s="33">
        <v>-2.3449590343588123E-2</v>
      </c>
      <c r="D95" s="33">
        <v>-2.3449590343588123E-2</v>
      </c>
      <c r="E95" s="33">
        <v>-8.3756650938660637E-2</v>
      </c>
      <c r="F95" s="33">
        <v>9.8140682971818282E-3</v>
      </c>
      <c r="G95" s="33">
        <v>-7.6681399931738434E-2</v>
      </c>
    </row>
    <row r="96" spans="1:7" ht="18" x14ac:dyDescent="0.35">
      <c r="A96" s="32">
        <v>39447</v>
      </c>
      <c r="B96" s="33">
        <v>9.9284045285976015E-3</v>
      </c>
      <c r="C96" s="33">
        <v>-1.3481855109781999E-2</v>
      </c>
      <c r="D96" s="33">
        <v>-1.3481855109781999E-2</v>
      </c>
      <c r="E96" s="33">
        <v>-1.2293600096420429E-2</v>
      </c>
      <c r="F96" s="33">
        <v>-6.6755816941560658E-3</v>
      </c>
      <c r="G96" s="33">
        <v>-2.9898939753237406E-2</v>
      </c>
    </row>
    <row r="97" spans="1:7" ht="18" x14ac:dyDescent="0.35">
      <c r="A97" s="32">
        <v>39478</v>
      </c>
      <c r="B97" s="33">
        <v>-7.0759554657553569E-2</v>
      </c>
      <c r="C97" s="33">
        <v>-8.0955842267854142E-2</v>
      </c>
      <c r="D97" s="33">
        <v>-8.0955842267854142E-2</v>
      </c>
      <c r="E97" s="33">
        <v>-8.6202388215810971E-2</v>
      </c>
      <c r="F97" s="33">
        <v>1.7250436192710918E-2</v>
      </c>
      <c r="G97" s="33">
        <v>-8.0285393579186404E-2</v>
      </c>
    </row>
    <row r="98" spans="1:7" ht="18" x14ac:dyDescent="0.35">
      <c r="A98" s="32">
        <v>39507</v>
      </c>
      <c r="B98" s="33">
        <v>-1.2349290634739484E-2</v>
      </c>
      <c r="C98" s="33">
        <v>-3.3811171527434077E-2</v>
      </c>
      <c r="D98" s="33">
        <v>-3.3811171527434077E-2</v>
      </c>
      <c r="E98" s="33">
        <v>-1.8122853872569197E-3</v>
      </c>
      <c r="F98" s="33">
        <v>-4.1598799595941689E-3</v>
      </c>
      <c r="G98" s="33">
        <v>2.1359839422858431E-2</v>
      </c>
    </row>
    <row r="99" spans="1:7" ht="18" x14ac:dyDescent="0.35">
      <c r="A99" s="32">
        <v>39538</v>
      </c>
      <c r="B99" s="33">
        <v>-3.0822058674398092E-2</v>
      </c>
      <c r="C99" s="33">
        <v>-7.0943756608343976E-3</v>
      </c>
      <c r="D99" s="33">
        <v>-7.0943756608343976E-3</v>
      </c>
      <c r="E99" s="33">
        <v>-6.0869565217391196E-2</v>
      </c>
      <c r="F99" s="33">
        <v>-6.7406358916439462E-3</v>
      </c>
      <c r="G99" s="33">
        <v>-6.4927143754612837E-3</v>
      </c>
    </row>
    <row r="100" spans="1:7" ht="18" x14ac:dyDescent="0.35">
      <c r="A100" s="32">
        <v>39568</v>
      </c>
      <c r="B100" s="33">
        <v>4.2380452125447179E-2</v>
      </c>
      <c r="C100" s="33">
        <v>5.7144909297016711E-2</v>
      </c>
      <c r="D100" s="33">
        <v>5.7144909297016711E-2</v>
      </c>
      <c r="E100" s="33">
        <v>4.700854700854689E-2</v>
      </c>
      <c r="F100" s="33">
        <v>2.1056747217108132E-3</v>
      </c>
      <c r="G100" s="33">
        <v>6.440211332514964E-2</v>
      </c>
    </row>
    <row r="101" spans="1:7" ht="18" x14ac:dyDescent="0.35">
      <c r="A101" s="32">
        <v>39598</v>
      </c>
      <c r="B101" s="33">
        <v>2.7482861832778375E-2</v>
      </c>
      <c r="C101" s="33">
        <v>2.9342431761786702E-2</v>
      </c>
      <c r="D101" s="33">
        <v>2.9342431761786702E-2</v>
      </c>
      <c r="E101" s="33">
        <v>5.578231292517033E-2</v>
      </c>
      <c r="F101" s="33">
        <v>4.8746089202143439E-3</v>
      </c>
      <c r="G101" s="33">
        <v>4.1277837421200463E-3</v>
      </c>
    </row>
    <row r="102" spans="1:7" ht="18" x14ac:dyDescent="0.35">
      <c r="A102" s="32">
        <v>39629</v>
      </c>
      <c r="B102" s="33">
        <v>-3.7126317609049088E-2</v>
      </c>
      <c r="C102" s="33">
        <v>-5.5734919773972665E-2</v>
      </c>
      <c r="D102" s="33">
        <v>-5.5734919773972665E-2</v>
      </c>
      <c r="E102" s="33">
        <v>5.6578301423661763E-2</v>
      </c>
      <c r="F102" s="33">
        <v>-1.1284004042661387E-2</v>
      </c>
      <c r="G102" s="33">
        <v>-6.688339844620686E-2</v>
      </c>
    </row>
    <row r="103" spans="1:7" ht="18" x14ac:dyDescent="0.35">
      <c r="A103" s="32">
        <v>39660</v>
      </c>
      <c r="B103" s="33">
        <v>-6.3948085679896391E-2</v>
      </c>
      <c r="C103" s="33">
        <v>-6.3269648941241916E-2</v>
      </c>
      <c r="D103" s="33">
        <v>-6.3269648941241916E-2</v>
      </c>
      <c r="E103" s="33">
        <v>-2.239199991552154E-2</v>
      </c>
      <c r="F103" s="33">
        <v>-7.6030154477926149E-3</v>
      </c>
      <c r="G103" s="33">
        <v>-7.4192499842427373E-2</v>
      </c>
    </row>
    <row r="104" spans="1:7" ht="18" x14ac:dyDescent="0.35">
      <c r="A104" s="32">
        <v>39689</v>
      </c>
      <c r="B104" s="33">
        <v>2.0160777858492664E-2</v>
      </c>
      <c r="C104" s="33">
        <v>-4.0024951586474226E-2</v>
      </c>
      <c r="D104" s="33">
        <v>-4.0024951586474226E-2</v>
      </c>
      <c r="E104" s="33">
        <v>-3.0444433642800351E-2</v>
      </c>
      <c r="F104" s="33">
        <v>3.002281103421353E-3</v>
      </c>
      <c r="G104" s="33">
        <v>1.5971691323724828E-2</v>
      </c>
    </row>
    <row r="105" spans="1:7" ht="18" x14ac:dyDescent="0.35">
      <c r="A105" s="32">
        <v>39721</v>
      </c>
      <c r="B105" s="33">
        <v>-5.1089890299106745E-2</v>
      </c>
      <c r="C105" s="33">
        <v>-7.4731815140023874E-2</v>
      </c>
      <c r="D105" s="33">
        <v>-7.4731815140023874E-2</v>
      </c>
      <c r="E105" s="33">
        <v>-5.1348039215686592E-2</v>
      </c>
      <c r="F105" s="33">
        <v>-2.1686365090460968E-2</v>
      </c>
      <c r="G105" s="33">
        <v>-1.3215210019038366E-2</v>
      </c>
    </row>
    <row r="106" spans="1:7" ht="18" x14ac:dyDescent="0.35">
      <c r="A106" s="32">
        <v>39752</v>
      </c>
      <c r="B106" s="33">
        <v>-0.21481564891179944</v>
      </c>
      <c r="C106" s="33">
        <v>-0.22738665185874418</v>
      </c>
      <c r="D106" s="33">
        <v>-0.22738665185874418</v>
      </c>
      <c r="E106" s="33">
        <v>3.4697185000763672E-2</v>
      </c>
      <c r="F106" s="33">
        <v>-9.2372921830592772E-2</v>
      </c>
      <c r="G106" s="33">
        <v>-0.27380900690175564</v>
      </c>
    </row>
    <row r="107" spans="1:7" ht="18" x14ac:dyDescent="0.35">
      <c r="A107" s="32">
        <v>39780</v>
      </c>
      <c r="B107" s="33">
        <v>-9.5274790397551198E-2</v>
      </c>
      <c r="C107" s="33">
        <v>-8.9228395061728652E-2</v>
      </c>
      <c r="D107" s="33">
        <v>-8.9228395061728652E-2</v>
      </c>
      <c r="E107" s="33">
        <v>-7.5358519048186468E-2</v>
      </c>
      <c r="F107" s="33">
        <v>2.1786707113290358E-3</v>
      </c>
      <c r="G107" s="33">
        <v>-0.20819624970033074</v>
      </c>
    </row>
    <row r="108" spans="1:7" ht="18" x14ac:dyDescent="0.35">
      <c r="A108" s="32">
        <v>39813</v>
      </c>
      <c r="B108" s="33">
        <v>-4.6836329155637213E-3</v>
      </c>
      <c r="C108" s="33">
        <v>8.9750975582415498E-3</v>
      </c>
      <c r="D108" s="33">
        <v>8.9750975582415498E-3</v>
      </c>
      <c r="E108" s="33">
        <v>-0.31483072692902542</v>
      </c>
      <c r="F108" s="33">
        <v>5.0231225211322686E-2</v>
      </c>
      <c r="G108" s="33">
        <v>1.2333860682426243E-2</v>
      </c>
    </row>
    <row r="109" spans="1:7" ht="18" x14ac:dyDescent="0.35">
      <c r="A109" s="32">
        <v>39843</v>
      </c>
      <c r="B109" s="33">
        <v>-6.4425233678569718E-3</v>
      </c>
      <c r="C109" s="33">
        <v>-3.5521859425130045E-2</v>
      </c>
      <c r="D109" s="33">
        <v>-3.5521859425130045E-2</v>
      </c>
      <c r="E109" s="33">
        <v>4.1854778028592152E-2</v>
      </c>
      <c r="F109" s="33">
        <v>3.5407630443763459E-2</v>
      </c>
      <c r="G109" s="33">
        <v>-1.4753526279914567E-2</v>
      </c>
    </row>
    <row r="110" spans="1:7" ht="18" x14ac:dyDescent="0.35">
      <c r="A110" s="32">
        <v>39871</v>
      </c>
      <c r="B110" s="33">
        <v>-6.8833161812102001E-2</v>
      </c>
      <c r="C110" s="33">
        <v>-8.8960457040439048E-2</v>
      </c>
      <c r="D110" s="33">
        <v>-8.8960457040439048E-2</v>
      </c>
      <c r="E110" s="33">
        <v>0.14001986097318828</v>
      </c>
      <c r="F110" s="33">
        <v>-3.6772561178916889E-3</v>
      </c>
      <c r="G110" s="33">
        <v>-0.1460273481158498</v>
      </c>
    </row>
    <row r="111" spans="1:7" ht="18" x14ac:dyDescent="0.35">
      <c r="A111" s="32">
        <v>39903</v>
      </c>
      <c r="B111" s="33">
        <v>-6.0639735809222897E-2</v>
      </c>
      <c r="C111" s="33">
        <v>-5.3283904166435997E-2</v>
      </c>
      <c r="D111" s="33">
        <v>-5.3283904166435997E-2</v>
      </c>
      <c r="E111" s="33">
        <v>-1.7579980994615239E-2</v>
      </c>
      <c r="F111" s="33">
        <v>-2.7074705735146049E-2</v>
      </c>
      <c r="G111" s="33">
        <v>-9.2227560011349505E-2</v>
      </c>
    </row>
    <row r="112" spans="1:7" ht="18" x14ac:dyDescent="0.35">
      <c r="A112" s="32">
        <v>39933</v>
      </c>
      <c r="B112" s="33">
        <v>0.12739016549327362</v>
      </c>
      <c r="C112" s="33">
        <v>0.13364504188583648</v>
      </c>
      <c r="D112" s="33">
        <v>0.13364504188583648</v>
      </c>
      <c r="E112" s="33">
        <v>3.8161258377282757E-2</v>
      </c>
      <c r="F112" s="33">
        <v>1.9810056977057133E-2</v>
      </c>
      <c r="G112" s="33">
        <v>0.19527250720871461</v>
      </c>
    </row>
    <row r="113" spans="1:7" ht="18" x14ac:dyDescent="0.35">
      <c r="A113" s="32">
        <v>39962</v>
      </c>
      <c r="B113" s="33">
        <v>6.5537639483832816E-2</v>
      </c>
      <c r="C113" s="33">
        <v>0.12035286704473841</v>
      </c>
      <c r="D113" s="33">
        <v>0.12035286704473841</v>
      </c>
      <c r="E113" s="33">
        <v>0.12498779892630575</v>
      </c>
      <c r="F113" s="33">
        <v>3.7421536238595024E-2</v>
      </c>
      <c r="G113" s="33">
        <v>7.6548664282906312E-2</v>
      </c>
    </row>
    <row r="114" spans="1:7" ht="18" x14ac:dyDescent="0.35">
      <c r="A114" s="32">
        <v>39994</v>
      </c>
      <c r="B114" s="33">
        <v>2.8284479108343884E-2</v>
      </c>
      <c r="C114" s="33">
        <v>4.3869516310461064E-2</v>
      </c>
      <c r="D114" s="33">
        <v>4.3869516310461064E-2</v>
      </c>
      <c r="E114" s="33">
        <v>0.13022113022112997</v>
      </c>
      <c r="F114" s="33">
        <v>3.1786085817701329E-2</v>
      </c>
      <c r="G114" s="33">
        <v>5.151438743150908E-2</v>
      </c>
    </row>
    <row r="115" spans="1:7" ht="18" x14ac:dyDescent="0.35">
      <c r="A115" s="32">
        <v>40025</v>
      </c>
      <c r="B115" s="33">
        <v>1.0663635584286159E-2</v>
      </c>
      <c r="C115" s="33">
        <v>1.34464017991008E-2</v>
      </c>
      <c r="D115" s="33">
        <v>1.34464017991008E-2</v>
      </c>
      <c r="E115" s="33">
        <v>-4.2867611138251008E-2</v>
      </c>
      <c r="F115" s="33">
        <v>3.0545638748084695E-2</v>
      </c>
      <c r="G115" s="33">
        <v>1.1977234960279783E-2</v>
      </c>
    </row>
    <row r="116" spans="1:7" ht="18" x14ac:dyDescent="0.35">
      <c r="A116" s="32">
        <v>40056</v>
      </c>
      <c r="B116" s="33">
        <v>8.2279786523387882E-2</v>
      </c>
      <c r="C116" s="33">
        <v>9.9997578431307674E-2</v>
      </c>
      <c r="D116" s="33">
        <v>9.9997578431307674E-2</v>
      </c>
      <c r="E116" s="33">
        <v>6.9815344793014364E-3</v>
      </c>
      <c r="F116" s="33">
        <v>3.2271971426210036E-2</v>
      </c>
      <c r="G116" s="33">
        <v>0.17801767121005235</v>
      </c>
    </row>
    <row r="117" spans="1:7" ht="18" x14ac:dyDescent="0.35">
      <c r="A117" s="32">
        <v>40086</v>
      </c>
      <c r="B117" s="33">
        <v>3.7156904928788495E-2</v>
      </c>
      <c r="C117" s="33">
        <v>5.0681033580918508E-2</v>
      </c>
      <c r="D117" s="33">
        <v>5.0681033580918508E-2</v>
      </c>
      <c r="E117" s="33">
        <v>-5.1639453073144818E-2</v>
      </c>
      <c r="F117" s="33">
        <v>2.380333773075544E-2</v>
      </c>
      <c r="G117" s="33">
        <v>7.9719804375077752E-2</v>
      </c>
    </row>
    <row r="118" spans="1:7" ht="18" x14ac:dyDescent="0.35">
      <c r="A118" s="32">
        <v>40116</v>
      </c>
      <c r="B118" s="33">
        <v>2.0641123004755485E-2</v>
      </c>
      <c r="C118" s="33">
        <v>2.0365491573621154E-2</v>
      </c>
      <c r="D118" s="33">
        <v>2.0365491573621154E-2</v>
      </c>
      <c r="E118" s="33">
        <v>-4.1993281075027849E-3</v>
      </c>
      <c r="F118" s="33">
        <v>9.7455571399186567E-3</v>
      </c>
      <c r="G118" s="33">
        <v>1.9287294014724385E-2</v>
      </c>
    </row>
    <row r="119" spans="1:7" ht="18" x14ac:dyDescent="0.35">
      <c r="A119" s="32">
        <v>40147</v>
      </c>
      <c r="B119" s="33">
        <v>1.3408011533520859E-2</v>
      </c>
      <c r="C119" s="33">
        <v>8.7197501951598328E-3</v>
      </c>
      <c r="D119" s="33">
        <v>8.7197501951598328E-3</v>
      </c>
      <c r="E119" s="33">
        <v>4.4315878253404651E-3</v>
      </c>
      <c r="F119" s="33">
        <v>9.3315111957586808E-3</v>
      </c>
      <c r="G119" s="33">
        <v>8.9659446508671154E-3</v>
      </c>
    </row>
    <row r="120" spans="1:7" ht="18" x14ac:dyDescent="0.35">
      <c r="A120" s="32">
        <v>40178</v>
      </c>
      <c r="B120" s="33">
        <v>2.4344418734502025E-2</v>
      </c>
      <c r="C120" s="33">
        <v>-4.4507200728398748E-3</v>
      </c>
      <c r="D120" s="33">
        <v>-4.4507200728398748E-3</v>
      </c>
      <c r="E120" s="33">
        <v>5.5065738592420622E-2</v>
      </c>
      <c r="F120" s="33">
        <v>5.3696600775121747E-3</v>
      </c>
      <c r="G120" s="33">
        <v>2.4529719769626417E-2</v>
      </c>
    </row>
    <row r="121" spans="1:7" ht="18" x14ac:dyDescent="0.35">
      <c r="A121" s="32">
        <v>40207</v>
      </c>
      <c r="B121" s="33">
        <v>1.5562727148717346E-2</v>
      </c>
      <c r="C121" s="33">
        <v>-4.507795232704467E-3</v>
      </c>
      <c r="D121" s="33">
        <v>-4.507795232704467E-3</v>
      </c>
      <c r="E121" s="33">
        <v>3.9876850901627785E-2</v>
      </c>
      <c r="F121" s="33">
        <v>9.120598931250546E-3</v>
      </c>
      <c r="G121" s="33">
        <v>1.4096250360292415E-2</v>
      </c>
    </row>
    <row r="122" spans="1:7" ht="18" x14ac:dyDescent="0.35">
      <c r="A122" s="32">
        <v>40235</v>
      </c>
      <c r="B122" s="33">
        <v>-2.9864473379955656E-2</v>
      </c>
      <c r="C122" s="33">
        <v>-6.3550077306304908E-2</v>
      </c>
      <c r="D122" s="33">
        <v>-6.3550077306304908E-2</v>
      </c>
      <c r="E122" s="33">
        <v>-1.1278725504018317E-2</v>
      </c>
      <c r="F122" s="33">
        <v>-9.2064016702612245E-4</v>
      </c>
      <c r="G122" s="33">
        <v>-3.3627461983053782E-2</v>
      </c>
    </row>
    <row r="123" spans="1:7" ht="18" x14ac:dyDescent="0.35">
      <c r="A123" s="32">
        <v>40268</v>
      </c>
      <c r="B123" s="33">
        <v>6.2575065598648061E-2</v>
      </c>
      <c r="C123" s="33">
        <v>5.192852865679308E-2</v>
      </c>
      <c r="D123" s="33">
        <v>5.192852865679308E-2</v>
      </c>
      <c r="E123" s="33">
        <v>9.8450703352159306E-3</v>
      </c>
      <c r="F123" s="33">
        <v>1.0911585334357704E-2</v>
      </c>
      <c r="G123" s="33">
        <v>7.8842086906534409E-2</v>
      </c>
    </row>
    <row r="124" spans="1:7" ht="18" x14ac:dyDescent="0.35">
      <c r="A124" s="32">
        <v>40298</v>
      </c>
      <c r="B124" s="33">
        <v>4.2806750757888749E-2</v>
      </c>
      <c r="C124" s="33">
        <v>2.4438083313127811E-2</v>
      </c>
      <c r="D124" s="33">
        <v>2.4438083313127811E-2</v>
      </c>
      <c r="E124" s="33">
        <v>3.2040338059234723E-2</v>
      </c>
      <c r="F124" s="33">
        <v>7.593774437737612E-3</v>
      </c>
      <c r="G124" s="33">
        <v>4.7746291499055522E-2</v>
      </c>
    </row>
    <row r="125" spans="1:7" ht="18" x14ac:dyDescent="0.35">
      <c r="A125" s="32">
        <v>40329</v>
      </c>
      <c r="B125" s="33">
        <v>-5.9797568510964114E-2</v>
      </c>
      <c r="C125" s="33">
        <v>-0.11512450283980999</v>
      </c>
      <c r="D125" s="33">
        <v>-0.11512450283980999</v>
      </c>
      <c r="E125" s="33">
        <v>-0.11095356256646589</v>
      </c>
      <c r="F125" s="33">
        <v>1.1216119699770889E-2</v>
      </c>
      <c r="G125" s="33">
        <v>-4.5556910132818804E-2</v>
      </c>
    </row>
    <row r="126" spans="1:7" ht="18" x14ac:dyDescent="0.35">
      <c r="A126" s="32">
        <v>40359</v>
      </c>
      <c r="B126" s="33">
        <v>-3.825639827005179E-2</v>
      </c>
      <c r="C126" s="33">
        <v>-1.7587621113015518E-2</v>
      </c>
      <c r="D126" s="33">
        <v>-1.7587621113015518E-2</v>
      </c>
      <c r="E126" s="33">
        <v>-6.3131313131312858E-2</v>
      </c>
      <c r="F126" s="33">
        <v>1.4198992220903093E-3</v>
      </c>
      <c r="G126" s="33">
        <v>-1.5643921773663111E-2</v>
      </c>
    </row>
    <row r="127" spans="1:7" ht="18" x14ac:dyDescent="0.35">
      <c r="A127" s="32">
        <v>40389</v>
      </c>
      <c r="B127" s="33">
        <v>-6.9995266097326149E-3</v>
      </c>
      <c r="C127" s="33">
        <v>4.0142062713210913E-2</v>
      </c>
      <c r="D127" s="33">
        <v>4.0142062713210913E-2</v>
      </c>
      <c r="E127" s="33">
        <v>-6.0130109640678608E-2</v>
      </c>
      <c r="F127" s="33">
        <v>2.1848635112555213E-2</v>
      </c>
      <c r="G127" s="33">
        <v>1.5648270861409453E-2</v>
      </c>
    </row>
    <row r="128" spans="1:7" ht="18" x14ac:dyDescent="0.35">
      <c r="A128" s="32">
        <v>40421</v>
      </c>
      <c r="B128" s="33">
        <v>5.8463108359842735E-3</v>
      </c>
      <c r="C128" s="33">
        <v>2.7855153203342743E-2</v>
      </c>
      <c r="D128" s="33">
        <v>2.7855153203342743E-2</v>
      </c>
      <c r="E128" s="33">
        <v>-0.10386838019665345</v>
      </c>
      <c r="F128" s="33">
        <v>2.4967277050689008E-2</v>
      </c>
      <c r="G128" s="33">
        <v>4.6665663380292058E-2</v>
      </c>
    </row>
    <row r="129" spans="1:7" ht="18" x14ac:dyDescent="0.35">
      <c r="A129" s="32">
        <v>40451</v>
      </c>
      <c r="B129" s="33">
        <v>3.4336041683516796E-2</v>
      </c>
      <c r="C129" s="33">
        <v>4.2442521199405545E-2</v>
      </c>
      <c r="D129" s="33">
        <v>4.2442521199405545E-2</v>
      </c>
      <c r="E129" s="33">
        <v>-1.8904850132743067E-2</v>
      </c>
      <c r="F129" s="33">
        <v>5.0929249940425475E-3</v>
      </c>
      <c r="G129" s="33">
        <v>5.3434753104928519E-2</v>
      </c>
    </row>
    <row r="130" spans="1:7" ht="18" x14ac:dyDescent="0.35">
      <c r="A130" s="32">
        <v>40480</v>
      </c>
      <c r="B130" s="33">
        <v>4.7324424021192281E-2</v>
      </c>
      <c r="C130" s="33">
        <v>5.978687336396217E-2</v>
      </c>
      <c r="D130" s="33">
        <v>5.978687336396217E-2</v>
      </c>
      <c r="E130" s="33">
        <v>-8.6330935251798427E-2</v>
      </c>
      <c r="F130" s="33">
        <v>1.1996200499239025E-2</v>
      </c>
      <c r="G130" s="33">
        <v>5.0906060778276203E-2</v>
      </c>
    </row>
    <row r="131" spans="1:7" ht="18" x14ac:dyDescent="0.35">
      <c r="A131" s="32">
        <v>40512</v>
      </c>
      <c r="B131" s="33">
        <v>2.6873083263855978E-2</v>
      </c>
      <c r="C131" s="33">
        <v>5.4260586466507747E-3</v>
      </c>
      <c r="D131" s="33">
        <v>5.4260586466507747E-3</v>
      </c>
      <c r="E131" s="33">
        <v>0.14218503937007876</v>
      </c>
      <c r="F131" s="33">
        <v>-6.7999147951740488E-3</v>
      </c>
      <c r="G131" s="33">
        <v>-5.1827633822183377E-3</v>
      </c>
    </row>
    <row r="132" spans="1:7" ht="18" x14ac:dyDescent="0.35">
      <c r="A132" s="32">
        <v>40543</v>
      </c>
      <c r="B132" s="33">
        <v>4.0050571300988227E-2</v>
      </c>
      <c r="C132" s="33">
        <v>1.2010758354492799E-3</v>
      </c>
      <c r="D132" s="33">
        <v>1.2010758354492799E-3</v>
      </c>
      <c r="E132" s="33">
        <v>0.19106373178034389</v>
      </c>
      <c r="F132" s="33">
        <v>-1.8276535991548104E-2</v>
      </c>
      <c r="G132" s="33">
        <v>6.7381862303427667E-3</v>
      </c>
    </row>
    <row r="133" spans="1:7" ht="18" x14ac:dyDescent="0.35">
      <c r="A133" s="32">
        <v>40574</v>
      </c>
      <c r="B133" s="33">
        <v>3.2045808782746571E-2</v>
      </c>
      <c r="C133" s="33">
        <v>1.4945065962021501E-2</v>
      </c>
      <c r="D133" s="33">
        <v>1.4945065962021501E-2</v>
      </c>
      <c r="E133" s="33">
        <v>3.1325966850829015E-2</v>
      </c>
      <c r="F133" s="33">
        <v>7.0277371811690373E-3</v>
      </c>
      <c r="G133" s="33">
        <v>2.913234418902565E-2</v>
      </c>
    </row>
    <row r="134" spans="1:7" ht="18" x14ac:dyDescent="0.35">
      <c r="A134" s="32">
        <v>40602</v>
      </c>
      <c r="B134" s="33">
        <v>3.1078820080035856E-2</v>
      </c>
      <c r="C134" s="33">
        <v>3.4664692279605475E-2</v>
      </c>
      <c r="D134" s="33">
        <v>3.4664692279605475E-2</v>
      </c>
      <c r="E134" s="33">
        <v>5.3717085879105141E-2</v>
      </c>
      <c r="F134" s="33">
        <v>-1.7956284011487196E-3</v>
      </c>
      <c r="G134" s="33">
        <v>3.4866025288089159E-2</v>
      </c>
    </row>
    <row r="135" spans="1:7" ht="18" x14ac:dyDescent="0.35">
      <c r="A135" s="32">
        <v>40633</v>
      </c>
      <c r="B135" s="33">
        <v>-1.1154068965097857E-2</v>
      </c>
      <c r="C135" s="33">
        <v>-2.4607668169702796E-2</v>
      </c>
      <c r="D135" s="33">
        <v>-2.4607668169702796E-2</v>
      </c>
      <c r="E135" s="33">
        <v>-4.5289055251623585E-2</v>
      </c>
      <c r="F135" s="33">
        <v>1.1773743640199091E-2</v>
      </c>
      <c r="G135" s="33">
        <v>-2.8241989255304019E-3</v>
      </c>
    </row>
    <row r="136" spans="1:7" ht="18" x14ac:dyDescent="0.35">
      <c r="A136" s="32">
        <v>40662</v>
      </c>
      <c r="B136" s="33">
        <v>2.3684924217562898E-2</v>
      </c>
      <c r="C136" s="33">
        <v>3.1963925228744687E-2</v>
      </c>
      <c r="D136" s="33">
        <v>3.1963925228744687E-2</v>
      </c>
      <c r="E136" s="33">
        <v>1.190627785559664E-2</v>
      </c>
      <c r="F136" s="33">
        <v>5.1394647314019545E-3</v>
      </c>
      <c r="G136" s="33">
        <v>3.6772001422768028E-2</v>
      </c>
    </row>
    <row r="137" spans="1:7" ht="18" x14ac:dyDescent="0.35">
      <c r="A137" s="32">
        <v>40694</v>
      </c>
      <c r="B137" s="33">
        <v>4.1008479842729621E-3</v>
      </c>
      <c r="C137" s="33">
        <v>-1.9866775739163607E-3</v>
      </c>
      <c r="D137" s="33">
        <v>-1.9866775739163607E-3</v>
      </c>
      <c r="E137" s="33">
        <v>-8.2902625594376445E-2</v>
      </c>
      <c r="F137" s="33">
        <v>1.9490812593895453E-2</v>
      </c>
      <c r="G137" s="33">
        <v>2.5950898215879419E-2</v>
      </c>
    </row>
    <row r="138" spans="1:7" ht="18" x14ac:dyDescent="0.35">
      <c r="A138" s="32">
        <v>40724</v>
      </c>
      <c r="B138" s="33">
        <v>-3.8465520038943268E-2</v>
      </c>
      <c r="C138" s="33">
        <v>-2.6676602086438062E-2</v>
      </c>
      <c r="D138" s="33">
        <v>-2.6676602086438062E-2</v>
      </c>
      <c r="E138" s="33">
        <v>-5.2483810148373049E-2</v>
      </c>
      <c r="F138" s="33">
        <v>4.4925756801193562E-3</v>
      </c>
      <c r="G138" s="33">
        <v>-1.2135144178336775E-2</v>
      </c>
    </row>
    <row r="139" spans="1:7" ht="18" x14ac:dyDescent="0.35">
      <c r="A139" s="32">
        <v>40753</v>
      </c>
      <c r="B139" s="33">
        <v>3.0142991224007924E-2</v>
      </c>
      <c r="C139" s="33">
        <v>1.3051308411896303E-2</v>
      </c>
      <c r="D139" s="33">
        <v>1.3051308411896303E-2</v>
      </c>
      <c r="E139" s="33">
        <v>2.4224072672231488E-4</v>
      </c>
      <c r="F139" s="33">
        <v>4.4750204209658131E-3</v>
      </c>
      <c r="G139" s="33">
        <v>2.6210009811688247E-2</v>
      </c>
    </row>
    <row r="140" spans="1:7" ht="18" x14ac:dyDescent="0.35">
      <c r="A140" s="32">
        <v>40786</v>
      </c>
      <c r="B140" s="33">
        <v>-0.11346484942411537</v>
      </c>
      <c r="C140" s="33">
        <v>-0.10885915604465196</v>
      </c>
      <c r="D140" s="33">
        <v>-0.10885915604465196</v>
      </c>
      <c r="E140" s="33">
        <v>-0.23308575482488553</v>
      </c>
      <c r="F140" s="33">
        <v>1.8579350042389225E-2</v>
      </c>
      <c r="G140" s="33">
        <v>-9.5175486297542647E-2</v>
      </c>
    </row>
    <row r="141" spans="1:7" ht="18" x14ac:dyDescent="0.35">
      <c r="A141" s="32">
        <v>40816</v>
      </c>
      <c r="B141" s="33">
        <v>-1.2229347268472874E-2</v>
      </c>
      <c r="C141" s="33">
        <v>-6.1779172320217242E-2</v>
      </c>
      <c r="D141" s="33">
        <v>-6.1779172320217242E-2</v>
      </c>
      <c r="E141" s="33">
        <v>-0.14233573361381519</v>
      </c>
      <c r="F141" s="33">
        <v>1.6977668741443913E-3</v>
      </c>
      <c r="G141" s="33">
        <v>-2.5325660282352128E-2</v>
      </c>
    </row>
    <row r="142" spans="1:7" ht="18" x14ac:dyDescent="0.35">
      <c r="A142" s="32">
        <v>40847</v>
      </c>
      <c r="B142" s="33">
        <v>2.5864935636197697E-2</v>
      </c>
      <c r="C142" s="33">
        <v>3.1852918326457341E-2</v>
      </c>
      <c r="D142" s="33">
        <v>3.1852918326457341E-2</v>
      </c>
      <c r="E142" s="33">
        <v>8.9488910318225368E-2</v>
      </c>
      <c r="F142" s="33">
        <v>-4.6142266613941356E-3</v>
      </c>
      <c r="G142" s="33">
        <v>-1.1937049594189394E-2</v>
      </c>
    </row>
    <row r="143" spans="1:7" ht="18" x14ac:dyDescent="0.35">
      <c r="A143" s="32">
        <v>40877</v>
      </c>
      <c r="B143" s="33">
        <v>1.8609516290981117E-2</v>
      </c>
      <c r="C143" s="33">
        <v>-2.3336281044824415E-2</v>
      </c>
      <c r="D143" s="33">
        <v>-2.3336281044824415E-2</v>
      </c>
      <c r="E143" s="33">
        <v>-6.4358736059479588E-2</v>
      </c>
      <c r="F143" s="33">
        <v>1.1810531128858803E-2</v>
      </c>
      <c r="G143" s="33">
        <v>1.4582132129865892E-2</v>
      </c>
    </row>
    <row r="144" spans="1:7" ht="18" x14ac:dyDescent="0.35">
      <c r="A144" s="32">
        <v>40907</v>
      </c>
      <c r="B144" s="33">
        <v>1.2857014798542265E-2</v>
      </c>
      <c r="C144" s="33">
        <v>-1.8027714247275738E-2</v>
      </c>
      <c r="D144" s="33">
        <v>-1.8027714247275738E-2</v>
      </c>
      <c r="E144" s="33">
        <v>-1.7583691037874983E-2</v>
      </c>
      <c r="F144" s="33">
        <v>-9.1041054249637937E-4</v>
      </c>
      <c r="G144" s="33">
        <v>1.1512351175134649E-2</v>
      </c>
    </row>
    <row r="145" spans="1:7" ht="18" x14ac:dyDescent="0.35">
      <c r="A145" s="32">
        <v>40939</v>
      </c>
      <c r="B145" s="33">
        <v>4.7971753850825936E-2</v>
      </c>
      <c r="C145" s="33">
        <v>1.4020185413527066E-2</v>
      </c>
      <c r="D145" s="33">
        <v>1.4020185413527066E-2</v>
      </c>
      <c r="E145" s="33">
        <v>-5.8618199325954851E-3</v>
      </c>
      <c r="F145" s="33">
        <v>1.4073986687987563E-2</v>
      </c>
      <c r="G145" s="33">
        <v>4.7075756078276201E-2</v>
      </c>
    </row>
    <row r="146" spans="1:7" ht="18" x14ac:dyDescent="0.35">
      <c r="A146" s="32">
        <v>40968</v>
      </c>
      <c r="B146" s="33">
        <v>4.4973142471408385E-2</v>
      </c>
      <c r="C146" s="33">
        <v>6.6680392207324135E-2</v>
      </c>
      <c r="D146" s="33">
        <v>6.6680392207324135E-2</v>
      </c>
      <c r="E146" s="33">
        <v>5.0851767098923683E-4</v>
      </c>
      <c r="F146" s="33">
        <v>1.7361203359064565E-2</v>
      </c>
      <c r="G146" s="33">
        <v>5.0528430994954791E-2</v>
      </c>
    </row>
    <row r="147" spans="1:7" ht="18" x14ac:dyDescent="0.35">
      <c r="A147" s="32">
        <v>40998</v>
      </c>
      <c r="B147" s="33">
        <v>2.3632137574582764E-2</v>
      </c>
      <c r="C147" s="33">
        <v>1.0742375989191288E-2</v>
      </c>
      <c r="D147" s="33">
        <v>1.0742375989191288E-2</v>
      </c>
      <c r="E147" s="33">
        <v>0.10430865195795304</v>
      </c>
      <c r="F147" s="33">
        <v>-9.4695702640243558E-4</v>
      </c>
      <c r="G147" s="33">
        <v>1.3337016481508755E-2</v>
      </c>
    </row>
    <row r="148" spans="1:7" ht="18" x14ac:dyDescent="0.35">
      <c r="A148" s="32">
        <v>41029</v>
      </c>
      <c r="B148" s="33">
        <v>-3.7351341026795842E-3</v>
      </c>
      <c r="C148" s="33">
        <v>-2.7432820323083126E-2</v>
      </c>
      <c r="D148" s="33">
        <v>-2.7432820323083126E-2</v>
      </c>
      <c r="E148" s="33">
        <v>-5.5170352659892431E-2</v>
      </c>
      <c r="F148" s="33">
        <v>6.1509580090677524E-3</v>
      </c>
      <c r="G148" s="33">
        <v>1.3931914280489201E-2</v>
      </c>
    </row>
    <row r="149" spans="1:7" ht="18" x14ac:dyDescent="0.35">
      <c r="A149" s="32">
        <v>41060</v>
      </c>
      <c r="B149" s="33">
        <v>-3.3043647621845203E-2</v>
      </c>
      <c r="C149" s="33">
        <v>-6.1320311766362899E-2</v>
      </c>
      <c r="D149" s="33">
        <v>-6.1320311766362899E-2</v>
      </c>
      <c r="E149" s="33">
        <v>-0.12162333143543949</v>
      </c>
      <c r="F149" s="33">
        <v>8.5867232188139506E-3</v>
      </c>
      <c r="G149" s="33">
        <v>1.4285378203100485E-3</v>
      </c>
    </row>
    <row r="150" spans="1:7" ht="18" x14ac:dyDescent="0.35">
      <c r="A150" s="32">
        <v>41089</v>
      </c>
      <c r="B150" s="33">
        <v>-1.6358016050819643E-2</v>
      </c>
      <c r="C150" s="33">
        <v>-2.4409763905562383E-2</v>
      </c>
      <c r="D150" s="33">
        <v>-2.4409763905562383E-2</v>
      </c>
      <c r="E150" s="33">
        <v>-0.10026768458833021</v>
      </c>
      <c r="F150" s="33">
        <v>5.9499220920061595E-3</v>
      </c>
      <c r="G150" s="33">
        <v>-8.8494832736303233E-3</v>
      </c>
    </row>
    <row r="151" spans="1:7" ht="18" x14ac:dyDescent="0.35">
      <c r="A151" s="32">
        <v>41121</v>
      </c>
      <c r="B151" s="33">
        <v>2.7522090987457427E-2</v>
      </c>
      <c r="C151" s="33">
        <v>3.5826275728987958E-2</v>
      </c>
      <c r="D151" s="33">
        <v>3.5826275728987958E-2</v>
      </c>
      <c r="E151" s="33">
        <v>-5.8996184326387077E-2</v>
      </c>
      <c r="F151" s="33">
        <v>2.1565899730656261E-2</v>
      </c>
      <c r="G151" s="33">
        <v>5.9049551199025191E-2</v>
      </c>
    </row>
    <row r="152" spans="1:7" ht="18" x14ac:dyDescent="0.35">
      <c r="A152" s="32">
        <v>41152</v>
      </c>
      <c r="B152" s="33">
        <v>2.9808334914399222E-2</v>
      </c>
      <c r="C152" s="33">
        <v>4.4529535096613254E-2</v>
      </c>
      <c r="D152" s="33">
        <v>4.4529535096613254E-2</v>
      </c>
      <c r="E152" s="33">
        <v>9.9297512815644834E-2</v>
      </c>
      <c r="F152" s="33">
        <v>4.3433556126403032E-3</v>
      </c>
      <c r="G152" s="33">
        <v>1.648012737397778E-2</v>
      </c>
    </row>
    <row r="153" spans="1:7" ht="18" x14ac:dyDescent="0.35">
      <c r="A153" s="32">
        <v>41180</v>
      </c>
      <c r="B153" s="33">
        <v>3.1715321088920619E-2</v>
      </c>
      <c r="C153" s="33">
        <v>3.1027905626736102E-2</v>
      </c>
      <c r="D153" s="33">
        <v>3.1027905626736102E-2</v>
      </c>
      <c r="E153" s="33">
        <v>2.6752113444232364E-2</v>
      </c>
      <c r="F153" s="33">
        <v>6.8727539066067329E-3</v>
      </c>
      <c r="G153" s="33">
        <v>1.7327764519668349E-2</v>
      </c>
    </row>
    <row r="154" spans="1:7" ht="18" x14ac:dyDescent="0.35">
      <c r="A154" s="32">
        <v>41213</v>
      </c>
      <c r="B154" s="33">
        <v>-5.2943695632517692E-3</v>
      </c>
      <c r="C154" s="33">
        <v>-1.0026020196820314E-2</v>
      </c>
      <c r="D154" s="33">
        <v>-1.0026020196820314E-2</v>
      </c>
      <c r="E154" s="33">
        <v>1.3366495040288298E-2</v>
      </c>
      <c r="F154" s="33">
        <v>1.4994588239533495E-2</v>
      </c>
      <c r="G154" s="33">
        <v>-5.8638687177311952E-3</v>
      </c>
    </row>
    <row r="155" spans="1:7" ht="18" x14ac:dyDescent="0.35">
      <c r="A155" s="32">
        <v>41243</v>
      </c>
      <c r="B155" s="33">
        <v>-2.7860642220217471E-2</v>
      </c>
      <c r="C155" s="33">
        <v>-5.9772653410938934E-3</v>
      </c>
      <c r="D155" s="33">
        <v>-5.9772653410938934E-3</v>
      </c>
      <c r="E155" s="33">
        <v>-5.2795200436323832E-2</v>
      </c>
      <c r="F155" s="33">
        <v>3.9739590797964793E-3</v>
      </c>
      <c r="G155" s="33">
        <v>-7.1280939259140636E-3</v>
      </c>
    </row>
    <row r="156" spans="1:7" ht="18" x14ac:dyDescent="0.35">
      <c r="A156" s="32">
        <v>41274</v>
      </c>
      <c r="B156" s="33">
        <v>2.2711465559894589E-2</v>
      </c>
      <c r="C156" s="33">
        <v>4.8335215308084115E-2</v>
      </c>
      <c r="D156" s="33">
        <v>4.8335215308084115E-2</v>
      </c>
      <c r="E156" s="33">
        <v>3.9298669891172887E-2</v>
      </c>
      <c r="F156" s="33">
        <v>-6.6542242286107215E-4</v>
      </c>
      <c r="G156" s="33">
        <v>2.8469960227708185E-2</v>
      </c>
    </row>
    <row r="157" spans="1:7" ht="18" x14ac:dyDescent="0.35">
      <c r="A157" s="32">
        <v>41305</v>
      </c>
      <c r="B157" s="33">
        <v>4.4871714170120022E-2</v>
      </c>
      <c r="C157" s="33">
        <v>3.5453132918618395E-2</v>
      </c>
      <c r="D157" s="33">
        <v>3.5453132918618395E-2</v>
      </c>
      <c r="E157" s="33">
        <v>0.11388127094933394</v>
      </c>
      <c r="F157" s="33">
        <v>-2.6996994610563184E-3</v>
      </c>
      <c r="G157" s="33">
        <v>3.515112082384577E-2</v>
      </c>
    </row>
    <row r="158" spans="1:7" ht="18" x14ac:dyDescent="0.35">
      <c r="A158" s="32">
        <v>41333</v>
      </c>
      <c r="B158" s="33">
        <v>2.2848933365725656E-2</v>
      </c>
      <c r="C158" s="33">
        <v>7.9006814502466209E-3</v>
      </c>
      <c r="D158" s="33">
        <v>7.9006814502466209E-3</v>
      </c>
      <c r="E158" s="33">
        <v>3.627010824749017E-2</v>
      </c>
      <c r="F158" s="33">
        <v>-3.5501956820434724E-3</v>
      </c>
      <c r="G158" s="33">
        <v>1.6330234080190024E-2</v>
      </c>
    </row>
    <row r="159" spans="1:7" ht="18" x14ac:dyDescent="0.35">
      <c r="A159" s="32">
        <v>41362</v>
      </c>
      <c r="B159" s="33">
        <v>2.6359094346348158E-2</v>
      </c>
      <c r="C159" s="33">
        <v>1.1211821813651756E-2</v>
      </c>
      <c r="D159" s="33">
        <v>1.1211821813651756E-2</v>
      </c>
      <c r="E159" s="33">
        <v>-1.3461538461538539E-2</v>
      </c>
      <c r="F159" s="33">
        <v>3.1286599261228561E-3</v>
      </c>
      <c r="G159" s="33">
        <v>2.177735986132796E-2</v>
      </c>
    </row>
    <row r="160" spans="1:7" ht="18" x14ac:dyDescent="0.35">
      <c r="A160" s="32">
        <v>41394</v>
      </c>
      <c r="B160" s="33">
        <v>9.7360978387292119E-3</v>
      </c>
      <c r="C160" s="33">
        <v>8.5734146906621313E-3</v>
      </c>
      <c r="D160" s="33">
        <v>8.5734146906621313E-3</v>
      </c>
      <c r="E160" s="33">
        <v>-0.10135841170323921</v>
      </c>
      <c r="F160" s="33">
        <v>1.543713848353704E-2</v>
      </c>
      <c r="G160" s="33">
        <v>4.5696609425914934E-2</v>
      </c>
    </row>
    <row r="161" spans="1:7" ht="18" x14ac:dyDescent="0.35">
      <c r="A161" s="32">
        <v>41425</v>
      </c>
      <c r="B161" s="33">
        <v>4.4408306263888392E-2</v>
      </c>
      <c r="C161" s="33">
        <v>4.1860062463790086E-2</v>
      </c>
      <c r="D161" s="33">
        <v>4.1860062463790086E-2</v>
      </c>
      <c r="E161" s="33">
        <v>9.6124031007751853E-2</v>
      </c>
      <c r="F161" s="33">
        <v>-4.4369769022529777E-3</v>
      </c>
      <c r="G161" s="33">
        <v>2.0936808528980885E-2</v>
      </c>
    </row>
    <row r="162" spans="1:7" ht="18" x14ac:dyDescent="0.35">
      <c r="A162" s="32">
        <v>41453</v>
      </c>
      <c r="B162" s="33">
        <v>-1.2939495595756464E-2</v>
      </c>
      <c r="C162" s="33">
        <v>-4.9954299374253205E-2</v>
      </c>
      <c r="D162" s="33">
        <v>-4.9954299374253205E-2</v>
      </c>
      <c r="E162" s="33">
        <v>0.19283356907119295</v>
      </c>
      <c r="F162" s="33">
        <v>-2.9182096509606764E-2</v>
      </c>
      <c r="G162" s="33">
        <v>-8.671792918815939E-2</v>
      </c>
    </row>
    <row r="163" spans="1:7" ht="18" x14ac:dyDescent="0.35">
      <c r="A163" s="32">
        <v>41486</v>
      </c>
      <c r="B163" s="33">
        <v>3.4482238410102443E-2</v>
      </c>
      <c r="C163" s="33">
        <v>1.2284921369103016E-2</v>
      </c>
      <c r="D163" s="33">
        <v>1.2284921369103016E-2</v>
      </c>
      <c r="E163" s="33">
        <v>0.1227272727272727</v>
      </c>
      <c r="F163" s="33">
        <v>-6.923095240924694E-3</v>
      </c>
      <c r="G163" s="33">
        <v>2.2722026944998377E-2</v>
      </c>
    </row>
    <row r="164" spans="1:7" ht="18" x14ac:dyDescent="0.35">
      <c r="A164" s="32">
        <v>41516</v>
      </c>
      <c r="B164" s="33">
        <v>3.5303020367723529E-3</v>
      </c>
      <c r="C164" s="33">
        <v>2.4894741914151683E-2</v>
      </c>
      <c r="D164" s="33">
        <v>2.4894741914151683E-2</v>
      </c>
      <c r="E164" s="33">
        <v>6.0024643548670931E-2</v>
      </c>
      <c r="F164" s="33">
        <v>-5.2745944034688439E-3</v>
      </c>
      <c r="G164" s="33">
        <v>-4.2474038910569945E-2</v>
      </c>
    </row>
    <row r="165" spans="1:7" ht="18" x14ac:dyDescent="0.35">
      <c r="A165" s="32">
        <v>41547</v>
      </c>
      <c r="B165" s="33">
        <v>1.283485229399137E-2</v>
      </c>
      <c r="C165" s="33">
        <v>3.0275266823982568E-2</v>
      </c>
      <c r="D165" s="33">
        <v>3.0275266823982568E-2</v>
      </c>
      <c r="E165" s="33">
        <v>2.638658253072064E-2</v>
      </c>
      <c r="F165" s="33">
        <v>-1.1192871900562421E-3</v>
      </c>
      <c r="G165" s="33">
        <v>6.8631404787756235E-3</v>
      </c>
    </row>
    <row r="166" spans="1:7" ht="18" x14ac:dyDescent="0.35">
      <c r="A166" s="32">
        <v>41578</v>
      </c>
      <c r="B166" s="33">
        <v>2.1943394893832017E-2</v>
      </c>
      <c r="C166" s="33">
        <v>3.1713167113125926E-2</v>
      </c>
      <c r="D166" s="33">
        <v>3.1713167113125926E-2</v>
      </c>
      <c r="E166" s="33">
        <v>-6.890582277661815E-2</v>
      </c>
      <c r="F166" s="33">
        <v>1.706984720039368E-2</v>
      </c>
      <c r="G166" s="33">
        <v>4.2443824350124726E-2</v>
      </c>
    </row>
    <row r="167" spans="1:7" ht="18" x14ac:dyDescent="0.35">
      <c r="A167" s="32">
        <v>41607</v>
      </c>
      <c r="B167" s="33">
        <v>3.2731974339085361E-2</v>
      </c>
      <c r="C167" s="33">
        <v>1.0310563174368566E-2</v>
      </c>
      <c r="D167" s="33">
        <v>1.0310563174368566E-2</v>
      </c>
      <c r="E167" s="33">
        <v>3.9187891535964171E-2</v>
      </c>
      <c r="F167" s="33">
        <v>1.3434710915177527E-3</v>
      </c>
      <c r="G167" s="33">
        <v>-1.6414880320205334E-2</v>
      </c>
    </row>
    <row r="168" spans="1:7" ht="18" x14ac:dyDescent="0.35">
      <c r="A168" s="32">
        <v>41639</v>
      </c>
      <c r="B168" s="33">
        <v>1.4493517262760536E-2</v>
      </c>
      <c r="C168" s="33">
        <v>-5.4561326931469433E-3</v>
      </c>
      <c r="D168" s="33">
        <v>-5.4561326931469433E-3</v>
      </c>
      <c r="E168" s="33">
        <v>6.7496427418982971E-2</v>
      </c>
      <c r="F168" s="33">
        <v>1.8113175102066057E-3</v>
      </c>
      <c r="G168" s="33">
        <v>-2.7307484529515268E-2</v>
      </c>
    </row>
    <row r="169" spans="1:7" ht="18" x14ac:dyDescent="0.35">
      <c r="A169" s="32">
        <v>41670</v>
      </c>
      <c r="B169" s="33">
        <v>1.0903584119944144E-2</v>
      </c>
      <c r="C169" s="33">
        <v>1.1074934882789201E-2</v>
      </c>
      <c r="D169" s="33">
        <v>1.1091715087157065E-2</v>
      </c>
      <c r="E169" s="33">
        <v>-1.523721693468999E-2</v>
      </c>
      <c r="F169" s="33">
        <v>1.0301948718471064E-2</v>
      </c>
      <c r="G169" s="33">
        <v>2.0204970145498522E-2</v>
      </c>
    </row>
    <row r="170" spans="1:7" ht="18" x14ac:dyDescent="0.35">
      <c r="A170" s="32">
        <v>41698</v>
      </c>
      <c r="B170" s="33">
        <v>-1.547048703135765E-3</v>
      </c>
      <c r="C170" s="33">
        <v>-2.6283286549322661E-3</v>
      </c>
      <c r="D170" s="33">
        <v>-2.6067461444471422E-3</v>
      </c>
      <c r="E170" s="33">
        <v>-5.1532208562058104E-2</v>
      </c>
      <c r="F170" s="33">
        <v>1.1288187322748881E-2</v>
      </c>
      <c r="G170" s="33">
        <v>3.3834745454954733E-2</v>
      </c>
    </row>
    <row r="171" spans="1:7" ht="18" x14ac:dyDescent="0.35">
      <c r="A171" s="32">
        <v>41729</v>
      </c>
      <c r="B171" s="33">
        <v>2.6557046326078918E-2</v>
      </c>
      <c r="C171" s="33">
        <v>4.1350816497491769E-3</v>
      </c>
      <c r="D171" s="33">
        <v>4.1474732639228329E-3</v>
      </c>
      <c r="E171" s="33">
        <v>5.0901903651900783E-3</v>
      </c>
      <c r="F171" s="33">
        <v>4.383497603622292E-3</v>
      </c>
      <c r="G171" s="33">
        <v>1.8977806640265833E-2</v>
      </c>
    </row>
    <row r="172" spans="1:7" ht="18" x14ac:dyDescent="0.35">
      <c r="A172" s="32">
        <v>41759</v>
      </c>
      <c r="B172" s="33">
        <v>-4.8659356971868075E-3</v>
      </c>
      <c r="C172" s="33">
        <v>8.4077996184897218E-3</v>
      </c>
      <c r="D172" s="33">
        <v>8.461738990540979E-3</v>
      </c>
      <c r="E172" s="33">
        <v>-6.6086378737539369E-3</v>
      </c>
      <c r="F172" s="33">
        <v>1.0271480752422126E-2</v>
      </c>
      <c r="G172" s="33">
        <v>2.5793248881916055E-2</v>
      </c>
    </row>
    <row r="173" spans="1:7" ht="18" x14ac:dyDescent="0.35">
      <c r="A173" s="32">
        <v>41789</v>
      </c>
      <c r="B173" s="33">
        <v>1.017373597251652E-2</v>
      </c>
      <c r="C173" s="33">
        <v>1.7391057021742349E-2</v>
      </c>
      <c r="D173" s="33">
        <v>1.7356050868316944E-2</v>
      </c>
      <c r="E173" s="33">
        <v>-5.4277556768174626E-2</v>
      </c>
      <c r="F173" s="33">
        <v>1.2799147035929895E-2</v>
      </c>
      <c r="G173" s="33">
        <v>3.3593200342195241E-2</v>
      </c>
    </row>
    <row r="174" spans="1:7" ht="18" x14ac:dyDescent="0.35">
      <c r="A174" s="32">
        <v>41820</v>
      </c>
      <c r="B174" s="33">
        <v>3.2031409841910677E-2</v>
      </c>
      <c r="C174" s="33">
        <v>1.6743811315683095E-2</v>
      </c>
      <c r="D174" s="33">
        <v>1.6528633824178501E-2</v>
      </c>
      <c r="E174" s="33">
        <v>1.5514235206550141E-2</v>
      </c>
      <c r="F174" s="33">
        <v>9.8425684471291157E-4</v>
      </c>
      <c r="G174" s="33">
        <v>1.8395980456957721E-2</v>
      </c>
    </row>
    <row r="175" spans="1:7" ht="18" x14ac:dyDescent="0.35">
      <c r="A175" s="32">
        <v>41851</v>
      </c>
      <c r="B175" s="33">
        <v>1.0534409712199854E-2</v>
      </c>
      <c r="C175" s="33">
        <v>-9.9993328867846645E-3</v>
      </c>
      <c r="D175" s="33">
        <v>-9.900093775165127E-3</v>
      </c>
      <c r="E175" s="33">
        <v>-2.1723746813933895E-2</v>
      </c>
      <c r="F175" s="33">
        <v>5.4870194179719627E-3</v>
      </c>
      <c r="G175" s="33">
        <v>1.9127038116702254E-2</v>
      </c>
    </row>
    <row r="176" spans="1:7" ht="18" x14ac:dyDescent="0.35">
      <c r="A176" s="32">
        <v>41880</v>
      </c>
      <c r="B176" s="33">
        <v>-5.6078076204103934E-3</v>
      </c>
      <c r="C176" s="33">
        <v>-2.4320013621948335E-2</v>
      </c>
      <c r="D176" s="33">
        <v>-2.4212876998063099E-2</v>
      </c>
      <c r="E176" s="33">
        <v>-4.7658161988199471E-2</v>
      </c>
      <c r="F176" s="33">
        <v>7.2208787718409861E-3</v>
      </c>
      <c r="G176" s="33">
        <v>3.2424116093532889E-3</v>
      </c>
    </row>
    <row r="177" spans="1:7" ht="18" x14ac:dyDescent="0.35">
      <c r="A177" s="32">
        <v>41912</v>
      </c>
      <c r="B177" s="33">
        <v>1.4410959861326443E-2</v>
      </c>
      <c r="C177" s="33">
        <v>-7.6939287506272262E-3</v>
      </c>
      <c r="D177" s="33">
        <v>-7.7140902248780136E-3</v>
      </c>
      <c r="E177" s="33">
        <v>4.6861865407320152E-2</v>
      </c>
      <c r="F177" s="33">
        <v>-5.1002174970907737E-3</v>
      </c>
      <c r="G177" s="33">
        <v>-1.9358039526798106E-2</v>
      </c>
    </row>
    <row r="178" spans="1:7" ht="18" x14ac:dyDescent="0.35">
      <c r="A178" s="32">
        <v>41943</v>
      </c>
      <c r="B178" s="33">
        <v>-3.1655516644667613E-2</v>
      </c>
      <c r="C178" s="33">
        <v>-6.4892532963969116E-2</v>
      </c>
      <c r="D178" s="33">
        <v>-6.4833634940907825E-2</v>
      </c>
      <c r="E178" s="33">
        <v>-9.0368978681972023E-2</v>
      </c>
      <c r="F178" s="33">
        <v>1.1182550260458415E-2</v>
      </c>
      <c r="G178" s="33">
        <v>-4.6615607464363593E-3</v>
      </c>
    </row>
    <row r="179" spans="1:7" ht="18" x14ac:dyDescent="0.35">
      <c r="A179" s="32">
        <v>41971</v>
      </c>
      <c r="B179" s="33">
        <v>5.648407054281606E-2</v>
      </c>
      <c r="C179" s="33">
        <v>2.4632332909873822E-2</v>
      </c>
      <c r="D179" s="33">
        <v>2.4521254146376046E-2</v>
      </c>
      <c r="E179" s="33">
        <v>9.3550119462528936E-3</v>
      </c>
      <c r="F179" s="33">
        <v>-4.1857277100959839E-3</v>
      </c>
      <c r="G179" s="33">
        <v>4.4948460054301198E-2</v>
      </c>
    </row>
    <row r="180" spans="1:7" ht="18" x14ac:dyDescent="0.35">
      <c r="A180" s="32">
        <v>42004</v>
      </c>
      <c r="B180" s="33">
        <v>4.0818239711277954E-3</v>
      </c>
      <c r="C180" s="33">
        <v>-1.8297040034438286E-2</v>
      </c>
      <c r="D180" s="33">
        <v>-1.8074572535514477E-2</v>
      </c>
      <c r="E180" s="33">
        <v>-5.0979164313946931E-2</v>
      </c>
      <c r="F180" s="33">
        <v>4.4751892303659018E-3</v>
      </c>
      <c r="G180" s="33">
        <v>1.94386888637379E-2</v>
      </c>
    </row>
    <row r="181" spans="1:7" ht="18" x14ac:dyDescent="0.35">
      <c r="A181" s="32">
        <v>42034</v>
      </c>
      <c r="B181" s="33">
        <v>-9.9811327982851725E-3</v>
      </c>
      <c r="C181" s="33">
        <v>-2.0329120374504288E-2</v>
      </c>
      <c r="D181" s="33">
        <v>-2.0213625521384906E-2</v>
      </c>
      <c r="E181" s="33">
        <v>-0.14618849876441536</v>
      </c>
      <c r="F181" s="33">
        <v>2.0608577525844593E-2</v>
      </c>
      <c r="G181" s="33">
        <v>5.327097999688031E-2</v>
      </c>
    </row>
    <row r="182" spans="1:7" ht="18" x14ac:dyDescent="0.35">
      <c r="A182" s="32">
        <v>42062</v>
      </c>
      <c r="B182" s="33">
        <v>2.8728940113320573E-2</v>
      </c>
      <c r="C182" s="33">
        <v>4.8576170085342048E-2</v>
      </c>
      <c r="D182" s="33">
        <v>4.9072043719119565E-2</v>
      </c>
      <c r="E182" s="33">
        <v>5.0203032295061359E-2</v>
      </c>
      <c r="F182" s="33">
        <v>6.624159167619119E-4</v>
      </c>
      <c r="G182" s="33">
        <v>3.4428016981215211E-4</v>
      </c>
    </row>
    <row r="183" spans="1:7" ht="18" x14ac:dyDescent="0.35">
      <c r="A183" s="32">
        <v>42094</v>
      </c>
      <c r="B183" s="33">
        <v>2.4261042818760374E-3</v>
      </c>
      <c r="C183" s="33">
        <v>1.058049031226373E-2</v>
      </c>
      <c r="D183" s="33">
        <v>1.0618424547025357E-2</v>
      </c>
      <c r="E183" s="33">
        <v>3.4065692900225507E-2</v>
      </c>
      <c r="F183" s="33">
        <v>-8.5132401842608551E-4</v>
      </c>
      <c r="G183" s="33">
        <v>-1.7181536034735743E-2</v>
      </c>
    </row>
    <row r="184" spans="1:7" ht="18" x14ac:dyDescent="0.35">
      <c r="A184" s="32">
        <v>42124</v>
      </c>
      <c r="B184" s="33">
        <v>8.5341495517368207E-3</v>
      </c>
      <c r="C184" s="33">
        <v>2.8281172730483761E-2</v>
      </c>
      <c r="D184" s="33">
        <v>2.8120098904980406E-2</v>
      </c>
      <c r="E184" s="33">
        <v>-5.3179973297730602E-2</v>
      </c>
      <c r="F184" s="33">
        <v>9.2689867620307353E-3</v>
      </c>
      <c r="G184" s="33">
        <v>2.5670334215755E-3</v>
      </c>
    </row>
    <row r="185" spans="1:7" ht="18" x14ac:dyDescent="0.35">
      <c r="A185" s="32">
        <v>42153</v>
      </c>
      <c r="B185" s="33">
        <v>4.8934190913814835E-3</v>
      </c>
      <c r="C185" s="33">
        <v>1.5193380772439853E-2</v>
      </c>
      <c r="D185" s="33">
        <v>1.5268534785951821E-2</v>
      </c>
      <c r="E185" s="33">
        <v>0.13473643410852748</v>
      </c>
      <c r="F185" s="33">
        <v>-2.0762218464771588E-2</v>
      </c>
      <c r="G185" s="33">
        <v>-2.311707643355889E-2</v>
      </c>
    </row>
    <row r="186" spans="1:7" ht="18" x14ac:dyDescent="0.35">
      <c r="A186" s="32">
        <v>42185</v>
      </c>
      <c r="B186" s="33">
        <v>-3.0270016326720741E-3</v>
      </c>
      <c r="C186" s="33">
        <v>-1.99201228962795E-2</v>
      </c>
      <c r="D186" s="33">
        <v>-1.9747198261278871E-2</v>
      </c>
      <c r="E186" s="33">
        <v>7.5073223704622966E-2</v>
      </c>
      <c r="F186" s="33">
        <v>-1.2865629620805156E-2</v>
      </c>
      <c r="G186" s="33">
        <v>-3.0319614861742974E-2</v>
      </c>
    </row>
    <row r="187" spans="1:7" ht="18" x14ac:dyDescent="0.35">
      <c r="A187" s="32">
        <v>42216</v>
      </c>
      <c r="B187" s="33">
        <v>-4.9737108852547889E-3</v>
      </c>
      <c r="C187" s="33">
        <v>-2.5890670686955917E-2</v>
      </c>
      <c r="D187" s="33">
        <v>-2.5929737185326738E-2</v>
      </c>
      <c r="E187" s="33">
        <v>-1.6503730769230757E-2</v>
      </c>
      <c r="F187" s="33">
        <v>4.9306784991728762E-4</v>
      </c>
      <c r="G187" s="33">
        <v>5.2289863439035928E-3</v>
      </c>
    </row>
    <row r="188" spans="1:7" ht="18" x14ac:dyDescent="0.35">
      <c r="A188" s="32">
        <v>42247</v>
      </c>
      <c r="B188" s="33">
        <v>-2.7514453905324945E-2</v>
      </c>
      <c r="C188" s="33">
        <v>-2.5995360302984948E-2</v>
      </c>
      <c r="D188" s="33">
        <v>-2.5982270997696438E-2</v>
      </c>
      <c r="E188" s="33">
        <v>-6.7706508743505422E-2</v>
      </c>
      <c r="F188" s="33">
        <v>3.7049668952832677E-3</v>
      </c>
      <c r="G188" s="33">
        <v>-2.6359081184411876E-3</v>
      </c>
    </row>
    <row r="189" spans="1:7" ht="18" x14ac:dyDescent="0.35">
      <c r="A189" s="32">
        <v>42277</v>
      </c>
      <c r="B189" s="33">
        <v>-4.5638708068646915E-2</v>
      </c>
      <c r="C189" s="33">
        <v>-6.6487816684402345E-2</v>
      </c>
      <c r="D189" s="33">
        <v>-6.5236931926501915E-2</v>
      </c>
      <c r="E189" s="33">
        <v>2.6183256427163254E-3</v>
      </c>
      <c r="F189" s="33">
        <v>1.8543088940548447E-4</v>
      </c>
      <c r="G189" s="33">
        <v>-4.4811193112741232E-2</v>
      </c>
    </row>
    <row r="190" spans="1:7" ht="18" x14ac:dyDescent="0.35">
      <c r="A190" s="32">
        <v>42307</v>
      </c>
      <c r="B190" s="33">
        <v>3.4773019449418872E-2</v>
      </c>
      <c r="C190" s="33">
        <v>3.7877180815833536E-2</v>
      </c>
      <c r="D190" s="33">
        <v>3.8109136244983806E-2</v>
      </c>
      <c r="E190" s="33">
        <v>-4.7446153846154401E-2</v>
      </c>
      <c r="F190" s="33">
        <v>8.4833248925385001E-3</v>
      </c>
      <c r="G190" s="33">
        <v>6.8675811774924475E-2</v>
      </c>
    </row>
    <row r="191" spans="1:7" ht="18" x14ac:dyDescent="0.35">
      <c r="A191" s="32">
        <v>42338</v>
      </c>
      <c r="B191" s="33">
        <v>2.5923697362545368E-2</v>
      </c>
      <c r="C191" s="33">
        <v>1.1857768412323231E-3</v>
      </c>
      <c r="D191" s="33">
        <v>1.17502604990502E-3</v>
      </c>
      <c r="E191" s="33">
        <v>9.3173023137554101E-2</v>
      </c>
      <c r="F191" s="33">
        <v>-6.765016414278742E-3</v>
      </c>
      <c r="G191" s="33">
        <v>-1.103656933086238E-2</v>
      </c>
    </row>
    <row r="192" spans="1:7" ht="18" x14ac:dyDescent="0.35">
      <c r="A192" s="32">
        <v>42369</v>
      </c>
      <c r="B192" s="33">
        <v>-1.521987611451148E-2</v>
      </c>
      <c r="C192" s="33">
        <v>-1.9946877017072307E-2</v>
      </c>
      <c r="D192" s="33">
        <v>-1.9980524259510316E-2</v>
      </c>
      <c r="E192" s="33">
        <v>-8.9913742071875656E-3</v>
      </c>
      <c r="F192" s="33">
        <v>-1.513737573842546E-3</v>
      </c>
      <c r="G192" s="33">
        <v>4.2151188055493654E-3</v>
      </c>
    </row>
    <row r="193" spans="1:7" ht="18" x14ac:dyDescent="0.35">
      <c r="A193" s="32">
        <v>42398</v>
      </c>
      <c r="B193" s="33">
        <v>-7.0900703232823492E-2</v>
      </c>
      <c r="C193" s="33">
        <v>-7.1031651380142141E-2</v>
      </c>
      <c r="D193" s="33">
        <v>-7.089781546421367E-2</v>
      </c>
      <c r="E193" s="33">
        <v>-6.9951214985172913E-2</v>
      </c>
      <c r="F193" s="33">
        <v>-3.6555540765821994E-4</v>
      </c>
      <c r="G193" s="33">
        <v>-2.7719290919110993E-2</v>
      </c>
    </row>
    <row r="194" spans="1:7" ht="18" x14ac:dyDescent="0.35">
      <c r="A194" s="32">
        <v>42429</v>
      </c>
      <c r="B194" s="33">
        <v>-1.141850649364926E-2</v>
      </c>
      <c r="C194" s="33">
        <v>-2.5610646551724282E-2</v>
      </c>
      <c r="D194" s="33">
        <v>-2.5667068965517379E-2</v>
      </c>
      <c r="E194" s="33">
        <v>-0.14573604366481593</v>
      </c>
      <c r="F194" s="33">
        <v>2.690323693451669E-3</v>
      </c>
      <c r="G194" s="33">
        <v>-3.2588508614182581E-3</v>
      </c>
    </row>
    <row r="195" spans="1:7" ht="18" x14ac:dyDescent="0.35">
      <c r="A195" s="32">
        <v>42460</v>
      </c>
      <c r="B195" s="33">
        <v>6.6332939827054377E-2</v>
      </c>
      <c r="C195" s="33">
        <v>5.8708242693516731E-2</v>
      </c>
      <c r="D195" s="33">
        <v>5.8532644759239021E-2</v>
      </c>
      <c r="E195" s="33">
        <v>6.1030958645176117E-2</v>
      </c>
      <c r="F195" s="33">
        <v>1.7660780092676992E-2</v>
      </c>
      <c r="G195" s="33">
        <v>7.9269982225940588E-2</v>
      </c>
    </row>
    <row r="196" spans="1:7" ht="18" x14ac:dyDescent="0.35">
      <c r="A196" s="32">
        <v>42489</v>
      </c>
      <c r="B196" s="33">
        <v>2.8425503493836008E-2</v>
      </c>
      <c r="C196" s="33">
        <v>2.5360785649781406E-2</v>
      </c>
      <c r="D196" s="33">
        <v>2.5157553870558475E-2</v>
      </c>
      <c r="E196" s="33">
        <v>-4.4694195426004731E-2</v>
      </c>
      <c r="F196" s="33">
        <v>2.2622325584427502E-2</v>
      </c>
      <c r="G196" s="33">
        <v>3.4083559509273526E-2</v>
      </c>
    </row>
    <row r="197" spans="1:7" ht="18" x14ac:dyDescent="0.35">
      <c r="A197" s="32">
        <v>42521</v>
      </c>
      <c r="B197" s="33">
        <v>-4.533258722061409E-3</v>
      </c>
      <c r="C197" s="33">
        <v>-4.0581168301866075E-3</v>
      </c>
      <c r="D197" s="33">
        <v>-3.9829069345230896E-3</v>
      </c>
      <c r="E197" s="33">
        <v>5.2941176470605329E-4</v>
      </c>
      <c r="F197" s="33">
        <v>5.628532309142756E-3</v>
      </c>
      <c r="G197" s="33">
        <v>7.7524134619211598E-3</v>
      </c>
    </row>
    <row r="198" spans="1:7" ht="18" x14ac:dyDescent="0.35">
      <c r="A198" s="32">
        <v>42551</v>
      </c>
      <c r="B198" s="33">
        <v>1.1083543182978522E-2</v>
      </c>
      <c r="C198" s="33">
        <v>-1.2665618530526359E-2</v>
      </c>
      <c r="D198" s="33">
        <v>-1.2734170540213483E-2</v>
      </c>
      <c r="E198" s="33">
        <v>-9.0330015818613191E-2</v>
      </c>
      <c r="F198" s="33">
        <v>1.3024274579970034E-2</v>
      </c>
      <c r="G198" s="33">
        <v>1.204039598436373E-2</v>
      </c>
    </row>
    <row r="199" spans="1:7" ht="18" x14ac:dyDescent="0.35">
      <c r="A199" s="32">
        <v>42580</v>
      </c>
      <c r="B199" s="33">
        <v>3.1428796597242355E-2</v>
      </c>
      <c r="C199" s="33">
        <v>2.0234952787891148E-3</v>
      </c>
      <c r="D199" s="33">
        <v>2.0320092841697142E-3</v>
      </c>
      <c r="E199" s="33">
        <v>-8.5413237489632504E-2</v>
      </c>
      <c r="F199" s="33">
        <v>2.0263169021683097E-2</v>
      </c>
      <c r="G199" s="33">
        <v>4.945414448461919E-2</v>
      </c>
    </row>
    <row r="200" spans="1:7" ht="18" x14ac:dyDescent="0.35">
      <c r="A200" s="32">
        <v>42613</v>
      </c>
      <c r="B200" s="33">
        <v>1.5170179566829003E-2</v>
      </c>
      <c r="C200" s="33">
        <v>3.5839855911719856E-2</v>
      </c>
      <c r="D200" s="33">
        <v>3.5925648505165025E-2</v>
      </c>
      <c r="E200" s="33">
        <v>3.4753746530989747E-2</v>
      </c>
      <c r="F200" s="33">
        <v>2.7643789637948109E-3</v>
      </c>
      <c r="G200" s="33">
        <v>5.3222862074571936E-3</v>
      </c>
    </row>
    <row r="201" spans="1:7" ht="18" x14ac:dyDescent="0.35">
      <c r="A201" s="32">
        <v>42643</v>
      </c>
      <c r="B201" s="33">
        <v>-7.1090370339572497E-3</v>
      </c>
      <c r="C201" s="33">
        <v>3.7368474351535206E-3</v>
      </c>
      <c r="D201" s="33">
        <v>3.7428485953424654E-3</v>
      </c>
      <c r="E201" s="33">
        <v>4.7123032721468644E-2</v>
      </c>
      <c r="F201" s="33">
        <v>-1.9140961713981191E-3</v>
      </c>
      <c r="G201" s="33">
        <v>-2.211571176380555E-2</v>
      </c>
    </row>
    <row r="202" spans="1:7" ht="18" x14ac:dyDescent="0.35">
      <c r="A202" s="32">
        <v>42674</v>
      </c>
      <c r="B202" s="33">
        <v>-8.1750174758813965E-3</v>
      </c>
      <c r="C202" s="33">
        <v>-1.2096189354933805E-2</v>
      </c>
      <c r="D202" s="33">
        <v>-1.1886518877802919E-2</v>
      </c>
      <c r="E202" s="33">
        <v>8.2421120035046855E-2</v>
      </c>
      <c r="F202" s="33">
        <v>-1.1357299783160549E-3</v>
      </c>
      <c r="G202" s="33">
        <v>-4.7977579679123993E-2</v>
      </c>
    </row>
    <row r="203" spans="1:7" ht="18" x14ac:dyDescent="0.35">
      <c r="A203" s="32">
        <v>42704</v>
      </c>
      <c r="B203" s="33">
        <v>1.3097344494606046E-2</v>
      </c>
      <c r="C203" s="33">
        <v>-2.2452865505211098E-2</v>
      </c>
      <c r="D203" s="33">
        <v>-2.2441708247456574E-2</v>
      </c>
      <c r="E203" s="33">
        <v>0.21372768489657093</v>
      </c>
      <c r="F203" s="33">
        <v>-2.100860244214391E-2</v>
      </c>
      <c r="G203" s="33">
        <v>-4.4767840158294957E-2</v>
      </c>
    </row>
    <row r="204" spans="1:7" ht="18" x14ac:dyDescent="0.35">
      <c r="A204" s="32">
        <v>42734</v>
      </c>
      <c r="B204" s="33">
        <v>4.1212498597509965E-2</v>
      </c>
      <c r="C204" s="33">
        <v>1.66249341458619E-2</v>
      </c>
      <c r="D204" s="33">
        <v>1.6531582465107036E-2</v>
      </c>
      <c r="E204" s="33">
        <v>0.1628478324663199</v>
      </c>
      <c r="F204" s="33">
        <v>-1.0933839550984894E-2</v>
      </c>
      <c r="G204" s="33">
        <v>2.2187854471761338E-2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16A8-A587-4F28-8400-934B9773A336}">
  <sheetPr codeName="Sheet2"/>
  <dimension ref="A1:Q12"/>
  <sheetViews>
    <sheetView workbookViewId="0"/>
  </sheetViews>
  <sheetFormatPr defaultColWidth="9.1796875" defaultRowHeight="17.5" x14ac:dyDescent="0.35"/>
  <cols>
    <col min="1" max="1" width="30.1796875" style="1" bestFit="1" customWidth="1"/>
    <col min="2" max="2" width="29.1796875" style="1" bestFit="1" customWidth="1"/>
    <col min="3" max="4" width="15.453125" style="1" bestFit="1" customWidth="1"/>
    <col min="5" max="5" width="19.7265625" style="1" bestFit="1" customWidth="1"/>
    <col min="6" max="6" width="14.81640625" style="1" bestFit="1" customWidth="1"/>
    <col min="7" max="7" width="5.54296875" style="1" bestFit="1" customWidth="1"/>
    <col min="8" max="8" width="6.81640625" style="1" bestFit="1" customWidth="1"/>
    <col min="9" max="9" width="24.1796875" style="1" bestFit="1" customWidth="1"/>
    <col min="10" max="10" width="9.1796875" style="1" bestFit="1" customWidth="1"/>
    <col min="11" max="11" width="2.26953125" style="1" customWidth="1"/>
    <col min="12" max="12" width="19.7265625" style="1" bestFit="1" customWidth="1"/>
    <col min="13" max="13" width="14.81640625" style="1" bestFit="1" customWidth="1"/>
    <col min="14" max="14" width="5.54296875" style="1" bestFit="1" customWidth="1"/>
    <col min="15" max="15" width="6.81640625" style="1" bestFit="1" customWidth="1"/>
    <col min="16" max="16" width="24.1796875" style="1" bestFit="1" customWidth="1"/>
    <col min="17" max="17" width="9.1796875" style="1" bestFit="1" customWidth="1"/>
    <col min="18" max="16384" width="9.1796875" style="1"/>
  </cols>
  <sheetData>
    <row r="1" spans="1:17" ht="18" x14ac:dyDescent="0.4">
      <c r="E1" s="50" t="s">
        <v>38</v>
      </c>
      <c r="F1" s="50"/>
      <c r="G1" s="50"/>
      <c r="H1" s="50"/>
      <c r="I1" s="50"/>
      <c r="J1" s="50"/>
      <c r="K1" s="25"/>
      <c r="L1" s="50" t="s">
        <v>39</v>
      </c>
      <c r="M1" s="50"/>
      <c r="N1" s="50"/>
      <c r="O1" s="50"/>
      <c r="P1" s="50"/>
      <c r="Q1" s="50"/>
    </row>
    <row r="2" spans="1:17" ht="18" x14ac:dyDescent="0.4">
      <c r="A2" s="25" t="s">
        <v>18</v>
      </c>
      <c r="B2" s="25" t="s">
        <v>27</v>
      </c>
      <c r="C2" s="25" t="s">
        <v>26</v>
      </c>
      <c r="D2" s="25" t="s">
        <v>25</v>
      </c>
      <c r="E2" s="35" t="s">
        <v>36</v>
      </c>
      <c r="F2" s="35" t="s">
        <v>0</v>
      </c>
      <c r="G2" s="35" t="s">
        <v>1</v>
      </c>
      <c r="H2" s="35" t="s">
        <v>2</v>
      </c>
      <c r="I2" s="35" t="s">
        <v>37</v>
      </c>
      <c r="J2" s="35" t="s">
        <v>3</v>
      </c>
      <c r="K2" s="35"/>
      <c r="L2" s="35" t="s">
        <v>36</v>
      </c>
      <c r="M2" s="35" t="s">
        <v>0</v>
      </c>
      <c r="N2" s="35" t="s">
        <v>1</v>
      </c>
      <c r="O2" s="35" t="s">
        <v>2</v>
      </c>
      <c r="P2" s="35" t="s">
        <v>37</v>
      </c>
      <c r="Q2" s="35" t="s">
        <v>3</v>
      </c>
    </row>
    <row r="3" spans="1:17" x14ac:dyDescent="0.35">
      <c r="A3" s="1" t="s">
        <v>19</v>
      </c>
      <c r="B3" s="1" t="s">
        <v>20</v>
      </c>
      <c r="C3" s="34">
        <v>36526</v>
      </c>
      <c r="D3" s="34">
        <v>37621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x14ac:dyDescent="0.35">
      <c r="A4" s="1" t="s">
        <v>21</v>
      </c>
      <c r="B4" s="1" t="s">
        <v>22</v>
      </c>
      <c r="C4" s="34">
        <v>39083</v>
      </c>
      <c r="D4" s="34">
        <v>40178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 x14ac:dyDescent="0.35">
      <c r="A5" s="1" t="s">
        <v>23</v>
      </c>
      <c r="B5" s="1" t="s">
        <v>24</v>
      </c>
      <c r="C5" s="34">
        <v>39814</v>
      </c>
      <c r="D5" s="34">
        <v>41639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spans="1:17" x14ac:dyDescent="0.35">
      <c r="A6" s="1" t="s">
        <v>43</v>
      </c>
      <c r="B6" s="1" t="s">
        <v>44</v>
      </c>
      <c r="C6" s="34">
        <v>41640</v>
      </c>
      <c r="D6" s="34">
        <v>42735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spans="1:17" x14ac:dyDescent="0.35">
      <c r="C7" s="34"/>
      <c r="D7" s="34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spans="1:17" ht="18" x14ac:dyDescent="0.4">
      <c r="C8" s="34"/>
      <c r="D8" s="34"/>
      <c r="E8" s="50" t="s">
        <v>40</v>
      </c>
      <c r="F8" s="50"/>
      <c r="G8" s="50"/>
      <c r="H8" s="50"/>
      <c r="I8" s="50"/>
      <c r="J8" s="50"/>
      <c r="K8" s="25"/>
      <c r="L8" s="50" t="s">
        <v>41</v>
      </c>
      <c r="M8" s="50"/>
      <c r="N8" s="50"/>
      <c r="O8" s="50"/>
      <c r="P8" s="50"/>
      <c r="Q8" s="50"/>
    </row>
    <row r="9" spans="1:17" x14ac:dyDescent="0.35">
      <c r="A9" s="1" t="str">
        <f>A3</f>
        <v>sector specific crash</v>
      </c>
      <c r="B9" s="1" t="str">
        <f t="shared" ref="B9:D9" si="0">B3</f>
        <v>Dot-Com Bubble Burst</v>
      </c>
      <c r="C9" s="34">
        <f t="shared" si="0"/>
        <v>36526</v>
      </c>
      <c r="D9" s="34">
        <f t="shared" si="0"/>
        <v>37621</v>
      </c>
      <c r="E9" s="37"/>
      <c r="F9" s="37"/>
      <c r="G9" s="37"/>
      <c r="H9" s="37"/>
      <c r="I9" s="37"/>
      <c r="J9" s="37"/>
      <c r="L9" s="37"/>
      <c r="M9" s="37"/>
      <c r="N9" s="37"/>
      <c r="O9" s="37"/>
      <c r="P9" s="37"/>
      <c r="Q9" s="37"/>
    </row>
    <row r="10" spans="1:17" x14ac:dyDescent="0.35">
      <c r="A10" s="1" t="str">
        <f t="shared" ref="A10:D10" si="1">A4</f>
        <v>systemic financial crisis</v>
      </c>
      <c r="B10" s="1" t="str">
        <f t="shared" si="1"/>
        <v>Global Financial Crisis</v>
      </c>
      <c r="C10" s="34">
        <f t="shared" si="1"/>
        <v>39083</v>
      </c>
      <c r="D10" s="34">
        <f t="shared" si="1"/>
        <v>40178</v>
      </c>
      <c r="E10" s="37"/>
      <c r="F10" s="37"/>
      <c r="G10" s="37"/>
      <c r="H10" s="37"/>
      <c r="I10" s="37"/>
      <c r="J10" s="37"/>
      <c r="L10" s="37"/>
      <c r="M10" s="37"/>
      <c r="N10" s="37"/>
      <c r="O10" s="37"/>
      <c r="P10" s="37"/>
      <c r="Q10" s="37"/>
    </row>
    <row r="11" spans="1:17" x14ac:dyDescent="0.35">
      <c r="A11" s="1" t="str">
        <f t="shared" ref="A11:D11" si="2">A5</f>
        <v>sovereign debt crisis</v>
      </c>
      <c r="B11" s="1" t="str">
        <f t="shared" si="2"/>
        <v>European Debt Crisis</v>
      </c>
      <c r="C11" s="34">
        <f t="shared" si="2"/>
        <v>39814</v>
      </c>
      <c r="D11" s="34">
        <f t="shared" si="2"/>
        <v>41639</v>
      </c>
      <c r="E11" s="37"/>
      <c r="F11" s="37"/>
      <c r="G11" s="37"/>
      <c r="H11" s="37"/>
      <c r="I11" s="37"/>
      <c r="J11" s="37"/>
      <c r="L11" s="37"/>
      <c r="M11" s="37"/>
      <c r="N11" s="37"/>
      <c r="O11" s="37"/>
      <c r="P11" s="37"/>
      <c r="Q11" s="37"/>
    </row>
    <row r="12" spans="1:17" x14ac:dyDescent="0.35">
      <c r="A12" s="1" t="s">
        <v>43</v>
      </c>
      <c r="B12" s="1" t="s">
        <v>44</v>
      </c>
      <c r="C12" s="34">
        <v>41640</v>
      </c>
      <c r="D12" s="34">
        <v>42735</v>
      </c>
      <c r="E12" s="37"/>
      <c r="F12" s="37"/>
      <c r="G12" s="37"/>
      <c r="H12" s="37"/>
      <c r="I12" s="37"/>
      <c r="J12" s="37"/>
      <c r="L12" s="37"/>
      <c r="M12" s="37"/>
      <c r="N12" s="37"/>
      <c r="O12" s="37"/>
      <c r="P12" s="37"/>
      <c r="Q12" s="37"/>
    </row>
  </sheetData>
  <mergeCells count="4">
    <mergeCell ref="E1:J1"/>
    <mergeCell ref="L1:Q1"/>
    <mergeCell ref="E8:J8"/>
    <mergeCell ref="L8:Q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484A-9E05-43B6-A125-B80E657B0BE2}">
  <dimension ref="A1:X61"/>
  <sheetViews>
    <sheetView tabSelected="1" zoomScale="85" zoomScaleNormal="85" workbookViewId="0"/>
  </sheetViews>
  <sheetFormatPr defaultColWidth="9.1796875" defaultRowHeight="17.5" x14ac:dyDescent="0.35"/>
  <cols>
    <col min="1" max="1" width="15.453125" style="1" bestFit="1" customWidth="1"/>
    <col min="2" max="2" width="19.7265625" style="1" bestFit="1" customWidth="1"/>
    <col min="3" max="3" width="15" style="1" bestFit="1" customWidth="1"/>
    <col min="4" max="4" width="5.54296875" style="1" bestFit="1" customWidth="1"/>
    <col min="5" max="5" width="7" style="1" bestFit="1" customWidth="1"/>
    <col min="6" max="6" width="24.1796875" style="1" bestFit="1" customWidth="1"/>
    <col min="7" max="7" width="9.26953125" style="1" bestFit="1" customWidth="1"/>
    <col min="8" max="8" width="2.54296875" style="1" customWidth="1"/>
    <col min="9" max="9" width="19.1796875" style="1" bestFit="1" customWidth="1"/>
    <col min="10" max="15" width="9.1796875" style="1"/>
    <col min="16" max="16" width="2.54296875" style="1" customWidth="1"/>
    <col min="17" max="17" width="34.453125" style="1" bestFit="1" customWidth="1"/>
    <col min="18" max="18" width="8.453125" style="47" customWidth="1"/>
    <col min="19" max="19" width="52.26953125" style="1" bestFit="1" customWidth="1"/>
    <col min="20" max="20" width="9.453125" style="1" bestFit="1" customWidth="1"/>
    <col min="21" max="21" width="5.1796875" style="1" customWidth="1"/>
    <col min="22" max="22" width="9.1796875" style="1"/>
    <col min="23" max="23" width="32.54296875" style="1" bestFit="1" customWidth="1"/>
    <col min="24" max="24" width="43.81640625" style="1" bestFit="1" customWidth="1"/>
    <col min="25" max="16384" width="9.1796875" style="1"/>
  </cols>
  <sheetData>
    <row r="1" spans="1:24" ht="18" x14ac:dyDescent="0.4">
      <c r="B1" s="35" t="s">
        <v>36</v>
      </c>
      <c r="C1" s="35" t="s">
        <v>0</v>
      </c>
      <c r="D1" s="35" t="s">
        <v>1</v>
      </c>
      <c r="E1" s="35" t="s">
        <v>2</v>
      </c>
      <c r="F1" s="35" t="s">
        <v>37</v>
      </c>
      <c r="G1" s="35" t="s">
        <v>3</v>
      </c>
      <c r="I1" s="25" t="s">
        <v>28</v>
      </c>
      <c r="J1" s="38"/>
      <c r="K1" s="38"/>
      <c r="L1" s="38"/>
      <c r="M1" s="38"/>
      <c r="N1" s="38"/>
      <c r="O1" s="38"/>
      <c r="P1" s="39"/>
      <c r="Q1" s="25" t="s">
        <v>32</v>
      </c>
      <c r="R1" s="40"/>
      <c r="S1" s="41" t="s">
        <v>17</v>
      </c>
      <c r="T1" s="42"/>
      <c r="W1" s="25" t="s">
        <v>31</v>
      </c>
      <c r="X1" s="25" t="s">
        <v>33</v>
      </c>
    </row>
    <row r="2" spans="1:24" ht="18" x14ac:dyDescent="0.4">
      <c r="A2" s="32">
        <v>41670</v>
      </c>
      <c r="B2" s="39"/>
      <c r="C2" s="39"/>
      <c r="D2" s="39"/>
      <c r="E2" s="39"/>
      <c r="F2" s="39"/>
      <c r="G2" s="39"/>
      <c r="J2" s="39"/>
      <c r="K2" s="39"/>
      <c r="L2" s="39"/>
      <c r="M2" s="39"/>
      <c r="N2" s="39"/>
      <c r="O2" s="39"/>
      <c r="P2" s="39"/>
      <c r="Q2" s="39"/>
      <c r="R2" s="40"/>
      <c r="S2" s="25" t="s">
        <v>30</v>
      </c>
      <c r="T2" s="42"/>
    </row>
    <row r="3" spans="1:24" ht="18" x14ac:dyDescent="0.4">
      <c r="A3" s="32">
        <v>41698</v>
      </c>
      <c r="B3" s="39"/>
      <c r="C3" s="39"/>
      <c r="D3" s="39"/>
      <c r="E3" s="39"/>
      <c r="F3" s="39"/>
      <c r="G3" s="39"/>
      <c r="J3" s="39"/>
      <c r="K3" s="39"/>
      <c r="L3" s="39"/>
      <c r="M3" s="39"/>
      <c r="N3" s="39"/>
      <c r="O3" s="39"/>
      <c r="P3" s="39"/>
      <c r="Q3" s="39"/>
      <c r="R3" s="40"/>
      <c r="S3" s="25" t="s">
        <v>31</v>
      </c>
      <c r="T3" s="42"/>
    </row>
    <row r="4" spans="1:24" ht="18" x14ac:dyDescent="0.4">
      <c r="A4" s="32">
        <v>41729</v>
      </c>
      <c r="B4" s="39"/>
      <c r="C4" s="39"/>
      <c r="D4" s="39"/>
      <c r="E4" s="39"/>
      <c r="F4" s="39"/>
      <c r="G4" s="39"/>
      <c r="J4" s="39"/>
      <c r="K4" s="39"/>
      <c r="L4" s="39"/>
      <c r="M4" s="39"/>
      <c r="N4" s="39"/>
      <c r="O4" s="39"/>
      <c r="P4" s="39"/>
      <c r="Q4" s="39"/>
      <c r="R4" s="40"/>
      <c r="S4" s="25" t="s">
        <v>29</v>
      </c>
      <c r="T4" s="43"/>
    </row>
    <row r="5" spans="1:24" ht="18" x14ac:dyDescent="0.4">
      <c r="A5" s="32">
        <v>41759</v>
      </c>
      <c r="B5" s="39"/>
      <c r="C5" s="39"/>
      <c r="D5" s="39"/>
      <c r="E5" s="39"/>
      <c r="F5" s="39"/>
      <c r="G5" s="39"/>
      <c r="J5" s="39"/>
      <c r="K5" s="39"/>
      <c r="L5" s="39"/>
      <c r="M5" s="39"/>
      <c r="N5" s="39"/>
      <c r="O5" s="39"/>
      <c r="P5" s="39"/>
      <c r="Q5" s="39"/>
      <c r="R5" s="40"/>
      <c r="S5" s="25" t="s">
        <v>33</v>
      </c>
      <c r="T5" s="42"/>
    </row>
    <row r="6" spans="1:24" ht="18" x14ac:dyDescent="0.4">
      <c r="A6" s="32">
        <v>41789</v>
      </c>
      <c r="B6" s="39"/>
      <c r="C6" s="39"/>
      <c r="D6" s="39"/>
      <c r="E6" s="39"/>
      <c r="F6" s="39"/>
      <c r="G6" s="39"/>
      <c r="J6" s="39"/>
      <c r="K6" s="39"/>
      <c r="L6" s="39"/>
      <c r="M6" s="39"/>
      <c r="N6" s="39"/>
      <c r="O6" s="39"/>
      <c r="P6" s="39"/>
      <c r="Q6" s="39"/>
      <c r="R6" s="40"/>
      <c r="S6" s="25" t="s">
        <v>13</v>
      </c>
      <c r="T6" s="42">
        <v>1.6500000000000001E-2</v>
      </c>
    </row>
    <row r="7" spans="1:24" ht="18" x14ac:dyDescent="0.4">
      <c r="A7" s="32">
        <v>41820</v>
      </c>
      <c r="B7" s="39"/>
      <c r="C7" s="39"/>
      <c r="D7" s="39"/>
      <c r="E7" s="39"/>
      <c r="F7" s="39"/>
      <c r="G7" s="39"/>
      <c r="J7" s="39"/>
      <c r="K7" s="39"/>
      <c r="L7" s="39"/>
      <c r="M7" s="39"/>
      <c r="N7" s="39"/>
      <c r="O7" s="39"/>
      <c r="P7" s="39"/>
      <c r="Q7" s="39"/>
      <c r="R7" s="40"/>
      <c r="S7" s="25" t="s">
        <v>14</v>
      </c>
      <c r="T7" s="44"/>
    </row>
    <row r="8" spans="1:24" ht="18" x14ac:dyDescent="0.35">
      <c r="A8" s="32">
        <v>41851</v>
      </c>
      <c r="B8" s="39"/>
      <c r="C8" s="39"/>
      <c r="D8" s="39"/>
      <c r="E8" s="39"/>
      <c r="F8" s="39"/>
      <c r="G8" s="39"/>
      <c r="J8" s="39"/>
      <c r="K8" s="39"/>
      <c r="L8" s="39"/>
      <c r="M8" s="39"/>
      <c r="N8" s="39"/>
      <c r="O8" s="39"/>
      <c r="P8" s="39"/>
      <c r="Q8" s="39"/>
      <c r="R8" s="40"/>
    </row>
    <row r="9" spans="1:24" ht="18" x14ac:dyDescent="0.4">
      <c r="A9" s="32">
        <v>41880</v>
      </c>
      <c r="B9" s="39"/>
      <c r="C9" s="39"/>
      <c r="D9" s="39"/>
      <c r="E9" s="39"/>
      <c r="F9" s="39"/>
      <c r="G9" s="39"/>
      <c r="J9" s="39"/>
      <c r="K9" s="39"/>
      <c r="L9" s="39"/>
      <c r="M9" s="39"/>
      <c r="N9" s="39"/>
      <c r="O9" s="39"/>
      <c r="P9" s="39"/>
      <c r="Q9" s="39"/>
      <c r="R9" s="40"/>
      <c r="S9" s="25" t="s">
        <v>34</v>
      </c>
      <c r="T9" s="45"/>
    </row>
    <row r="10" spans="1:24" ht="18" x14ac:dyDescent="0.4">
      <c r="A10" s="32">
        <v>41912</v>
      </c>
      <c r="B10" s="39"/>
      <c r="C10" s="39"/>
      <c r="D10" s="39"/>
      <c r="E10" s="39"/>
      <c r="F10" s="39"/>
      <c r="G10" s="39"/>
      <c r="J10" s="39"/>
      <c r="K10" s="39"/>
      <c r="L10" s="39"/>
      <c r="M10" s="39"/>
      <c r="N10" s="39"/>
      <c r="O10" s="39"/>
      <c r="P10" s="39"/>
      <c r="Q10" s="39"/>
      <c r="R10" s="40"/>
      <c r="S10" s="25" t="s">
        <v>35</v>
      </c>
      <c r="T10" s="45"/>
    </row>
    <row r="11" spans="1:24" ht="18" x14ac:dyDescent="0.35">
      <c r="A11" s="32">
        <v>41943</v>
      </c>
      <c r="B11" s="39"/>
      <c r="C11" s="39"/>
      <c r="D11" s="39"/>
      <c r="E11" s="39"/>
      <c r="F11" s="39"/>
      <c r="G11" s="39"/>
      <c r="J11" s="39"/>
      <c r="K11" s="39"/>
      <c r="L11" s="39"/>
      <c r="M11" s="39"/>
      <c r="N11" s="39"/>
      <c r="O11" s="39"/>
      <c r="P11" s="39"/>
      <c r="Q11" s="39"/>
      <c r="R11" s="40"/>
    </row>
    <row r="12" spans="1:24" ht="18" x14ac:dyDescent="0.35">
      <c r="A12" s="32">
        <v>41971</v>
      </c>
      <c r="B12" s="39"/>
      <c r="C12" s="39"/>
      <c r="D12" s="39"/>
      <c r="E12" s="39"/>
      <c r="F12" s="39"/>
      <c r="G12" s="39"/>
      <c r="J12" s="39"/>
      <c r="K12" s="39"/>
      <c r="L12" s="39"/>
      <c r="M12" s="39"/>
      <c r="N12" s="39"/>
      <c r="O12" s="39"/>
      <c r="P12" s="39"/>
      <c r="Q12" s="39"/>
      <c r="R12" s="40"/>
    </row>
    <row r="13" spans="1:24" ht="18" x14ac:dyDescent="0.35">
      <c r="A13" s="32">
        <v>42004</v>
      </c>
      <c r="B13" s="39"/>
      <c r="C13" s="39"/>
      <c r="D13" s="39"/>
      <c r="E13" s="39"/>
      <c r="F13" s="39"/>
      <c r="G13" s="39"/>
      <c r="J13" s="39"/>
      <c r="K13" s="39"/>
      <c r="L13" s="39"/>
      <c r="M13" s="39"/>
      <c r="N13" s="39"/>
      <c r="O13" s="39"/>
      <c r="P13" s="39"/>
      <c r="Q13" s="39"/>
      <c r="R13" s="40"/>
    </row>
    <row r="14" spans="1:24" ht="18" x14ac:dyDescent="0.35">
      <c r="A14" s="32">
        <v>42034</v>
      </c>
      <c r="B14" s="39"/>
      <c r="C14" s="39"/>
      <c r="D14" s="39"/>
      <c r="E14" s="39"/>
      <c r="F14" s="39"/>
      <c r="G14" s="39"/>
      <c r="J14" s="39"/>
      <c r="K14" s="39"/>
      <c r="L14" s="39"/>
      <c r="M14" s="39"/>
      <c r="N14" s="39"/>
      <c r="O14" s="39"/>
      <c r="P14" s="39"/>
      <c r="Q14" s="39"/>
      <c r="R14" s="40"/>
    </row>
    <row r="15" spans="1:24" ht="18" x14ac:dyDescent="0.35">
      <c r="A15" s="32">
        <v>42062</v>
      </c>
      <c r="B15" s="39"/>
      <c r="C15" s="39"/>
      <c r="D15" s="39"/>
      <c r="E15" s="39"/>
      <c r="F15" s="39"/>
      <c r="G15" s="39"/>
      <c r="J15" s="39"/>
      <c r="K15" s="39"/>
      <c r="L15" s="39"/>
      <c r="M15" s="39"/>
      <c r="N15" s="39"/>
      <c r="O15" s="39"/>
      <c r="P15" s="39"/>
      <c r="Q15" s="39"/>
      <c r="R15" s="40"/>
    </row>
    <row r="16" spans="1:24" ht="18" x14ac:dyDescent="0.35">
      <c r="A16" s="32">
        <v>42094</v>
      </c>
      <c r="B16" s="39"/>
      <c r="C16" s="39"/>
      <c r="D16" s="39"/>
      <c r="E16" s="39"/>
      <c r="F16" s="39"/>
      <c r="G16" s="39"/>
      <c r="J16" s="39"/>
      <c r="K16" s="39"/>
      <c r="L16" s="39"/>
      <c r="M16" s="39"/>
      <c r="N16" s="39"/>
      <c r="O16" s="39"/>
      <c r="P16" s="39"/>
      <c r="Q16" s="39"/>
      <c r="R16" s="40"/>
    </row>
    <row r="17" spans="1:18" ht="18" x14ac:dyDescent="0.35">
      <c r="A17" s="32">
        <v>42124</v>
      </c>
      <c r="B17" s="39"/>
      <c r="C17" s="39"/>
      <c r="D17" s="39"/>
      <c r="E17" s="39"/>
      <c r="F17" s="39"/>
      <c r="G17" s="39"/>
      <c r="J17" s="39"/>
      <c r="K17" s="39"/>
      <c r="L17" s="39"/>
      <c r="M17" s="39"/>
      <c r="N17" s="39"/>
      <c r="O17" s="39"/>
      <c r="P17" s="39"/>
      <c r="Q17" s="39"/>
      <c r="R17" s="40"/>
    </row>
    <row r="18" spans="1:18" ht="18" x14ac:dyDescent="0.35">
      <c r="A18" s="32">
        <v>42153</v>
      </c>
      <c r="B18" s="39"/>
      <c r="C18" s="39"/>
      <c r="D18" s="39"/>
      <c r="E18" s="39"/>
      <c r="F18" s="39"/>
      <c r="G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1:18" ht="18" x14ac:dyDescent="0.35">
      <c r="A19" s="32">
        <v>42185</v>
      </c>
      <c r="B19" s="39"/>
      <c r="C19" s="39"/>
      <c r="D19" s="39"/>
      <c r="E19" s="39"/>
      <c r="F19" s="39"/>
      <c r="G19" s="39"/>
      <c r="J19" s="39"/>
      <c r="K19" s="39"/>
      <c r="L19" s="39"/>
      <c r="M19" s="39"/>
      <c r="N19" s="39"/>
      <c r="O19" s="39"/>
      <c r="P19" s="39"/>
      <c r="Q19" s="39"/>
      <c r="R19" s="40"/>
    </row>
    <row r="20" spans="1:18" ht="18" x14ac:dyDescent="0.35">
      <c r="A20" s="32">
        <v>42216</v>
      </c>
      <c r="B20" s="39"/>
      <c r="C20" s="39"/>
      <c r="D20" s="39"/>
      <c r="E20" s="39"/>
      <c r="F20" s="39"/>
      <c r="G20" s="39"/>
      <c r="J20" s="39"/>
      <c r="K20" s="39"/>
      <c r="L20" s="39"/>
      <c r="M20" s="39"/>
      <c r="N20" s="39"/>
      <c r="O20" s="39"/>
      <c r="P20" s="39"/>
      <c r="Q20" s="39"/>
      <c r="R20" s="40"/>
    </row>
    <row r="21" spans="1:18" ht="18" x14ac:dyDescent="0.35">
      <c r="A21" s="32">
        <v>42247</v>
      </c>
      <c r="B21" s="39"/>
      <c r="C21" s="39"/>
      <c r="D21" s="39"/>
      <c r="E21" s="39"/>
      <c r="F21" s="39"/>
      <c r="G21" s="39"/>
      <c r="J21" s="39"/>
      <c r="K21" s="39"/>
      <c r="L21" s="39"/>
      <c r="M21" s="39"/>
      <c r="N21" s="39"/>
      <c r="O21" s="39"/>
      <c r="P21" s="39"/>
      <c r="Q21" s="39"/>
      <c r="R21" s="40"/>
    </row>
    <row r="22" spans="1:18" ht="18" x14ac:dyDescent="0.35">
      <c r="A22" s="32">
        <v>42277</v>
      </c>
      <c r="B22" s="39"/>
      <c r="C22" s="39"/>
      <c r="D22" s="39"/>
      <c r="E22" s="39"/>
      <c r="F22" s="39"/>
      <c r="G22" s="39"/>
      <c r="J22" s="39"/>
      <c r="K22" s="39"/>
      <c r="L22" s="39"/>
      <c r="M22" s="39"/>
      <c r="N22" s="39"/>
      <c r="O22" s="39"/>
      <c r="P22" s="39"/>
      <c r="Q22" s="39"/>
      <c r="R22" s="40"/>
    </row>
    <row r="23" spans="1:18" ht="18" x14ac:dyDescent="0.35">
      <c r="A23" s="32">
        <v>42307</v>
      </c>
      <c r="B23" s="39"/>
      <c r="C23" s="39"/>
      <c r="D23" s="39"/>
      <c r="E23" s="39"/>
      <c r="F23" s="39"/>
      <c r="G23" s="39"/>
      <c r="J23" s="39"/>
      <c r="K23" s="39"/>
      <c r="L23" s="39"/>
      <c r="M23" s="39"/>
      <c r="N23" s="39"/>
      <c r="O23" s="39"/>
      <c r="P23" s="39"/>
      <c r="Q23" s="39"/>
      <c r="R23" s="40"/>
    </row>
    <row r="24" spans="1:18" ht="18" x14ac:dyDescent="0.35">
      <c r="A24" s="32">
        <v>42338</v>
      </c>
      <c r="B24" s="39"/>
      <c r="C24" s="39"/>
      <c r="D24" s="39"/>
      <c r="E24" s="39"/>
      <c r="F24" s="39"/>
      <c r="G24" s="39"/>
      <c r="J24" s="39"/>
      <c r="K24" s="39"/>
      <c r="L24" s="39"/>
      <c r="M24" s="39"/>
      <c r="N24" s="39"/>
      <c r="O24" s="39"/>
      <c r="P24" s="39"/>
      <c r="Q24" s="39"/>
      <c r="R24" s="40"/>
    </row>
    <row r="25" spans="1:18" ht="18" x14ac:dyDescent="0.35">
      <c r="A25" s="32">
        <v>42369</v>
      </c>
      <c r="B25" s="39"/>
      <c r="C25" s="39"/>
      <c r="D25" s="39"/>
      <c r="E25" s="39"/>
      <c r="F25" s="39"/>
      <c r="G25" s="39"/>
      <c r="J25" s="39"/>
      <c r="K25" s="39"/>
      <c r="L25" s="39"/>
      <c r="M25" s="39"/>
      <c r="N25" s="39"/>
      <c r="O25" s="39"/>
      <c r="P25" s="39"/>
      <c r="Q25" s="39"/>
      <c r="R25" s="40"/>
    </row>
    <row r="26" spans="1:18" ht="18" x14ac:dyDescent="0.35">
      <c r="A26" s="32">
        <v>42398</v>
      </c>
      <c r="B26" s="39"/>
      <c r="C26" s="39"/>
      <c r="D26" s="39"/>
      <c r="E26" s="39"/>
      <c r="F26" s="39"/>
      <c r="G26" s="39"/>
      <c r="J26" s="39"/>
      <c r="K26" s="39"/>
      <c r="L26" s="39"/>
      <c r="M26" s="39"/>
      <c r="N26" s="39"/>
      <c r="O26" s="39"/>
      <c r="P26" s="39"/>
      <c r="Q26" s="39"/>
      <c r="R26" s="40"/>
    </row>
    <row r="27" spans="1:18" ht="18" x14ac:dyDescent="0.35">
      <c r="A27" s="32">
        <v>42429</v>
      </c>
      <c r="B27" s="39"/>
      <c r="C27" s="39"/>
      <c r="D27" s="39"/>
      <c r="E27" s="39"/>
      <c r="F27" s="39"/>
      <c r="G27" s="39"/>
      <c r="J27" s="39"/>
      <c r="K27" s="39"/>
      <c r="L27" s="39"/>
      <c r="M27" s="39"/>
      <c r="N27" s="39"/>
      <c r="O27" s="39"/>
      <c r="P27" s="39"/>
      <c r="Q27" s="39"/>
      <c r="R27" s="40"/>
    </row>
    <row r="28" spans="1:18" ht="18" x14ac:dyDescent="0.35">
      <c r="A28" s="32">
        <v>42460</v>
      </c>
      <c r="B28" s="39"/>
      <c r="C28" s="39"/>
      <c r="D28" s="39"/>
      <c r="E28" s="39"/>
      <c r="F28" s="39"/>
      <c r="G28" s="39"/>
      <c r="J28" s="39"/>
      <c r="K28" s="39"/>
      <c r="L28" s="39"/>
      <c r="M28" s="39"/>
      <c r="N28" s="39"/>
      <c r="O28" s="39"/>
      <c r="P28" s="39"/>
      <c r="Q28" s="39"/>
      <c r="R28" s="40"/>
    </row>
    <row r="29" spans="1:18" ht="18" x14ac:dyDescent="0.35">
      <c r="A29" s="32">
        <v>42489</v>
      </c>
      <c r="B29" s="39"/>
      <c r="C29" s="39"/>
      <c r="D29" s="39"/>
      <c r="E29" s="39"/>
      <c r="F29" s="39"/>
      <c r="G29" s="39"/>
      <c r="J29" s="39"/>
      <c r="K29" s="39"/>
      <c r="L29" s="39"/>
      <c r="M29" s="39"/>
      <c r="N29" s="39"/>
      <c r="O29" s="39"/>
      <c r="P29" s="39"/>
      <c r="Q29" s="39"/>
      <c r="R29" s="40"/>
    </row>
    <row r="30" spans="1:18" ht="18" x14ac:dyDescent="0.35">
      <c r="A30" s="32">
        <v>42521</v>
      </c>
      <c r="B30" s="39"/>
      <c r="C30" s="39"/>
      <c r="D30" s="39"/>
      <c r="E30" s="39"/>
      <c r="F30" s="39"/>
      <c r="G30" s="39"/>
      <c r="J30" s="39"/>
      <c r="K30" s="39"/>
      <c r="L30" s="39"/>
      <c r="M30" s="39"/>
      <c r="N30" s="39"/>
      <c r="O30" s="39"/>
      <c r="P30" s="39"/>
      <c r="Q30" s="39"/>
      <c r="R30" s="40"/>
    </row>
    <row r="31" spans="1:18" ht="18" x14ac:dyDescent="0.35">
      <c r="A31" s="32">
        <v>42551</v>
      </c>
      <c r="B31" s="39"/>
      <c r="C31" s="39"/>
      <c r="D31" s="39"/>
      <c r="E31" s="39"/>
      <c r="F31" s="39"/>
      <c r="G31" s="39"/>
      <c r="J31" s="39"/>
      <c r="K31" s="39"/>
      <c r="L31" s="39"/>
      <c r="M31" s="39"/>
      <c r="N31" s="39"/>
      <c r="O31" s="39"/>
      <c r="P31" s="39"/>
      <c r="Q31" s="39"/>
      <c r="R31" s="40"/>
    </row>
    <row r="32" spans="1:18" ht="18" x14ac:dyDescent="0.35">
      <c r="A32" s="32">
        <v>42580</v>
      </c>
      <c r="B32" s="39"/>
      <c r="C32" s="39"/>
      <c r="D32" s="39"/>
      <c r="E32" s="39"/>
      <c r="F32" s="39"/>
      <c r="G32" s="39"/>
      <c r="J32" s="39"/>
      <c r="K32" s="39"/>
      <c r="L32" s="39"/>
      <c r="M32" s="39"/>
      <c r="N32" s="39"/>
      <c r="O32" s="39"/>
      <c r="P32" s="39"/>
      <c r="Q32" s="39"/>
      <c r="R32" s="40"/>
    </row>
    <row r="33" spans="1:18" ht="18" x14ac:dyDescent="0.35">
      <c r="A33" s="32">
        <v>42613</v>
      </c>
      <c r="B33" s="39"/>
      <c r="C33" s="39"/>
      <c r="D33" s="39"/>
      <c r="E33" s="39"/>
      <c r="F33" s="39"/>
      <c r="G33" s="39"/>
      <c r="J33" s="39"/>
      <c r="K33" s="39"/>
      <c r="L33" s="39"/>
      <c r="M33" s="39"/>
      <c r="N33" s="39"/>
      <c r="O33" s="39"/>
      <c r="P33" s="39"/>
      <c r="Q33" s="39"/>
      <c r="R33" s="40"/>
    </row>
    <row r="34" spans="1:18" ht="18" x14ac:dyDescent="0.35">
      <c r="A34" s="32">
        <v>42643</v>
      </c>
      <c r="B34" s="39"/>
      <c r="C34" s="39"/>
      <c r="D34" s="39"/>
      <c r="E34" s="39"/>
      <c r="F34" s="39"/>
      <c r="G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 ht="18" x14ac:dyDescent="0.35">
      <c r="A35" s="32">
        <v>42674</v>
      </c>
      <c r="B35" s="39"/>
      <c r="C35" s="39"/>
      <c r="D35" s="39"/>
      <c r="E35" s="39"/>
      <c r="F35" s="39"/>
      <c r="G35" s="39"/>
      <c r="J35" s="39"/>
      <c r="K35" s="39"/>
      <c r="L35" s="39"/>
      <c r="M35" s="39"/>
      <c r="N35" s="39"/>
      <c r="O35" s="39"/>
      <c r="P35" s="39"/>
      <c r="Q35" s="39"/>
      <c r="R35" s="40"/>
    </row>
    <row r="36" spans="1:18" ht="18" x14ac:dyDescent="0.35">
      <c r="A36" s="32">
        <v>42704</v>
      </c>
      <c r="B36" s="39"/>
      <c r="C36" s="39"/>
      <c r="D36" s="39"/>
      <c r="E36" s="39"/>
      <c r="F36" s="39"/>
      <c r="G36" s="39"/>
      <c r="J36" s="39"/>
      <c r="K36" s="39"/>
      <c r="L36" s="39"/>
      <c r="M36" s="39"/>
      <c r="N36" s="39"/>
      <c r="O36" s="39"/>
      <c r="P36" s="39"/>
      <c r="Q36" s="39"/>
      <c r="R36" s="40"/>
    </row>
    <row r="37" spans="1:18" ht="18" x14ac:dyDescent="0.35">
      <c r="A37" s="32">
        <v>42734</v>
      </c>
      <c r="B37" s="39"/>
      <c r="C37" s="39"/>
      <c r="D37" s="39"/>
      <c r="E37" s="39"/>
      <c r="F37" s="39"/>
      <c r="G37" s="39"/>
      <c r="J37" s="39"/>
      <c r="K37" s="39"/>
      <c r="L37" s="39"/>
      <c r="M37" s="39"/>
      <c r="N37" s="39"/>
      <c r="O37" s="39"/>
      <c r="P37" s="39"/>
      <c r="Q37" s="39"/>
      <c r="R37" s="40"/>
    </row>
    <row r="38" spans="1:18" x14ac:dyDescent="0.35">
      <c r="J38" s="39"/>
      <c r="K38" s="39"/>
      <c r="L38" s="39"/>
      <c r="M38" s="39"/>
      <c r="N38" s="39"/>
      <c r="O38" s="39"/>
      <c r="P38" s="39"/>
      <c r="Q38" s="39"/>
      <c r="R38" s="46"/>
    </row>
    <row r="39" spans="1:18" x14ac:dyDescent="0.35">
      <c r="J39" s="39"/>
      <c r="K39" s="39"/>
      <c r="L39" s="39"/>
      <c r="M39" s="39"/>
      <c r="N39" s="39"/>
      <c r="O39" s="39"/>
      <c r="P39" s="39"/>
      <c r="Q39" s="39"/>
      <c r="R39" s="46"/>
    </row>
    <row r="40" spans="1:18" x14ac:dyDescent="0.35">
      <c r="J40" s="39"/>
      <c r="K40" s="39"/>
      <c r="L40" s="39"/>
      <c r="M40" s="39"/>
      <c r="N40" s="39"/>
      <c r="O40" s="39"/>
      <c r="P40" s="39"/>
      <c r="Q40" s="39"/>
      <c r="R40" s="46"/>
    </row>
    <row r="41" spans="1:18" x14ac:dyDescent="0.35">
      <c r="J41" s="39"/>
      <c r="K41" s="39"/>
      <c r="L41" s="39"/>
      <c r="M41" s="39"/>
      <c r="N41" s="39"/>
      <c r="O41" s="39"/>
      <c r="P41" s="39"/>
      <c r="Q41" s="39"/>
      <c r="R41" s="46"/>
    </row>
    <row r="42" spans="1:18" x14ac:dyDescent="0.35">
      <c r="J42" s="39"/>
      <c r="K42" s="39"/>
      <c r="L42" s="39"/>
      <c r="M42" s="39"/>
      <c r="N42" s="39"/>
      <c r="O42" s="39"/>
      <c r="P42" s="39"/>
      <c r="Q42" s="39"/>
      <c r="R42" s="46"/>
    </row>
    <row r="43" spans="1:18" x14ac:dyDescent="0.35">
      <c r="J43" s="39"/>
      <c r="K43" s="39"/>
      <c r="L43" s="39"/>
      <c r="M43" s="39"/>
      <c r="N43" s="39"/>
      <c r="O43" s="39"/>
      <c r="P43" s="39"/>
      <c r="Q43" s="39"/>
      <c r="R43" s="46"/>
    </row>
    <row r="44" spans="1:18" x14ac:dyDescent="0.35">
      <c r="J44" s="39"/>
      <c r="K44" s="39"/>
      <c r="L44" s="39"/>
      <c r="M44" s="39"/>
      <c r="N44" s="39"/>
      <c r="O44" s="39"/>
      <c r="P44" s="39"/>
      <c r="Q44" s="39"/>
      <c r="R44" s="46"/>
    </row>
    <row r="45" spans="1:18" x14ac:dyDescent="0.35">
      <c r="J45" s="39"/>
      <c r="K45" s="39"/>
      <c r="L45" s="39"/>
      <c r="M45" s="39"/>
      <c r="N45" s="39"/>
      <c r="O45" s="39"/>
      <c r="P45" s="39"/>
      <c r="Q45" s="39"/>
      <c r="R45" s="46"/>
    </row>
    <row r="46" spans="1:18" x14ac:dyDescent="0.35">
      <c r="J46" s="39"/>
      <c r="K46" s="39"/>
      <c r="L46" s="39"/>
      <c r="M46" s="39"/>
      <c r="N46" s="39"/>
      <c r="O46" s="39"/>
      <c r="P46" s="39"/>
      <c r="Q46" s="39"/>
      <c r="R46" s="46"/>
    </row>
    <row r="47" spans="1:18" x14ac:dyDescent="0.35">
      <c r="J47" s="39"/>
      <c r="K47" s="39"/>
      <c r="L47" s="39"/>
      <c r="M47" s="39"/>
      <c r="N47" s="39"/>
      <c r="O47" s="39"/>
      <c r="P47" s="39"/>
      <c r="Q47" s="39"/>
      <c r="R47" s="46"/>
    </row>
    <row r="48" spans="1:18" x14ac:dyDescent="0.35">
      <c r="J48" s="39"/>
      <c r="K48" s="39"/>
      <c r="L48" s="39"/>
      <c r="M48" s="39"/>
      <c r="N48" s="39"/>
      <c r="O48" s="39"/>
      <c r="P48" s="39"/>
      <c r="Q48" s="39"/>
      <c r="R48" s="46"/>
    </row>
    <row r="49" spans="10:18" x14ac:dyDescent="0.35">
      <c r="J49" s="39"/>
      <c r="K49" s="39"/>
      <c r="L49" s="39"/>
      <c r="M49" s="39"/>
      <c r="N49" s="39"/>
      <c r="O49" s="39"/>
      <c r="P49" s="39"/>
      <c r="Q49" s="39"/>
      <c r="R49" s="46"/>
    </row>
    <row r="50" spans="10:18" x14ac:dyDescent="0.35">
      <c r="J50" s="39"/>
      <c r="K50" s="39"/>
      <c r="L50" s="39"/>
      <c r="M50" s="39"/>
      <c r="N50" s="39"/>
      <c r="O50" s="39"/>
      <c r="P50" s="39"/>
      <c r="Q50" s="39"/>
      <c r="R50" s="46"/>
    </row>
    <row r="51" spans="10:18" x14ac:dyDescent="0.35">
      <c r="J51" s="39"/>
      <c r="K51" s="39"/>
      <c r="L51" s="39"/>
      <c r="M51" s="39"/>
      <c r="N51" s="39"/>
      <c r="O51" s="39"/>
      <c r="P51" s="39"/>
      <c r="Q51" s="39"/>
      <c r="R51" s="46"/>
    </row>
    <row r="52" spans="10:18" x14ac:dyDescent="0.35">
      <c r="J52" s="39"/>
      <c r="K52" s="39"/>
      <c r="L52" s="39"/>
      <c r="M52" s="39"/>
      <c r="N52" s="39"/>
      <c r="O52" s="39"/>
      <c r="P52" s="39"/>
      <c r="Q52" s="39"/>
      <c r="R52" s="46"/>
    </row>
    <row r="53" spans="10:18" x14ac:dyDescent="0.35">
      <c r="J53" s="39"/>
      <c r="K53" s="39"/>
      <c r="L53" s="39"/>
      <c r="M53" s="39"/>
      <c r="N53" s="39"/>
      <c r="O53" s="39"/>
      <c r="P53" s="39"/>
      <c r="Q53" s="39"/>
      <c r="R53" s="46"/>
    </row>
    <row r="54" spans="10:18" x14ac:dyDescent="0.35">
      <c r="J54" s="39"/>
      <c r="K54" s="39"/>
      <c r="L54" s="39"/>
      <c r="M54" s="39"/>
      <c r="N54" s="39"/>
      <c r="O54" s="39"/>
      <c r="P54" s="39"/>
      <c r="Q54" s="39"/>
      <c r="R54" s="46"/>
    </row>
    <row r="55" spans="10:18" x14ac:dyDescent="0.35">
      <c r="J55" s="39"/>
      <c r="K55" s="39"/>
      <c r="L55" s="39"/>
      <c r="M55" s="39"/>
      <c r="N55" s="39"/>
      <c r="O55" s="39"/>
      <c r="P55" s="39"/>
      <c r="Q55" s="39"/>
      <c r="R55" s="46"/>
    </row>
    <row r="56" spans="10:18" x14ac:dyDescent="0.35">
      <c r="J56" s="39"/>
      <c r="K56" s="39"/>
      <c r="L56" s="39"/>
      <c r="M56" s="39"/>
      <c r="N56" s="39"/>
      <c r="O56" s="39"/>
      <c r="P56" s="39"/>
      <c r="Q56" s="39"/>
      <c r="R56" s="46"/>
    </row>
    <row r="57" spans="10:18" x14ac:dyDescent="0.35">
      <c r="J57" s="39"/>
      <c r="K57" s="39"/>
      <c r="L57" s="39"/>
      <c r="M57" s="39"/>
      <c r="N57" s="39"/>
      <c r="O57" s="39"/>
      <c r="P57" s="39"/>
      <c r="Q57" s="39"/>
      <c r="R57" s="46"/>
    </row>
    <row r="58" spans="10:18" x14ac:dyDescent="0.35">
      <c r="J58" s="39"/>
      <c r="K58" s="39"/>
      <c r="L58" s="39"/>
      <c r="M58" s="39"/>
      <c r="N58" s="39"/>
      <c r="O58" s="39"/>
      <c r="P58" s="39"/>
      <c r="Q58" s="39"/>
      <c r="R58" s="46"/>
    </row>
    <row r="59" spans="10:18" x14ac:dyDescent="0.35">
      <c r="J59" s="39"/>
      <c r="K59" s="39"/>
      <c r="L59" s="39"/>
      <c r="M59" s="39"/>
      <c r="N59" s="39"/>
      <c r="O59" s="39"/>
      <c r="P59" s="39"/>
      <c r="Q59" s="39"/>
      <c r="R59" s="46"/>
    </row>
    <row r="60" spans="10:18" x14ac:dyDescent="0.35">
      <c r="J60" s="39"/>
      <c r="K60" s="39"/>
      <c r="L60" s="39"/>
      <c r="M60" s="39"/>
      <c r="N60" s="39"/>
      <c r="O60" s="39"/>
      <c r="P60" s="39"/>
      <c r="Q60" s="39"/>
      <c r="R60" s="46"/>
    </row>
    <row r="61" spans="10:18" x14ac:dyDescent="0.35">
      <c r="J61" s="39"/>
      <c r="K61" s="39"/>
      <c r="L61" s="39"/>
      <c r="M61" s="39"/>
      <c r="N61" s="39"/>
      <c r="O61" s="39"/>
      <c r="P61" s="39"/>
      <c r="Q61" s="39"/>
      <c r="R61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0927-B5DF-49D1-9611-163BBF74BA2E}">
  <sheetPr codeName="Sheet3"/>
  <dimension ref="A1:X61"/>
  <sheetViews>
    <sheetView zoomScale="85" zoomScaleNormal="85" workbookViewId="0"/>
  </sheetViews>
  <sheetFormatPr defaultColWidth="9.1796875" defaultRowHeight="17.5" x14ac:dyDescent="0.35"/>
  <cols>
    <col min="1" max="1" width="15.453125" style="1" bestFit="1" customWidth="1"/>
    <col min="2" max="2" width="19.7265625" style="1" bestFit="1" customWidth="1"/>
    <col min="3" max="3" width="15" style="1" bestFit="1" customWidth="1"/>
    <col min="4" max="4" width="5.54296875" style="1" bestFit="1" customWidth="1"/>
    <col min="5" max="5" width="7" style="1" bestFit="1" customWidth="1"/>
    <col min="6" max="6" width="24.1796875" style="1" bestFit="1" customWidth="1"/>
    <col min="7" max="7" width="9.26953125" style="1" bestFit="1" customWidth="1"/>
    <col min="8" max="8" width="2.54296875" style="1" customWidth="1"/>
    <col min="9" max="9" width="19.1796875" style="1" bestFit="1" customWidth="1"/>
    <col min="10" max="15" width="9.1796875" style="1"/>
    <col min="16" max="16" width="2.54296875" style="1" customWidth="1"/>
    <col min="17" max="17" width="34.453125" style="1" bestFit="1" customWidth="1"/>
    <col min="18" max="18" width="8.453125" style="47" customWidth="1"/>
    <col min="19" max="19" width="52.26953125" style="1" bestFit="1" customWidth="1"/>
    <col min="20" max="20" width="9.453125" style="1" bestFit="1" customWidth="1"/>
    <col min="21" max="21" width="5.1796875" style="1" customWidth="1"/>
    <col min="22" max="22" width="9.1796875" style="1"/>
    <col min="23" max="23" width="32.54296875" style="1" bestFit="1" customWidth="1"/>
    <col min="24" max="24" width="43.81640625" style="1" bestFit="1" customWidth="1"/>
    <col min="25" max="16384" width="9.1796875" style="1"/>
  </cols>
  <sheetData>
    <row r="1" spans="1:24" ht="18" x14ac:dyDescent="0.4">
      <c r="B1" s="35" t="s">
        <v>36</v>
      </c>
      <c r="C1" s="35" t="s">
        <v>0</v>
      </c>
      <c r="D1" s="35" t="s">
        <v>1</v>
      </c>
      <c r="E1" s="35" t="s">
        <v>2</v>
      </c>
      <c r="F1" s="35" t="s">
        <v>37</v>
      </c>
      <c r="G1" s="35" t="s">
        <v>3</v>
      </c>
      <c r="I1" s="25" t="s">
        <v>28</v>
      </c>
      <c r="J1" s="38"/>
      <c r="K1" s="38"/>
      <c r="L1" s="38"/>
      <c r="M1" s="38"/>
      <c r="N1" s="38"/>
      <c r="O1" s="38"/>
      <c r="P1" s="39"/>
      <c r="Q1" s="25" t="s">
        <v>32</v>
      </c>
      <c r="R1" s="40"/>
      <c r="S1" s="41" t="s">
        <v>17</v>
      </c>
      <c r="T1" s="42"/>
      <c r="W1" s="25" t="s">
        <v>31</v>
      </c>
      <c r="X1" s="25" t="s">
        <v>33</v>
      </c>
    </row>
    <row r="2" spans="1:24" ht="18" x14ac:dyDescent="0.4">
      <c r="A2" s="32">
        <v>36556</v>
      </c>
      <c r="B2" s="39"/>
      <c r="C2" s="39"/>
      <c r="D2" s="39"/>
      <c r="E2" s="39"/>
      <c r="F2" s="39"/>
      <c r="G2" s="39"/>
      <c r="J2" s="39"/>
      <c r="K2" s="39"/>
      <c r="L2" s="39"/>
      <c r="M2" s="39"/>
      <c r="N2" s="39"/>
      <c r="O2" s="39"/>
      <c r="P2" s="39"/>
      <c r="Q2" s="39"/>
      <c r="R2" s="40"/>
      <c r="S2" s="25" t="s">
        <v>30</v>
      </c>
      <c r="T2" s="42"/>
    </row>
    <row r="3" spans="1:24" ht="18" x14ac:dyDescent="0.4">
      <c r="A3" s="32">
        <v>36584</v>
      </c>
      <c r="B3" s="39"/>
      <c r="C3" s="39"/>
      <c r="D3" s="39"/>
      <c r="E3" s="39"/>
      <c r="F3" s="39"/>
      <c r="G3" s="39"/>
      <c r="J3" s="39"/>
      <c r="K3" s="39"/>
      <c r="L3" s="39"/>
      <c r="M3" s="39"/>
      <c r="N3" s="39"/>
      <c r="O3" s="39"/>
      <c r="P3" s="39"/>
      <c r="Q3" s="39"/>
      <c r="R3" s="40"/>
      <c r="S3" s="25" t="s">
        <v>31</v>
      </c>
      <c r="T3" s="42"/>
    </row>
    <row r="4" spans="1:24" ht="18" x14ac:dyDescent="0.4">
      <c r="A4" s="32">
        <v>36615</v>
      </c>
      <c r="B4" s="39"/>
      <c r="C4" s="39"/>
      <c r="D4" s="39"/>
      <c r="E4" s="39"/>
      <c r="F4" s="39"/>
      <c r="G4" s="39"/>
      <c r="J4" s="39"/>
      <c r="K4" s="39"/>
      <c r="L4" s="39"/>
      <c r="M4" s="39"/>
      <c r="N4" s="39"/>
      <c r="O4" s="39"/>
      <c r="P4" s="39"/>
      <c r="Q4" s="39"/>
      <c r="R4" s="40"/>
      <c r="S4" s="25" t="s">
        <v>29</v>
      </c>
      <c r="T4" s="43"/>
    </row>
    <row r="5" spans="1:24" ht="18" x14ac:dyDescent="0.4">
      <c r="A5" s="32">
        <v>36645</v>
      </c>
      <c r="B5" s="39"/>
      <c r="C5" s="39"/>
      <c r="D5" s="39"/>
      <c r="E5" s="39"/>
      <c r="F5" s="39"/>
      <c r="G5" s="39"/>
      <c r="J5" s="39"/>
      <c r="K5" s="39"/>
      <c r="L5" s="39"/>
      <c r="M5" s="39"/>
      <c r="N5" s="39"/>
      <c r="O5" s="39"/>
      <c r="P5" s="39"/>
      <c r="Q5" s="39"/>
      <c r="R5" s="40"/>
      <c r="S5" s="25" t="s">
        <v>33</v>
      </c>
      <c r="T5" s="42"/>
    </row>
    <row r="6" spans="1:24" ht="18" x14ac:dyDescent="0.4">
      <c r="A6" s="32">
        <v>36676</v>
      </c>
      <c r="B6" s="39"/>
      <c r="C6" s="39"/>
      <c r="D6" s="39"/>
      <c r="E6" s="39"/>
      <c r="F6" s="39"/>
      <c r="G6" s="39"/>
      <c r="J6" s="39"/>
      <c r="K6" s="39"/>
      <c r="L6" s="39"/>
      <c r="M6" s="39"/>
      <c r="N6" s="39"/>
      <c r="O6" s="39"/>
      <c r="P6" s="39"/>
      <c r="Q6" s="39"/>
      <c r="R6" s="40"/>
      <c r="S6" s="25" t="s">
        <v>13</v>
      </c>
      <c r="T6" s="42">
        <v>1.6500000000000001E-2</v>
      </c>
    </row>
    <row r="7" spans="1:24" ht="18" x14ac:dyDescent="0.4">
      <c r="A7" s="32">
        <v>36706</v>
      </c>
      <c r="B7" s="39"/>
      <c r="C7" s="39"/>
      <c r="D7" s="39"/>
      <c r="E7" s="39"/>
      <c r="F7" s="39"/>
      <c r="G7" s="39"/>
      <c r="J7" s="39"/>
      <c r="K7" s="39"/>
      <c r="L7" s="39"/>
      <c r="M7" s="39"/>
      <c r="N7" s="39"/>
      <c r="O7" s="39"/>
      <c r="P7" s="39"/>
      <c r="Q7" s="39"/>
      <c r="R7" s="40"/>
      <c r="S7" s="25" t="s">
        <v>14</v>
      </c>
      <c r="T7" s="44"/>
    </row>
    <row r="8" spans="1:24" ht="18" x14ac:dyDescent="0.35">
      <c r="A8" s="32">
        <v>36737</v>
      </c>
      <c r="B8" s="39"/>
      <c r="C8" s="39"/>
      <c r="D8" s="39"/>
      <c r="E8" s="39"/>
      <c r="F8" s="39"/>
      <c r="G8" s="39"/>
      <c r="J8" s="39"/>
      <c r="K8" s="39"/>
      <c r="L8" s="39"/>
      <c r="M8" s="39"/>
      <c r="N8" s="39"/>
      <c r="O8" s="39"/>
      <c r="P8" s="39"/>
      <c r="Q8" s="39"/>
      <c r="R8" s="40"/>
    </row>
    <row r="9" spans="1:24" ht="18" x14ac:dyDescent="0.4">
      <c r="A9" s="32">
        <v>36768</v>
      </c>
      <c r="B9" s="39"/>
      <c r="C9" s="39"/>
      <c r="D9" s="39"/>
      <c r="E9" s="39"/>
      <c r="F9" s="39"/>
      <c r="G9" s="39"/>
      <c r="J9" s="39"/>
      <c r="K9" s="39"/>
      <c r="L9" s="39"/>
      <c r="M9" s="39"/>
      <c r="N9" s="39"/>
      <c r="O9" s="39"/>
      <c r="P9" s="39"/>
      <c r="Q9" s="39"/>
      <c r="R9" s="40"/>
      <c r="S9" s="25" t="s">
        <v>34</v>
      </c>
      <c r="T9" s="45"/>
    </row>
    <row r="10" spans="1:24" ht="18" x14ac:dyDescent="0.4">
      <c r="A10" s="32">
        <v>36798</v>
      </c>
      <c r="B10" s="39"/>
      <c r="C10" s="39"/>
      <c r="D10" s="39"/>
      <c r="E10" s="39"/>
      <c r="F10" s="39"/>
      <c r="G10" s="39"/>
      <c r="J10" s="39"/>
      <c r="K10" s="39"/>
      <c r="L10" s="39"/>
      <c r="M10" s="39"/>
      <c r="N10" s="39"/>
      <c r="O10" s="39"/>
      <c r="P10" s="39"/>
      <c r="Q10" s="39"/>
      <c r="R10" s="40"/>
      <c r="S10" s="25" t="s">
        <v>35</v>
      </c>
      <c r="T10" s="45"/>
    </row>
    <row r="11" spans="1:24" ht="18" x14ac:dyDescent="0.35">
      <c r="A11" s="32">
        <v>36829</v>
      </c>
      <c r="B11" s="39"/>
      <c r="C11" s="39"/>
      <c r="D11" s="39"/>
      <c r="E11" s="39"/>
      <c r="F11" s="39"/>
      <c r="G11" s="39"/>
      <c r="J11" s="39"/>
      <c r="K11" s="39"/>
      <c r="L11" s="39"/>
      <c r="M11" s="39"/>
      <c r="N11" s="39"/>
      <c r="O11" s="39"/>
      <c r="P11" s="39"/>
      <c r="Q11" s="39"/>
      <c r="R11" s="40"/>
    </row>
    <row r="12" spans="1:24" ht="18" x14ac:dyDescent="0.35">
      <c r="A12" s="32">
        <v>36859</v>
      </c>
      <c r="B12" s="39"/>
      <c r="C12" s="39"/>
      <c r="D12" s="39"/>
      <c r="E12" s="39"/>
      <c r="F12" s="39"/>
      <c r="G12" s="39"/>
      <c r="J12" s="39"/>
      <c r="K12" s="39"/>
      <c r="L12" s="39"/>
      <c r="M12" s="39"/>
      <c r="N12" s="39"/>
      <c r="O12" s="39"/>
      <c r="P12" s="39"/>
      <c r="Q12" s="39"/>
      <c r="R12" s="40"/>
    </row>
    <row r="13" spans="1:24" ht="18" x14ac:dyDescent="0.35">
      <c r="A13" s="32">
        <v>36890</v>
      </c>
      <c r="B13" s="39"/>
      <c r="C13" s="39"/>
      <c r="D13" s="39"/>
      <c r="E13" s="39"/>
      <c r="F13" s="39"/>
      <c r="G13" s="39"/>
      <c r="J13" s="39"/>
      <c r="K13" s="39"/>
      <c r="L13" s="39"/>
      <c r="M13" s="39"/>
      <c r="N13" s="39"/>
      <c r="O13" s="39"/>
      <c r="P13" s="39"/>
      <c r="Q13" s="39"/>
      <c r="R13" s="40"/>
    </row>
    <row r="14" spans="1:24" ht="18" x14ac:dyDescent="0.35">
      <c r="A14" s="32">
        <v>36921</v>
      </c>
      <c r="B14" s="39"/>
      <c r="C14" s="39"/>
      <c r="D14" s="39"/>
      <c r="E14" s="39"/>
      <c r="F14" s="39"/>
      <c r="G14" s="39"/>
      <c r="J14" s="39"/>
      <c r="K14" s="39"/>
      <c r="L14" s="39"/>
      <c r="M14" s="39"/>
      <c r="N14" s="39"/>
      <c r="O14" s="39"/>
      <c r="P14" s="39"/>
      <c r="Q14" s="39"/>
      <c r="R14" s="40"/>
    </row>
    <row r="15" spans="1:24" ht="18" x14ac:dyDescent="0.35">
      <c r="A15" s="32">
        <v>36949</v>
      </c>
      <c r="B15" s="39"/>
      <c r="C15" s="39"/>
      <c r="D15" s="39"/>
      <c r="E15" s="39"/>
      <c r="F15" s="39"/>
      <c r="G15" s="39"/>
      <c r="J15" s="39"/>
      <c r="K15" s="39"/>
      <c r="L15" s="39"/>
      <c r="M15" s="39"/>
      <c r="N15" s="39"/>
      <c r="O15" s="39"/>
      <c r="P15" s="39"/>
      <c r="Q15" s="39"/>
      <c r="R15" s="40"/>
    </row>
    <row r="16" spans="1:24" ht="18" x14ac:dyDescent="0.35">
      <c r="A16" s="32">
        <v>36980</v>
      </c>
      <c r="B16" s="39"/>
      <c r="C16" s="39"/>
      <c r="D16" s="39"/>
      <c r="E16" s="39"/>
      <c r="F16" s="39"/>
      <c r="G16" s="39"/>
      <c r="J16" s="39"/>
      <c r="K16" s="39"/>
      <c r="L16" s="39"/>
      <c r="M16" s="39"/>
      <c r="N16" s="39"/>
      <c r="O16" s="39"/>
      <c r="P16" s="39"/>
      <c r="Q16" s="39"/>
      <c r="R16" s="40"/>
    </row>
    <row r="17" spans="1:18" ht="18" x14ac:dyDescent="0.35">
      <c r="A17" s="32">
        <v>37010</v>
      </c>
      <c r="B17" s="39"/>
      <c r="C17" s="39"/>
      <c r="D17" s="39"/>
      <c r="E17" s="39"/>
      <c r="F17" s="39"/>
      <c r="G17" s="39"/>
      <c r="J17" s="39"/>
      <c r="K17" s="39"/>
      <c r="L17" s="39"/>
      <c r="M17" s="39"/>
      <c r="N17" s="39"/>
      <c r="O17" s="39"/>
      <c r="P17" s="39"/>
      <c r="Q17" s="39"/>
      <c r="R17" s="40"/>
    </row>
    <row r="18" spans="1:18" ht="18" x14ac:dyDescent="0.35">
      <c r="A18" s="32">
        <v>37041</v>
      </c>
      <c r="B18" s="39"/>
      <c r="C18" s="39"/>
      <c r="D18" s="39"/>
      <c r="E18" s="39"/>
      <c r="F18" s="39"/>
      <c r="G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1:18" ht="18" x14ac:dyDescent="0.35">
      <c r="A19" s="32">
        <v>37071</v>
      </c>
      <c r="B19" s="39"/>
      <c r="C19" s="39"/>
      <c r="D19" s="39"/>
      <c r="E19" s="39"/>
      <c r="F19" s="39"/>
      <c r="G19" s="39"/>
      <c r="J19" s="39"/>
      <c r="K19" s="39"/>
      <c r="L19" s="39"/>
      <c r="M19" s="39"/>
      <c r="N19" s="39"/>
      <c r="O19" s="39"/>
      <c r="P19" s="39"/>
      <c r="Q19" s="39"/>
      <c r="R19" s="40"/>
    </row>
    <row r="20" spans="1:18" ht="18" x14ac:dyDescent="0.35">
      <c r="A20" s="32">
        <v>37102</v>
      </c>
      <c r="B20" s="39"/>
      <c r="C20" s="39"/>
      <c r="D20" s="39"/>
      <c r="E20" s="39"/>
      <c r="F20" s="39"/>
      <c r="G20" s="39"/>
      <c r="J20" s="39"/>
      <c r="K20" s="39"/>
      <c r="L20" s="39"/>
      <c r="M20" s="39"/>
      <c r="N20" s="39"/>
      <c r="O20" s="39"/>
      <c r="P20" s="39"/>
      <c r="Q20" s="39"/>
      <c r="R20" s="40"/>
    </row>
    <row r="21" spans="1:18" ht="18" x14ac:dyDescent="0.35">
      <c r="A21" s="32">
        <v>37133</v>
      </c>
      <c r="B21" s="39"/>
      <c r="C21" s="39"/>
      <c r="D21" s="39"/>
      <c r="E21" s="39"/>
      <c r="F21" s="39"/>
      <c r="G21" s="39"/>
      <c r="J21" s="39"/>
      <c r="K21" s="39"/>
      <c r="L21" s="39"/>
      <c r="M21" s="39"/>
      <c r="N21" s="39"/>
      <c r="O21" s="39"/>
      <c r="P21" s="39"/>
      <c r="Q21" s="39"/>
      <c r="R21" s="40"/>
    </row>
    <row r="22" spans="1:18" ht="18" x14ac:dyDescent="0.35">
      <c r="A22" s="32">
        <v>37163</v>
      </c>
      <c r="B22" s="39"/>
      <c r="C22" s="39"/>
      <c r="D22" s="39"/>
      <c r="E22" s="39"/>
      <c r="F22" s="39"/>
      <c r="G22" s="39"/>
      <c r="J22" s="39"/>
      <c r="K22" s="39"/>
      <c r="L22" s="39"/>
      <c r="M22" s="39"/>
      <c r="N22" s="39"/>
      <c r="O22" s="39"/>
      <c r="P22" s="39"/>
      <c r="Q22" s="39"/>
      <c r="R22" s="40"/>
    </row>
    <row r="23" spans="1:18" ht="18" x14ac:dyDescent="0.35">
      <c r="A23" s="32">
        <v>37194</v>
      </c>
      <c r="B23" s="39"/>
      <c r="C23" s="39"/>
      <c r="D23" s="39"/>
      <c r="E23" s="39"/>
      <c r="F23" s="39"/>
      <c r="G23" s="39"/>
      <c r="J23" s="39"/>
      <c r="K23" s="39"/>
      <c r="L23" s="39"/>
      <c r="M23" s="39"/>
      <c r="N23" s="39"/>
      <c r="O23" s="39"/>
      <c r="P23" s="39"/>
      <c r="Q23" s="39"/>
      <c r="R23" s="40"/>
    </row>
    <row r="24" spans="1:18" ht="18" x14ac:dyDescent="0.35">
      <c r="A24" s="32">
        <v>37224</v>
      </c>
      <c r="B24" s="39"/>
      <c r="C24" s="39"/>
      <c r="D24" s="39"/>
      <c r="E24" s="39"/>
      <c r="F24" s="39"/>
      <c r="G24" s="39"/>
      <c r="J24" s="39"/>
      <c r="K24" s="39"/>
      <c r="L24" s="39"/>
      <c r="M24" s="39"/>
      <c r="N24" s="39"/>
      <c r="O24" s="39"/>
      <c r="P24" s="39"/>
      <c r="Q24" s="39"/>
      <c r="R24" s="40"/>
    </row>
    <row r="25" spans="1:18" ht="18" x14ac:dyDescent="0.35">
      <c r="A25" s="32">
        <v>37255</v>
      </c>
      <c r="B25" s="39"/>
      <c r="C25" s="39"/>
      <c r="D25" s="39"/>
      <c r="E25" s="39"/>
      <c r="F25" s="39"/>
      <c r="G25" s="39"/>
      <c r="J25" s="39"/>
      <c r="K25" s="39"/>
      <c r="L25" s="39"/>
      <c r="M25" s="39"/>
      <c r="N25" s="39"/>
      <c r="O25" s="39"/>
      <c r="P25" s="39"/>
      <c r="Q25" s="39"/>
      <c r="R25" s="40"/>
    </row>
    <row r="26" spans="1:18" ht="18" x14ac:dyDescent="0.35">
      <c r="A26" s="32">
        <v>37286</v>
      </c>
      <c r="B26" s="39"/>
      <c r="C26" s="39"/>
      <c r="D26" s="39"/>
      <c r="E26" s="39"/>
      <c r="F26" s="39"/>
      <c r="G26" s="39"/>
      <c r="J26" s="39"/>
      <c r="K26" s="39"/>
      <c r="L26" s="39"/>
      <c r="M26" s="39"/>
      <c r="N26" s="39"/>
      <c r="O26" s="39"/>
      <c r="P26" s="39"/>
      <c r="Q26" s="39"/>
      <c r="R26" s="40"/>
    </row>
    <row r="27" spans="1:18" ht="18" x14ac:dyDescent="0.35">
      <c r="A27" s="32">
        <v>37314</v>
      </c>
      <c r="B27" s="39"/>
      <c r="C27" s="39"/>
      <c r="D27" s="39"/>
      <c r="E27" s="39"/>
      <c r="F27" s="39"/>
      <c r="G27" s="39"/>
      <c r="J27" s="39"/>
      <c r="K27" s="39"/>
      <c r="L27" s="39"/>
      <c r="M27" s="39"/>
      <c r="N27" s="39"/>
      <c r="O27" s="39"/>
      <c r="P27" s="39"/>
      <c r="Q27" s="39"/>
      <c r="R27" s="40"/>
    </row>
    <row r="28" spans="1:18" ht="18" x14ac:dyDescent="0.35">
      <c r="A28" s="32">
        <v>37345</v>
      </c>
      <c r="B28" s="39"/>
      <c r="C28" s="39"/>
      <c r="D28" s="39"/>
      <c r="E28" s="39"/>
      <c r="F28" s="39"/>
      <c r="G28" s="39"/>
      <c r="J28" s="39"/>
      <c r="K28" s="39"/>
      <c r="L28" s="39"/>
      <c r="M28" s="39"/>
      <c r="N28" s="39"/>
      <c r="O28" s="39"/>
      <c r="P28" s="39"/>
      <c r="Q28" s="39"/>
      <c r="R28" s="40"/>
    </row>
    <row r="29" spans="1:18" ht="18" x14ac:dyDescent="0.35">
      <c r="A29" s="32">
        <v>37375</v>
      </c>
      <c r="B29" s="39"/>
      <c r="C29" s="39"/>
      <c r="D29" s="39"/>
      <c r="E29" s="39"/>
      <c r="F29" s="39"/>
      <c r="G29" s="39"/>
      <c r="J29" s="39"/>
      <c r="K29" s="39"/>
      <c r="L29" s="39"/>
      <c r="M29" s="39"/>
      <c r="N29" s="39"/>
      <c r="O29" s="39"/>
      <c r="P29" s="39"/>
      <c r="Q29" s="39"/>
      <c r="R29" s="40"/>
    </row>
    <row r="30" spans="1:18" ht="18" x14ac:dyDescent="0.35">
      <c r="A30" s="32">
        <v>37406</v>
      </c>
      <c r="B30" s="39"/>
      <c r="C30" s="39"/>
      <c r="D30" s="39"/>
      <c r="E30" s="39"/>
      <c r="F30" s="39"/>
      <c r="G30" s="39"/>
      <c r="J30" s="39"/>
      <c r="K30" s="39"/>
      <c r="L30" s="39"/>
      <c r="M30" s="39"/>
      <c r="N30" s="39"/>
      <c r="O30" s="39"/>
      <c r="P30" s="39"/>
      <c r="Q30" s="39"/>
      <c r="R30" s="40"/>
    </row>
    <row r="31" spans="1:18" ht="18" x14ac:dyDescent="0.35">
      <c r="A31" s="32">
        <v>37436</v>
      </c>
      <c r="B31" s="39"/>
      <c r="C31" s="39"/>
      <c r="D31" s="39"/>
      <c r="E31" s="39"/>
      <c r="F31" s="39"/>
      <c r="G31" s="39"/>
      <c r="J31" s="39"/>
      <c r="K31" s="39"/>
      <c r="L31" s="39"/>
      <c r="M31" s="39"/>
      <c r="N31" s="39"/>
      <c r="O31" s="39"/>
      <c r="P31" s="39"/>
      <c r="Q31" s="39"/>
      <c r="R31" s="40"/>
    </row>
    <row r="32" spans="1:18" ht="18" x14ac:dyDescent="0.35">
      <c r="A32" s="32">
        <v>37467</v>
      </c>
      <c r="B32" s="39"/>
      <c r="C32" s="39"/>
      <c r="D32" s="39"/>
      <c r="E32" s="39"/>
      <c r="F32" s="39"/>
      <c r="G32" s="39"/>
      <c r="J32" s="39"/>
      <c r="K32" s="39"/>
      <c r="L32" s="39"/>
      <c r="M32" s="39"/>
      <c r="N32" s="39"/>
      <c r="O32" s="39"/>
      <c r="P32" s="39"/>
      <c r="Q32" s="39"/>
      <c r="R32" s="40"/>
    </row>
    <row r="33" spans="1:18" ht="18" x14ac:dyDescent="0.35">
      <c r="A33" s="32">
        <v>37498</v>
      </c>
      <c r="B33" s="39"/>
      <c r="C33" s="39"/>
      <c r="D33" s="39"/>
      <c r="E33" s="39"/>
      <c r="F33" s="39"/>
      <c r="G33" s="39"/>
      <c r="J33" s="39"/>
      <c r="K33" s="39"/>
      <c r="L33" s="39"/>
      <c r="M33" s="39"/>
      <c r="N33" s="39"/>
      <c r="O33" s="39"/>
      <c r="P33" s="39"/>
      <c r="Q33" s="39"/>
      <c r="R33" s="40"/>
    </row>
    <row r="34" spans="1:18" ht="18" x14ac:dyDescent="0.35">
      <c r="A34" s="32">
        <v>37528</v>
      </c>
      <c r="B34" s="39"/>
      <c r="C34" s="39"/>
      <c r="D34" s="39"/>
      <c r="E34" s="39"/>
      <c r="F34" s="39"/>
      <c r="G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 ht="18" x14ac:dyDescent="0.35">
      <c r="A35" s="32">
        <v>37559</v>
      </c>
      <c r="B35" s="39"/>
      <c r="C35" s="39"/>
      <c r="D35" s="39"/>
      <c r="E35" s="39"/>
      <c r="F35" s="39"/>
      <c r="G35" s="39"/>
      <c r="J35" s="39"/>
      <c r="K35" s="39"/>
      <c r="L35" s="39"/>
      <c r="M35" s="39"/>
      <c r="N35" s="39"/>
      <c r="O35" s="39"/>
      <c r="P35" s="39"/>
      <c r="Q35" s="39"/>
      <c r="R35" s="40"/>
    </row>
    <row r="36" spans="1:18" ht="18" x14ac:dyDescent="0.35">
      <c r="A36" s="32">
        <v>37589</v>
      </c>
      <c r="B36" s="39"/>
      <c r="C36" s="39"/>
      <c r="D36" s="39"/>
      <c r="E36" s="39"/>
      <c r="F36" s="39"/>
      <c r="G36" s="39"/>
      <c r="J36" s="39"/>
      <c r="K36" s="39"/>
      <c r="L36" s="39"/>
      <c r="M36" s="39"/>
      <c r="N36" s="39"/>
      <c r="O36" s="39"/>
      <c r="P36" s="39"/>
      <c r="Q36" s="39"/>
      <c r="R36" s="40"/>
    </row>
    <row r="37" spans="1:18" ht="18" x14ac:dyDescent="0.35">
      <c r="A37" s="32">
        <v>37620</v>
      </c>
      <c r="B37" s="39"/>
      <c r="C37" s="39"/>
      <c r="D37" s="39"/>
      <c r="E37" s="39"/>
      <c r="F37" s="39"/>
      <c r="G37" s="39"/>
      <c r="J37" s="39"/>
      <c r="K37" s="39"/>
      <c r="L37" s="39"/>
      <c r="M37" s="39"/>
      <c r="N37" s="39"/>
      <c r="O37" s="39"/>
      <c r="P37" s="39"/>
      <c r="Q37" s="39"/>
      <c r="R37" s="40"/>
    </row>
    <row r="38" spans="1:18" x14ac:dyDescent="0.35">
      <c r="J38" s="39"/>
      <c r="K38" s="39"/>
      <c r="L38" s="39"/>
      <c r="M38" s="39"/>
      <c r="N38" s="39"/>
      <c r="O38" s="39"/>
      <c r="P38" s="39"/>
      <c r="Q38" s="39"/>
      <c r="R38" s="46"/>
    </row>
    <row r="39" spans="1:18" x14ac:dyDescent="0.35">
      <c r="J39" s="39"/>
      <c r="K39" s="39"/>
      <c r="L39" s="39"/>
      <c r="M39" s="39"/>
      <c r="N39" s="39"/>
      <c r="O39" s="39"/>
      <c r="P39" s="39"/>
      <c r="Q39" s="39"/>
      <c r="R39" s="46"/>
    </row>
    <row r="40" spans="1:18" x14ac:dyDescent="0.35">
      <c r="J40" s="39"/>
      <c r="K40" s="39"/>
      <c r="L40" s="39"/>
      <c r="M40" s="39"/>
      <c r="N40" s="39"/>
      <c r="O40" s="39"/>
      <c r="P40" s="39"/>
      <c r="Q40" s="39"/>
      <c r="R40" s="46"/>
    </row>
    <row r="41" spans="1:18" x14ac:dyDescent="0.35">
      <c r="J41" s="39"/>
      <c r="K41" s="39"/>
      <c r="L41" s="39"/>
      <c r="M41" s="39"/>
      <c r="N41" s="39"/>
      <c r="O41" s="39"/>
      <c r="P41" s="39"/>
      <c r="Q41" s="39"/>
      <c r="R41" s="46"/>
    </row>
    <row r="42" spans="1:18" x14ac:dyDescent="0.35">
      <c r="J42" s="39"/>
      <c r="K42" s="39"/>
      <c r="L42" s="39"/>
      <c r="M42" s="39"/>
      <c r="N42" s="39"/>
      <c r="O42" s="39"/>
      <c r="P42" s="39"/>
      <c r="Q42" s="39"/>
      <c r="R42" s="46"/>
    </row>
    <row r="43" spans="1:18" x14ac:dyDescent="0.35">
      <c r="J43" s="39"/>
      <c r="K43" s="39"/>
      <c r="L43" s="39"/>
      <c r="M43" s="39"/>
      <c r="N43" s="39"/>
      <c r="O43" s="39"/>
      <c r="P43" s="39"/>
      <c r="Q43" s="39"/>
      <c r="R43" s="46"/>
    </row>
    <row r="44" spans="1:18" x14ac:dyDescent="0.35">
      <c r="J44" s="39"/>
      <c r="K44" s="39"/>
      <c r="L44" s="39"/>
      <c r="M44" s="39"/>
      <c r="N44" s="39"/>
      <c r="O44" s="39"/>
      <c r="P44" s="39"/>
      <c r="Q44" s="39"/>
      <c r="R44" s="46"/>
    </row>
    <row r="45" spans="1:18" x14ac:dyDescent="0.35">
      <c r="J45" s="39"/>
      <c r="K45" s="39"/>
      <c r="L45" s="39"/>
      <c r="M45" s="39"/>
      <c r="N45" s="39"/>
      <c r="O45" s="39"/>
      <c r="P45" s="39"/>
      <c r="Q45" s="39"/>
      <c r="R45" s="46"/>
    </row>
    <row r="46" spans="1:18" x14ac:dyDescent="0.35">
      <c r="J46" s="39"/>
      <c r="K46" s="39"/>
      <c r="L46" s="39"/>
      <c r="M46" s="39"/>
      <c r="N46" s="39"/>
      <c r="O46" s="39"/>
      <c r="P46" s="39"/>
      <c r="Q46" s="39"/>
      <c r="R46" s="46"/>
    </row>
    <row r="47" spans="1:18" x14ac:dyDescent="0.35">
      <c r="J47" s="39"/>
      <c r="K47" s="39"/>
      <c r="L47" s="39"/>
      <c r="M47" s="39"/>
      <c r="N47" s="39"/>
      <c r="O47" s="39"/>
      <c r="P47" s="39"/>
      <c r="Q47" s="39"/>
      <c r="R47" s="46"/>
    </row>
    <row r="48" spans="1:18" x14ac:dyDescent="0.35">
      <c r="J48" s="39"/>
      <c r="K48" s="39"/>
      <c r="L48" s="39"/>
      <c r="M48" s="39"/>
      <c r="N48" s="39"/>
      <c r="O48" s="39"/>
      <c r="P48" s="39"/>
      <c r="Q48" s="39"/>
      <c r="R48" s="46"/>
    </row>
    <row r="49" spans="10:18" x14ac:dyDescent="0.35">
      <c r="J49" s="39"/>
      <c r="K49" s="39"/>
      <c r="L49" s="39"/>
      <c r="M49" s="39"/>
      <c r="N49" s="39"/>
      <c r="O49" s="39"/>
      <c r="P49" s="39"/>
      <c r="Q49" s="39"/>
      <c r="R49" s="46"/>
    </row>
    <row r="50" spans="10:18" x14ac:dyDescent="0.35">
      <c r="J50" s="39"/>
      <c r="K50" s="39"/>
      <c r="L50" s="39"/>
      <c r="M50" s="39"/>
      <c r="N50" s="39"/>
      <c r="O50" s="39"/>
      <c r="P50" s="39"/>
      <c r="Q50" s="39"/>
      <c r="R50" s="46"/>
    </row>
    <row r="51" spans="10:18" x14ac:dyDescent="0.35">
      <c r="J51" s="39"/>
      <c r="K51" s="39"/>
      <c r="L51" s="39"/>
      <c r="M51" s="39"/>
      <c r="N51" s="39"/>
      <c r="O51" s="39"/>
      <c r="P51" s="39"/>
      <c r="Q51" s="39"/>
      <c r="R51" s="46"/>
    </row>
    <row r="52" spans="10:18" x14ac:dyDescent="0.35">
      <c r="J52" s="39"/>
      <c r="K52" s="39"/>
      <c r="L52" s="39"/>
      <c r="M52" s="39"/>
      <c r="N52" s="39"/>
      <c r="O52" s="39"/>
      <c r="P52" s="39"/>
      <c r="Q52" s="39"/>
      <c r="R52" s="46"/>
    </row>
    <row r="53" spans="10:18" x14ac:dyDescent="0.35">
      <c r="J53" s="39"/>
      <c r="K53" s="39"/>
      <c r="L53" s="39"/>
      <c r="M53" s="39"/>
      <c r="N53" s="39"/>
      <c r="O53" s="39"/>
      <c r="P53" s="39"/>
      <c r="Q53" s="39"/>
      <c r="R53" s="46"/>
    </row>
    <row r="54" spans="10:18" x14ac:dyDescent="0.35">
      <c r="J54" s="39"/>
      <c r="K54" s="39"/>
      <c r="L54" s="39"/>
      <c r="M54" s="39"/>
      <c r="N54" s="39"/>
      <c r="O54" s="39"/>
      <c r="P54" s="39"/>
      <c r="Q54" s="39"/>
      <c r="R54" s="46"/>
    </row>
    <row r="55" spans="10:18" x14ac:dyDescent="0.35">
      <c r="J55" s="39"/>
      <c r="K55" s="39"/>
      <c r="L55" s="39"/>
      <c r="M55" s="39"/>
      <c r="N55" s="39"/>
      <c r="O55" s="39"/>
      <c r="P55" s="39"/>
      <c r="Q55" s="39"/>
      <c r="R55" s="46"/>
    </row>
    <row r="56" spans="10:18" x14ac:dyDescent="0.35">
      <c r="J56" s="39"/>
      <c r="K56" s="39"/>
      <c r="L56" s="39"/>
      <c r="M56" s="39"/>
      <c r="N56" s="39"/>
      <c r="O56" s="39"/>
      <c r="P56" s="39"/>
      <c r="Q56" s="39"/>
      <c r="R56" s="46"/>
    </row>
    <row r="57" spans="10:18" x14ac:dyDescent="0.35">
      <c r="J57" s="39"/>
      <c r="K57" s="39"/>
      <c r="L57" s="39"/>
      <c r="M57" s="39"/>
      <c r="N57" s="39"/>
      <c r="O57" s="39"/>
      <c r="P57" s="39"/>
      <c r="Q57" s="39"/>
      <c r="R57" s="46"/>
    </row>
    <row r="58" spans="10:18" x14ac:dyDescent="0.35">
      <c r="J58" s="39"/>
      <c r="K58" s="39"/>
      <c r="L58" s="39"/>
      <c r="M58" s="39"/>
      <c r="N58" s="39"/>
      <c r="O58" s="39"/>
      <c r="P58" s="39"/>
      <c r="Q58" s="39"/>
      <c r="R58" s="46"/>
    </row>
    <row r="59" spans="10:18" x14ac:dyDescent="0.35">
      <c r="J59" s="39"/>
      <c r="K59" s="39"/>
      <c r="L59" s="39"/>
      <c r="M59" s="39"/>
      <c r="N59" s="39"/>
      <c r="O59" s="39"/>
      <c r="P59" s="39"/>
      <c r="Q59" s="39"/>
      <c r="R59" s="46"/>
    </row>
    <row r="60" spans="10:18" x14ac:dyDescent="0.35">
      <c r="J60" s="39"/>
      <c r="K60" s="39"/>
      <c r="L60" s="39"/>
      <c r="M60" s="39"/>
      <c r="N60" s="39"/>
      <c r="O60" s="39"/>
      <c r="P60" s="39"/>
      <c r="Q60" s="39"/>
      <c r="R60" s="46"/>
    </row>
    <row r="61" spans="10:18" x14ac:dyDescent="0.35">
      <c r="J61" s="39"/>
      <c r="K61" s="39"/>
      <c r="L61" s="39"/>
      <c r="M61" s="39"/>
      <c r="N61" s="39"/>
      <c r="O61" s="39"/>
      <c r="P61" s="39"/>
      <c r="Q61" s="39"/>
      <c r="R61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FE2A-2B60-4D93-A48D-4770AD326C03}">
  <sheetPr codeName="Sheet5"/>
  <dimension ref="A1:X61"/>
  <sheetViews>
    <sheetView zoomScale="85" zoomScaleNormal="85" workbookViewId="0"/>
  </sheetViews>
  <sheetFormatPr defaultColWidth="9.1796875" defaultRowHeight="17.5" x14ac:dyDescent="0.35"/>
  <cols>
    <col min="1" max="1" width="15.453125" style="1" bestFit="1" customWidth="1"/>
    <col min="2" max="2" width="19.7265625" style="1" bestFit="1" customWidth="1"/>
    <col min="3" max="3" width="15" style="1" bestFit="1" customWidth="1"/>
    <col min="4" max="4" width="5.54296875" style="1" bestFit="1" customWidth="1"/>
    <col min="5" max="5" width="7" style="1" bestFit="1" customWidth="1"/>
    <col min="6" max="6" width="24.1796875" style="1" bestFit="1" customWidth="1"/>
    <col min="7" max="7" width="9.26953125" style="1" bestFit="1" customWidth="1"/>
    <col min="8" max="8" width="2.54296875" style="1" customWidth="1"/>
    <col min="9" max="9" width="19.1796875" style="1" bestFit="1" customWidth="1"/>
    <col min="10" max="15" width="9.1796875" style="1"/>
    <col min="16" max="16" width="2.54296875" style="1" customWidth="1"/>
    <col min="17" max="17" width="34.453125" style="1" bestFit="1" customWidth="1"/>
    <col min="18" max="18" width="7" style="1" customWidth="1"/>
    <col min="19" max="19" width="52.26953125" style="1" bestFit="1" customWidth="1"/>
    <col min="20" max="20" width="9.453125" style="1" bestFit="1" customWidth="1"/>
    <col min="21" max="21" width="6.1796875" style="1" customWidth="1"/>
    <col min="22" max="22" width="9.1796875" style="1"/>
    <col min="23" max="23" width="32.54296875" style="1" bestFit="1" customWidth="1"/>
    <col min="24" max="24" width="43.81640625" style="1" bestFit="1" customWidth="1"/>
    <col min="25" max="16384" width="9.1796875" style="1"/>
  </cols>
  <sheetData>
    <row r="1" spans="1:24" ht="18" x14ac:dyDescent="0.4">
      <c r="B1" s="35" t="s">
        <v>36</v>
      </c>
      <c r="C1" s="35" t="s">
        <v>0</v>
      </c>
      <c r="D1" s="35" t="s">
        <v>1</v>
      </c>
      <c r="E1" s="35" t="s">
        <v>2</v>
      </c>
      <c r="F1" s="35" t="s">
        <v>37</v>
      </c>
      <c r="G1" s="35" t="s">
        <v>3</v>
      </c>
      <c r="I1" s="25" t="s">
        <v>28</v>
      </c>
      <c r="J1" s="48"/>
      <c r="K1" s="48"/>
      <c r="L1" s="48"/>
      <c r="M1" s="48"/>
      <c r="N1" s="48"/>
      <c r="O1" s="48"/>
      <c r="P1" s="39"/>
      <c r="Q1" s="25" t="s">
        <v>32</v>
      </c>
      <c r="S1" s="41" t="s">
        <v>17</v>
      </c>
      <c r="T1" s="42"/>
      <c r="W1" s="25" t="s">
        <v>31</v>
      </c>
      <c r="X1" s="25" t="s">
        <v>33</v>
      </c>
    </row>
    <row r="2" spans="1:24" ht="18" x14ac:dyDescent="0.4">
      <c r="A2" s="32">
        <v>39112</v>
      </c>
      <c r="B2" s="39"/>
      <c r="C2" s="39"/>
      <c r="D2" s="39"/>
      <c r="E2" s="39"/>
      <c r="F2" s="39"/>
      <c r="G2" s="39"/>
      <c r="J2" s="39"/>
      <c r="K2" s="39"/>
      <c r="L2" s="39"/>
      <c r="M2" s="39"/>
      <c r="N2" s="39"/>
      <c r="O2" s="39"/>
      <c r="P2" s="39"/>
      <c r="Q2" s="39"/>
      <c r="R2" s="39"/>
      <c r="S2" s="25" t="s">
        <v>30</v>
      </c>
      <c r="T2" s="42"/>
    </row>
    <row r="3" spans="1:24" ht="18" x14ac:dyDescent="0.4">
      <c r="A3" s="32">
        <v>39140</v>
      </c>
      <c r="B3" s="39"/>
      <c r="C3" s="39"/>
      <c r="D3" s="39"/>
      <c r="E3" s="39"/>
      <c r="F3" s="39"/>
      <c r="G3" s="39"/>
      <c r="J3" s="39"/>
      <c r="K3" s="39"/>
      <c r="L3" s="39"/>
      <c r="M3" s="39"/>
      <c r="N3" s="39"/>
      <c r="O3" s="39"/>
      <c r="P3" s="39"/>
      <c r="Q3" s="39"/>
      <c r="R3" s="39"/>
      <c r="S3" s="25" t="s">
        <v>31</v>
      </c>
      <c r="T3" s="42"/>
    </row>
    <row r="4" spans="1:24" ht="18" x14ac:dyDescent="0.4">
      <c r="A4" s="32">
        <v>39171</v>
      </c>
      <c r="B4" s="39"/>
      <c r="C4" s="39"/>
      <c r="D4" s="39"/>
      <c r="E4" s="39"/>
      <c r="F4" s="39"/>
      <c r="G4" s="39"/>
      <c r="J4" s="39"/>
      <c r="K4" s="39"/>
      <c r="L4" s="39"/>
      <c r="M4" s="39"/>
      <c r="N4" s="39"/>
      <c r="O4" s="39"/>
      <c r="P4" s="39"/>
      <c r="Q4" s="39"/>
      <c r="R4" s="39"/>
      <c r="S4" s="25" t="s">
        <v>29</v>
      </c>
      <c r="T4" s="43"/>
    </row>
    <row r="5" spans="1:24" ht="18" x14ac:dyDescent="0.4">
      <c r="A5" s="32">
        <v>39201</v>
      </c>
      <c r="B5" s="39"/>
      <c r="C5" s="39"/>
      <c r="D5" s="39"/>
      <c r="E5" s="39"/>
      <c r="F5" s="39"/>
      <c r="G5" s="39"/>
      <c r="J5" s="39"/>
      <c r="K5" s="39"/>
      <c r="L5" s="39"/>
      <c r="M5" s="39"/>
      <c r="N5" s="39"/>
      <c r="O5" s="39"/>
      <c r="P5" s="39"/>
      <c r="Q5" s="39"/>
      <c r="R5" s="39"/>
      <c r="S5" s="25" t="s">
        <v>33</v>
      </c>
      <c r="T5" s="42"/>
    </row>
    <row r="6" spans="1:24" ht="18" x14ac:dyDescent="0.4">
      <c r="A6" s="32">
        <v>39232</v>
      </c>
      <c r="B6" s="39"/>
      <c r="C6" s="39"/>
      <c r="D6" s="39"/>
      <c r="E6" s="39"/>
      <c r="F6" s="39"/>
      <c r="G6" s="39"/>
      <c r="J6" s="39"/>
      <c r="K6" s="39"/>
      <c r="L6" s="39"/>
      <c r="M6" s="39"/>
      <c r="N6" s="39"/>
      <c r="O6" s="39"/>
      <c r="P6" s="39"/>
      <c r="Q6" s="39"/>
      <c r="R6" s="39"/>
      <c r="S6" s="25" t="s">
        <v>13</v>
      </c>
      <c r="T6" s="42">
        <v>1.6500000000000001E-2</v>
      </c>
    </row>
    <row r="7" spans="1:24" ht="18" x14ac:dyDescent="0.4">
      <c r="A7" s="32">
        <v>39262</v>
      </c>
      <c r="B7" s="39"/>
      <c r="C7" s="39"/>
      <c r="D7" s="39"/>
      <c r="E7" s="39"/>
      <c r="F7" s="39"/>
      <c r="G7" s="39"/>
      <c r="J7" s="39"/>
      <c r="K7" s="39"/>
      <c r="L7" s="39"/>
      <c r="M7" s="39"/>
      <c r="N7" s="39"/>
      <c r="O7" s="39"/>
      <c r="P7" s="39"/>
      <c r="Q7" s="39"/>
      <c r="R7" s="39"/>
      <c r="S7" s="25" t="s">
        <v>14</v>
      </c>
      <c r="T7" s="44"/>
    </row>
    <row r="8" spans="1:24" ht="18" x14ac:dyDescent="0.35">
      <c r="A8" s="32">
        <v>39293</v>
      </c>
      <c r="B8" s="39"/>
      <c r="C8" s="39"/>
      <c r="D8" s="39"/>
      <c r="E8" s="39"/>
      <c r="F8" s="39"/>
      <c r="G8" s="39"/>
      <c r="J8" s="39"/>
      <c r="K8" s="39"/>
      <c r="L8" s="39"/>
      <c r="M8" s="39"/>
      <c r="N8" s="39"/>
      <c r="O8" s="39"/>
      <c r="P8" s="39"/>
      <c r="Q8" s="39"/>
      <c r="R8" s="39"/>
    </row>
    <row r="9" spans="1:24" ht="18" x14ac:dyDescent="0.4">
      <c r="A9" s="32">
        <v>39324</v>
      </c>
      <c r="B9" s="39"/>
      <c r="C9" s="39"/>
      <c r="D9" s="39"/>
      <c r="E9" s="39"/>
      <c r="F9" s="39"/>
      <c r="G9" s="39"/>
      <c r="J9" s="39"/>
      <c r="K9" s="39"/>
      <c r="L9" s="39"/>
      <c r="M9" s="39"/>
      <c r="N9" s="39"/>
      <c r="O9" s="39"/>
      <c r="P9" s="39"/>
      <c r="Q9" s="39"/>
      <c r="R9" s="39"/>
      <c r="S9" s="25" t="s">
        <v>34</v>
      </c>
      <c r="T9" s="45"/>
    </row>
    <row r="10" spans="1:24" ht="18" x14ac:dyDescent="0.4">
      <c r="A10" s="32">
        <v>39354</v>
      </c>
      <c r="B10" s="39"/>
      <c r="C10" s="39"/>
      <c r="D10" s="39"/>
      <c r="E10" s="39"/>
      <c r="F10" s="39"/>
      <c r="G10" s="39"/>
      <c r="J10" s="39"/>
      <c r="K10" s="39"/>
      <c r="L10" s="39"/>
      <c r="M10" s="39"/>
      <c r="N10" s="39"/>
      <c r="O10" s="39"/>
      <c r="P10" s="39"/>
      <c r="Q10" s="39"/>
      <c r="R10" s="39"/>
      <c r="S10" s="25" t="s">
        <v>35</v>
      </c>
      <c r="T10" s="45"/>
    </row>
    <row r="11" spans="1:24" ht="18" x14ac:dyDescent="0.35">
      <c r="A11" s="32">
        <v>39385</v>
      </c>
      <c r="B11" s="39"/>
      <c r="C11" s="39"/>
      <c r="D11" s="39"/>
      <c r="E11" s="39"/>
      <c r="F11" s="39"/>
      <c r="G11" s="39"/>
      <c r="J11" s="39"/>
      <c r="K11" s="39"/>
      <c r="L11" s="39"/>
      <c r="M11" s="39"/>
      <c r="N11" s="39"/>
      <c r="O11" s="39"/>
      <c r="P11" s="39"/>
      <c r="Q11" s="39"/>
      <c r="R11" s="39"/>
    </row>
    <row r="12" spans="1:24" ht="18" x14ac:dyDescent="0.35">
      <c r="A12" s="32">
        <v>39415</v>
      </c>
      <c r="B12" s="39"/>
      <c r="C12" s="39"/>
      <c r="D12" s="39"/>
      <c r="E12" s="39"/>
      <c r="F12" s="39"/>
      <c r="G12" s="39"/>
      <c r="J12" s="39"/>
      <c r="K12" s="39"/>
      <c r="L12" s="39"/>
      <c r="M12" s="39"/>
      <c r="N12" s="39"/>
      <c r="O12" s="39"/>
      <c r="P12" s="39"/>
      <c r="Q12" s="39"/>
      <c r="R12" s="39"/>
    </row>
    <row r="13" spans="1:24" ht="18" x14ac:dyDescent="0.35">
      <c r="A13" s="32">
        <v>39446</v>
      </c>
      <c r="B13" s="39"/>
      <c r="C13" s="39"/>
      <c r="D13" s="39"/>
      <c r="E13" s="39"/>
      <c r="F13" s="39"/>
      <c r="G13" s="39"/>
      <c r="J13" s="39"/>
      <c r="K13" s="39"/>
      <c r="L13" s="39"/>
      <c r="M13" s="39"/>
      <c r="N13" s="39"/>
      <c r="O13" s="39"/>
      <c r="P13" s="39"/>
      <c r="Q13" s="39"/>
      <c r="R13" s="39"/>
    </row>
    <row r="14" spans="1:24" ht="18" x14ac:dyDescent="0.35">
      <c r="A14" s="32">
        <v>39477</v>
      </c>
      <c r="B14" s="39"/>
      <c r="C14" s="39"/>
      <c r="D14" s="39"/>
      <c r="E14" s="39"/>
      <c r="F14" s="39"/>
      <c r="G14" s="39"/>
      <c r="J14" s="39"/>
      <c r="K14" s="39"/>
      <c r="L14" s="39"/>
      <c r="M14" s="39"/>
      <c r="N14" s="39"/>
      <c r="O14" s="39"/>
      <c r="P14" s="39"/>
      <c r="Q14" s="39"/>
      <c r="R14" s="39"/>
    </row>
    <row r="15" spans="1:24" ht="18" x14ac:dyDescent="0.35">
      <c r="A15" s="32">
        <v>39506</v>
      </c>
      <c r="B15" s="39"/>
      <c r="C15" s="39"/>
      <c r="D15" s="39"/>
      <c r="E15" s="39"/>
      <c r="F15" s="39"/>
      <c r="G15" s="39"/>
      <c r="J15" s="39"/>
      <c r="K15" s="39"/>
      <c r="L15" s="39"/>
      <c r="M15" s="39"/>
      <c r="N15" s="39"/>
      <c r="O15" s="39"/>
      <c r="P15" s="39"/>
      <c r="Q15" s="39"/>
      <c r="R15" s="39"/>
    </row>
    <row r="16" spans="1:24" ht="18" x14ac:dyDescent="0.35">
      <c r="A16" s="32">
        <v>39537</v>
      </c>
      <c r="B16" s="39"/>
      <c r="C16" s="39"/>
      <c r="D16" s="39"/>
      <c r="E16" s="39"/>
      <c r="F16" s="39"/>
      <c r="G16" s="39"/>
      <c r="J16" s="39"/>
      <c r="K16" s="39"/>
      <c r="L16" s="39"/>
      <c r="M16" s="39"/>
      <c r="N16" s="39"/>
      <c r="O16" s="39"/>
      <c r="P16" s="39"/>
      <c r="Q16" s="39"/>
      <c r="R16" s="39"/>
    </row>
    <row r="17" spans="1:18" ht="18" x14ac:dyDescent="0.35">
      <c r="A17" s="32">
        <v>39567</v>
      </c>
      <c r="B17" s="39"/>
      <c r="C17" s="39"/>
      <c r="D17" s="39"/>
      <c r="E17" s="39"/>
      <c r="F17" s="39"/>
      <c r="G17" s="39"/>
      <c r="J17" s="39"/>
      <c r="K17" s="39"/>
      <c r="L17" s="39"/>
      <c r="M17" s="39"/>
      <c r="N17" s="39"/>
      <c r="O17" s="39"/>
      <c r="P17" s="39"/>
      <c r="Q17" s="39"/>
      <c r="R17" s="39"/>
    </row>
    <row r="18" spans="1:18" ht="18" x14ac:dyDescent="0.35">
      <c r="A18" s="32">
        <v>39598</v>
      </c>
      <c r="B18" s="39"/>
      <c r="C18" s="39"/>
      <c r="D18" s="39"/>
      <c r="E18" s="39"/>
      <c r="F18" s="39"/>
      <c r="G18" s="39"/>
      <c r="J18" s="39"/>
      <c r="K18" s="39"/>
      <c r="L18" s="39"/>
      <c r="M18" s="39"/>
      <c r="N18" s="39"/>
      <c r="O18" s="39"/>
      <c r="P18" s="39"/>
      <c r="Q18" s="39"/>
      <c r="R18" s="39"/>
    </row>
    <row r="19" spans="1:18" ht="18" x14ac:dyDescent="0.35">
      <c r="A19" s="32">
        <v>39628</v>
      </c>
      <c r="B19" s="39"/>
      <c r="C19" s="39"/>
      <c r="D19" s="39"/>
      <c r="E19" s="39"/>
      <c r="F19" s="39"/>
      <c r="G19" s="39"/>
      <c r="J19" s="39"/>
      <c r="K19" s="39"/>
      <c r="L19" s="39"/>
      <c r="M19" s="39"/>
      <c r="N19" s="39"/>
      <c r="O19" s="39"/>
      <c r="P19" s="39"/>
      <c r="Q19" s="39"/>
      <c r="R19" s="39"/>
    </row>
    <row r="20" spans="1:18" ht="18" x14ac:dyDescent="0.35">
      <c r="A20" s="32">
        <v>39659</v>
      </c>
      <c r="B20" s="39"/>
      <c r="C20" s="39"/>
      <c r="D20" s="39"/>
      <c r="E20" s="39"/>
      <c r="F20" s="39"/>
      <c r="G20" s="39"/>
      <c r="J20" s="39"/>
      <c r="K20" s="39"/>
      <c r="L20" s="39"/>
      <c r="M20" s="39"/>
      <c r="N20" s="39"/>
      <c r="O20" s="39"/>
      <c r="P20" s="39"/>
      <c r="Q20" s="39"/>
      <c r="R20" s="39"/>
    </row>
    <row r="21" spans="1:18" ht="18" x14ac:dyDescent="0.35">
      <c r="A21" s="32">
        <v>39690</v>
      </c>
      <c r="B21" s="39"/>
      <c r="C21" s="39"/>
      <c r="D21" s="39"/>
      <c r="E21" s="39"/>
      <c r="F21" s="39"/>
      <c r="G21" s="39"/>
      <c r="J21" s="39"/>
      <c r="K21" s="39"/>
      <c r="L21" s="39"/>
      <c r="M21" s="39"/>
      <c r="N21" s="39"/>
      <c r="O21" s="39"/>
      <c r="P21" s="39"/>
      <c r="Q21" s="39"/>
      <c r="R21" s="39"/>
    </row>
    <row r="22" spans="1:18" ht="18" x14ac:dyDescent="0.35">
      <c r="A22" s="32">
        <v>39720</v>
      </c>
      <c r="B22" s="39"/>
      <c r="C22" s="39"/>
      <c r="D22" s="39"/>
      <c r="E22" s="39"/>
      <c r="F22" s="39"/>
      <c r="G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18" ht="18" x14ac:dyDescent="0.35">
      <c r="A23" s="32">
        <v>39751</v>
      </c>
      <c r="B23" s="39"/>
      <c r="C23" s="39"/>
      <c r="D23" s="39"/>
      <c r="E23" s="39"/>
      <c r="F23" s="39"/>
      <c r="G23" s="39"/>
      <c r="J23" s="39"/>
      <c r="K23" s="39"/>
      <c r="L23" s="39"/>
      <c r="M23" s="39"/>
      <c r="N23" s="39"/>
      <c r="O23" s="39"/>
      <c r="P23" s="39"/>
      <c r="Q23" s="39"/>
      <c r="R23" s="39"/>
    </row>
    <row r="24" spans="1:18" ht="18" x14ac:dyDescent="0.35">
      <c r="A24" s="32">
        <v>39781</v>
      </c>
      <c r="B24" s="39"/>
      <c r="C24" s="39"/>
      <c r="D24" s="39"/>
      <c r="E24" s="39"/>
      <c r="F24" s="39"/>
      <c r="G24" s="39"/>
      <c r="J24" s="39"/>
      <c r="K24" s="39"/>
      <c r="L24" s="39"/>
      <c r="M24" s="39"/>
      <c r="N24" s="39"/>
      <c r="O24" s="39"/>
      <c r="P24" s="39"/>
      <c r="Q24" s="39"/>
      <c r="R24" s="39"/>
    </row>
    <row r="25" spans="1:18" ht="18" x14ac:dyDescent="0.35">
      <c r="A25" s="32">
        <v>39812</v>
      </c>
      <c r="B25" s="39"/>
      <c r="C25" s="39"/>
      <c r="D25" s="39"/>
      <c r="E25" s="39"/>
      <c r="F25" s="39"/>
      <c r="G25" s="39"/>
      <c r="J25" s="39"/>
      <c r="K25" s="39"/>
      <c r="L25" s="39"/>
      <c r="M25" s="39"/>
      <c r="N25" s="39"/>
      <c r="O25" s="39"/>
      <c r="P25" s="39"/>
      <c r="Q25" s="39"/>
      <c r="R25" s="39"/>
    </row>
    <row r="26" spans="1:18" ht="18" x14ac:dyDescent="0.35">
      <c r="A26" s="32">
        <v>39843</v>
      </c>
      <c r="B26" s="39"/>
      <c r="C26" s="39"/>
      <c r="D26" s="39"/>
      <c r="E26" s="39"/>
      <c r="F26" s="39"/>
      <c r="G26" s="39"/>
      <c r="J26" s="39"/>
      <c r="K26" s="39"/>
      <c r="L26" s="39"/>
      <c r="M26" s="39"/>
      <c r="N26" s="39"/>
      <c r="O26" s="39"/>
      <c r="P26" s="39"/>
      <c r="Q26" s="39"/>
      <c r="R26" s="39"/>
    </row>
    <row r="27" spans="1:18" ht="18" x14ac:dyDescent="0.35">
      <c r="A27" s="32">
        <v>39871</v>
      </c>
      <c r="B27" s="39"/>
      <c r="C27" s="39"/>
      <c r="D27" s="39"/>
      <c r="E27" s="39"/>
      <c r="F27" s="39"/>
      <c r="G27" s="39"/>
      <c r="J27" s="39"/>
      <c r="K27" s="39"/>
      <c r="L27" s="39"/>
      <c r="M27" s="39"/>
      <c r="N27" s="39"/>
      <c r="O27" s="39"/>
      <c r="P27" s="39"/>
      <c r="Q27" s="39"/>
      <c r="R27" s="39"/>
    </row>
    <row r="28" spans="1:18" ht="18" x14ac:dyDescent="0.35">
      <c r="A28" s="32">
        <v>39902</v>
      </c>
      <c r="B28" s="39"/>
      <c r="C28" s="39"/>
      <c r="D28" s="39"/>
      <c r="E28" s="39"/>
      <c r="F28" s="39"/>
      <c r="G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1:18" ht="18" x14ac:dyDescent="0.35">
      <c r="A29" s="32">
        <v>39932</v>
      </c>
      <c r="B29" s="39"/>
      <c r="C29" s="39"/>
      <c r="D29" s="39"/>
      <c r="E29" s="39"/>
      <c r="F29" s="39"/>
      <c r="G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1:18" ht="18" x14ac:dyDescent="0.35">
      <c r="A30" s="32">
        <v>39963</v>
      </c>
      <c r="B30" s="39"/>
      <c r="C30" s="39"/>
      <c r="D30" s="39"/>
      <c r="E30" s="39"/>
      <c r="F30" s="39"/>
      <c r="G30" s="39"/>
      <c r="J30" s="39"/>
      <c r="K30" s="39"/>
      <c r="L30" s="39"/>
      <c r="M30" s="39"/>
      <c r="N30" s="39"/>
      <c r="O30" s="39"/>
      <c r="P30" s="39"/>
      <c r="Q30" s="39"/>
      <c r="R30" s="39"/>
    </row>
    <row r="31" spans="1:18" ht="18" x14ac:dyDescent="0.35">
      <c r="A31" s="32">
        <v>39993</v>
      </c>
      <c r="B31" s="39"/>
      <c r="C31" s="39"/>
      <c r="D31" s="39"/>
      <c r="E31" s="39"/>
      <c r="F31" s="39"/>
      <c r="G31" s="39"/>
      <c r="J31" s="39"/>
      <c r="K31" s="39"/>
      <c r="L31" s="39"/>
      <c r="M31" s="39"/>
      <c r="N31" s="39"/>
      <c r="O31" s="39"/>
      <c r="P31" s="39"/>
      <c r="Q31" s="39"/>
      <c r="R31" s="39"/>
    </row>
    <row r="32" spans="1:18" ht="18" x14ac:dyDescent="0.35">
      <c r="A32" s="32">
        <v>40024</v>
      </c>
      <c r="B32" s="39"/>
      <c r="C32" s="39"/>
      <c r="D32" s="39"/>
      <c r="E32" s="39"/>
      <c r="F32" s="39"/>
      <c r="G32" s="39"/>
      <c r="J32" s="39"/>
      <c r="K32" s="39"/>
      <c r="L32" s="39"/>
      <c r="M32" s="39"/>
      <c r="N32" s="39"/>
      <c r="O32" s="39"/>
      <c r="P32" s="39"/>
      <c r="Q32" s="39"/>
      <c r="R32" s="39"/>
    </row>
    <row r="33" spans="1:18" ht="18" x14ac:dyDescent="0.35">
      <c r="A33" s="32">
        <v>40055</v>
      </c>
      <c r="B33" s="39"/>
      <c r="C33" s="39"/>
      <c r="D33" s="39"/>
      <c r="E33" s="39"/>
      <c r="F33" s="39"/>
      <c r="G33" s="39"/>
      <c r="J33" s="39"/>
      <c r="K33" s="39"/>
      <c r="L33" s="39"/>
      <c r="M33" s="39"/>
      <c r="N33" s="39"/>
      <c r="O33" s="39"/>
      <c r="P33" s="39"/>
      <c r="Q33" s="39"/>
      <c r="R33" s="39"/>
    </row>
    <row r="34" spans="1:18" ht="18" x14ac:dyDescent="0.35">
      <c r="A34" s="32">
        <v>40085</v>
      </c>
      <c r="B34" s="39"/>
      <c r="C34" s="39"/>
      <c r="D34" s="39"/>
      <c r="E34" s="39"/>
      <c r="F34" s="39"/>
      <c r="G34" s="39"/>
      <c r="J34" s="39"/>
      <c r="K34" s="39"/>
      <c r="L34" s="39"/>
      <c r="M34" s="39"/>
      <c r="N34" s="39"/>
      <c r="O34" s="39"/>
      <c r="P34" s="39"/>
      <c r="Q34" s="39"/>
      <c r="R34" s="39"/>
    </row>
    <row r="35" spans="1:18" ht="18" x14ac:dyDescent="0.35">
      <c r="A35" s="32">
        <v>40116</v>
      </c>
      <c r="B35" s="39"/>
      <c r="C35" s="39"/>
      <c r="D35" s="39"/>
      <c r="E35" s="39"/>
      <c r="F35" s="39"/>
      <c r="G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1:18" ht="18" x14ac:dyDescent="0.35">
      <c r="A36" s="32">
        <v>40146</v>
      </c>
      <c r="B36" s="39"/>
      <c r="C36" s="39"/>
      <c r="D36" s="39"/>
      <c r="E36" s="39"/>
      <c r="F36" s="39"/>
      <c r="G36" s="39"/>
      <c r="J36" s="39"/>
      <c r="K36" s="39"/>
      <c r="L36" s="39"/>
      <c r="M36" s="39"/>
      <c r="N36" s="39"/>
      <c r="O36" s="39"/>
      <c r="P36" s="39"/>
      <c r="Q36" s="39"/>
      <c r="R36" s="39"/>
    </row>
    <row r="37" spans="1:18" ht="18" x14ac:dyDescent="0.35">
      <c r="A37" s="32">
        <v>40177</v>
      </c>
      <c r="B37" s="39"/>
      <c r="C37" s="39"/>
      <c r="D37" s="39"/>
      <c r="E37" s="39"/>
      <c r="F37" s="39"/>
      <c r="G37" s="39"/>
      <c r="J37" s="39"/>
      <c r="K37" s="39"/>
      <c r="L37" s="39"/>
      <c r="M37" s="39"/>
      <c r="N37" s="39"/>
      <c r="O37" s="39"/>
      <c r="P37" s="39"/>
      <c r="Q37" s="39"/>
      <c r="R37" s="39"/>
    </row>
    <row r="38" spans="1:18" x14ac:dyDescent="0.35">
      <c r="J38" s="39"/>
      <c r="K38" s="39"/>
      <c r="L38" s="39"/>
      <c r="M38" s="39"/>
      <c r="N38" s="39"/>
      <c r="O38" s="39"/>
      <c r="P38" s="39"/>
      <c r="Q38" s="39"/>
      <c r="R38" s="39"/>
    </row>
    <row r="39" spans="1:18" x14ac:dyDescent="0.35">
      <c r="J39" s="39"/>
      <c r="K39" s="39"/>
      <c r="L39" s="39"/>
      <c r="M39" s="39"/>
      <c r="N39" s="39"/>
      <c r="O39" s="39"/>
      <c r="P39" s="39"/>
      <c r="Q39" s="39"/>
      <c r="R39" s="39"/>
    </row>
    <row r="40" spans="1:18" x14ac:dyDescent="0.35">
      <c r="J40" s="39"/>
      <c r="K40" s="39"/>
      <c r="L40" s="39"/>
      <c r="M40" s="39"/>
      <c r="N40" s="39"/>
      <c r="O40" s="39"/>
      <c r="P40" s="39"/>
      <c r="Q40" s="39"/>
      <c r="R40" s="39"/>
    </row>
    <row r="41" spans="1:18" x14ac:dyDescent="0.35">
      <c r="J41" s="39"/>
      <c r="K41" s="39"/>
      <c r="L41" s="39"/>
      <c r="M41" s="39"/>
      <c r="N41" s="39"/>
      <c r="O41" s="39"/>
      <c r="P41" s="39"/>
      <c r="Q41" s="39"/>
      <c r="R41" s="39"/>
    </row>
    <row r="42" spans="1:18" x14ac:dyDescent="0.35">
      <c r="J42" s="39"/>
      <c r="K42" s="39"/>
      <c r="L42" s="39"/>
      <c r="M42" s="39"/>
      <c r="N42" s="39"/>
      <c r="O42" s="39"/>
      <c r="P42" s="39"/>
      <c r="Q42" s="39"/>
      <c r="R42" s="39"/>
    </row>
    <row r="43" spans="1:18" x14ac:dyDescent="0.35">
      <c r="J43" s="39"/>
      <c r="K43" s="39"/>
      <c r="L43" s="39"/>
      <c r="M43" s="39"/>
      <c r="N43" s="39"/>
      <c r="O43" s="39"/>
      <c r="P43" s="39"/>
      <c r="Q43" s="39"/>
      <c r="R43" s="39"/>
    </row>
    <row r="44" spans="1:18" x14ac:dyDescent="0.35">
      <c r="J44" s="39"/>
      <c r="K44" s="39"/>
      <c r="L44" s="39"/>
      <c r="M44" s="39"/>
      <c r="N44" s="39"/>
      <c r="O44" s="39"/>
      <c r="P44" s="39"/>
      <c r="Q44" s="39"/>
      <c r="R44" s="39"/>
    </row>
    <row r="45" spans="1:18" x14ac:dyDescent="0.35">
      <c r="J45" s="39"/>
      <c r="K45" s="39"/>
      <c r="L45" s="39"/>
      <c r="M45" s="39"/>
      <c r="N45" s="39"/>
      <c r="O45" s="39"/>
      <c r="P45" s="39"/>
      <c r="Q45" s="39"/>
      <c r="R45" s="39"/>
    </row>
    <row r="46" spans="1:18" x14ac:dyDescent="0.35">
      <c r="J46" s="39"/>
      <c r="K46" s="39"/>
      <c r="L46" s="39"/>
      <c r="M46" s="39"/>
      <c r="N46" s="39"/>
      <c r="O46" s="39"/>
      <c r="P46" s="39"/>
      <c r="Q46" s="39"/>
      <c r="R46" s="39"/>
    </row>
    <row r="47" spans="1:18" x14ac:dyDescent="0.35">
      <c r="J47" s="39"/>
      <c r="K47" s="39"/>
      <c r="L47" s="39"/>
      <c r="M47" s="39"/>
      <c r="N47" s="39"/>
      <c r="O47" s="39"/>
      <c r="P47" s="39"/>
      <c r="Q47" s="39"/>
      <c r="R47" s="39"/>
    </row>
    <row r="48" spans="1:18" x14ac:dyDescent="0.35">
      <c r="J48" s="39"/>
      <c r="K48" s="39"/>
      <c r="L48" s="39"/>
      <c r="M48" s="39"/>
      <c r="N48" s="39"/>
      <c r="O48" s="39"/>
      <c r="P48" s="39"/>
      <c r="Q48" s="39"/>
      <c r="R48" s="39"/>
    </row>
    <row r="49" spans="10:18" x14ac:dyDescent="0.35">
      <c r="J49" s="39"/>
      <c r="K49" s="39"/>
      <c r="L49" s="39"/>
      <c r="M49" s="39"/>
      <c r="N49" s="39"/>
      <c r="O49" s="39"/>
      <c r="P49" s="39"/>
      <c r="Q49" s="39"/>
      <c r="R49" s="39"/>
    </row>
    <row r="50" spans="10:18" x14ac:dyDescent="0.35">
      <c r="J50" s="39"/>
      <c r="K50" s="39"/>
      <c r="L50" s="39"/>
      <c r="M50" s="39"/>
      <c r="N50" s="39"/>
      <c r="O50" s="39"/>
      <c r="P50" s="39"/>
      <c r="Q50" s="39"/>
      <c r="R50" s="39"/>
    </row>
    <row r="51" spans="10:18" x14ac:dyDescent="0.35">
      <c r="J51" s="39"/>
      <c r="K51" s="39"/>
      <c r="L51" s="39"/>
      <c r="M51" s="39"/>
      <c r="N51" s="39"/>
      <c r="O51" s="39"/>
      <c r="P51" s="39"/>
      <c r="Q51" s="39"/>
      <c r="R51" s="39"/>
    </row>
    <row r="52" spans="10:18" x14ac:dyDescent="0.35">
      <c r="J52" s="39"/>
      <c r="K52" s="39"/>
      <c r="L52" s="39"/>
      <c r="M52" s="39"/>
      <c r="N52" s="39"/>
      <c r="O52" s="39"/>
      <c r="P52" s="39"/>
      <c r="Q52" s="39"/>
      <c r="R52" s="39"/>
    </row>
    <row r="53" spans="10:18" x14ac:dyDescent="0.35">
      <c r="J53" s="39"/>
      <c r="K53" s="39"/>
      <c r="L53" s="39"/>
      <c r="M53" s="39"/>
      <c r="N53" s="39"/>
      <c r="O53" s="39"/>
      <c r="P53" s="39"/>
      <c r="Q53" s="39"/>
      <c r="R53" s="39"/>
    </row>
    <row r="54" spans="10:18" x14ac:dyDescent="0.35">
      <c r="J54" s="39"/>
      <c r="K54" s="39"/>
      <c r="L54" s="39"/>
      <c r="M54" s="39"/>
      <c r="N54" s="39"/>
      <c r="O54" s="39"/>
      <c r="P54" s="39"/>
      <c r="Q54" s="39"/>
      <c r="R54" s="39"/>
    </row>
    <row r="55" spans="10:18" x14ac:dyDescent="0.35">
      <c r="J55" s="39"/>
      <c r="K55" s="39"/>
      <c r="L55" s="39"/>
      <c r="M55" s="39"/>
      <c r="N55" s="39"/>
      <c r="O55" s="39"/>
      <c r="P55" s="39"/>
      <c r="Q55" s="39"/>
      <c r="R55" s="39"/>
    </row>
    <row r="56" spans="10:18" x14ac:dyDescent="0.35">
      <c r="J56" s="39"/>
      <c r="K56" s="39"/>
      <c r="L56" s="39"/>
      <c r="M56" s="39"/>
      <c r="N56" s="39"/>
      <c r="O56" s="39"/>
      <c r="P56" s="39"/>
      <c r="Q56" s="39"/>
      <c r="R56" s="39"/>
    </row>
    <row r="57" spans="10:18" x14ac:dyDescent="0.35">
      <c r="J57" s="39"/>
      <c r="K57" s="39"/>
      <c r="L57" s="39"/>
      <c r="M57" s="39"/>
      <c r="N57" s="39"/>
      <c r="O57" s="39"/>
      <c r="P57" s="39"/>
      <c r="Q57" s="39"/>
      <c r="R57" s="39"/>
    </row>
    <row r="58" spans="10:18" x14ac:dyDescent="0.35">
      <c r="J58" s="39"/>
      <c r="K58" s="39"/>
      <c r="L58" s="39"/>
      <c r="M58" s="39"/>
      <c r="N58" s="39"/>
      <c r="O58" s="39"/>
      <c r="P58" s="39"/>
      <c r="Q58" s="39"/>
      <c r="R58" s="39"/>
    </row>
    <row r="59" spans="10:18" x14ac:dyDescent="0.35">
      <c r="J59" s="39"/>
      <c r="K59" s="39"/>
      <c r="L59" s="39"/>
      <c r="M59" s="39"/>
      <c r="N59" s="39"/>
      <c r="O59" s="39"/>
      <c r="P59" s="39"/>
      <c r="Q59" s="39"/>
      <c r="R59" s="39"/>
    </row>
    <row r="60" spans="10:18" x14ac:dyDescent="0.35">
      <c r="J60" s="39"/>
      <c r="K60" s="39"/>
      <c r="L60" s="39"/>
      <c r="M60" s="39"/>
      <c r="N60" s="39"/>
      <c r="O60" s="39"/>
      <c r="P60" s="39"/>
      <c r="Q60" s="39"/>
      <c r="R60" s="39"/>
    </row>
    <row r="61" spans="10:18" x14ac:dyDescent="0.35">
      <c r="J61" s="39"/>
      <c r="K61" s="39"/>
      <c r="L61" s="39"/>
      <c r="M61" s="39"/>
      <c r="N61" s="39"/>
      <c r="O61" s="39"/>
      <c r="P61" s="39"/>
      <c r="Q61" s="39"/>
      <c r="R61" s="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4014-5998-4661-B820-4D59F733C47D}">
  <sheetPr codeName="Sheet6"/>
  <dimension ref="A1:X61"/>
  <sheetViews>
    <sheetView zoomScale="85" zoomScaleNormal="85" workbookViewId="0">
      <selection activeCell="A2" sqref="A2:A61"/>
    </sheetView>
  </sheetViews>
  <sheetFormatPr defaultColWidth="9.1796875" defaultRowHeight="17.5" x14ac:dyDescent="0.35"/>
  <cols>
    <col min="1" max="1" width="15.453125" style="1" bestFit="1" customWidth="1"/>
    <col min="2" max="2" width="19.7265625" style="1" bestFit="1" customWidth="1"/>
    <col min="3" max="3" width="15" style="1" bestFit="1" customWidth="1"/>
    <col min="4" max="4" width="5.54296875" style="1" bestFit="1" customWidth="1"/>
    <col min="5" max="5" width="7" style="1" bestFit="1" customWidth="1"/>
    <col min="6" max="6" width="24.1796875" style="1" bestFit="1" customWidth="1"/>
    <col min="7" max="7" width="9.26953125" style="1" bestFit="1" customWidth="1"/>
    <col min="8" max="8" width="2.54296875" style="1" customWidth="1"/>
    <col min="9" max="9" width="19.1796875" style="1" bestFit="1" customWidth="1"/>
    <col min="10" max="15" width="9.1796875" style="1"/>
    <col min="16" max="16" width="2.54296875" style="1" customWidth="1"/>
    <col min="17" max="17" width="34.453125" style="1" bestFit="1" customWidth="1"/>
    <col min="18" max="18" width="6.453125" style="47" customWidth="1"/>
    <col min="19" max="19" width="52.26953125" style="1" bestFit="1" customWidth="1"/>
    <col min="20" max="20" width="9.453125" style="1" bestFit="1" customWidth="1"/>
    <col min="21" max="21" width="4.7265625" style="1" customWidth="1"/>
    <col min="22" max="22" width="9.1796875" style="1"/>
    <col min="23" max="23" width="32.54296875" style="1" bestFit="1" customWidth="1"/>
    <col min="24" max="24" width="43.81640625" style="1" bestFit="1" customWidth="1"/>
    <col min="25" max="16384" width="9.1796875" style="1"/>
  </cols>
  <sheetData>
    <row r="1" spans="1:24" ht="18" x14ac:dyDescent="0.4">
      <c r="B1" s="35" t="s">
        <v>36</v>
      </c>
      <c r="C1" s="35" t="s">
        <v>0</v>
      </c>
      <c r="D1" s="35" t="s">
        <v>1</v>
      </c>
      <c r="E1" s="35" t="s">
        <v>2</v>
      </c>
      <c r="F1" s="35" t="s">
        <v>37</v>
      </c>
      <c r="G1" s="35" t="s">
        <v>3</v>
      </c>
      <c r="I1" s="25" t="s">
        <v>28</v>
      </c>
      <c r="J1" s="49"/>
      <c r="K1" s="49"/>
      <c r="L1" s="49"/>
      <c r="M1" s="49"/>
      <c r="N1" s="49"/>
      <c r="O1" s="49"/>
      <c r="P1" s="39"/>
      <c r="Q1" s="25" t="s">
        <v>32</v>
      </c>
      <c r="R1" s="40"/>
      <c r="S1" s="41" t="s">
        <v>17</v>
      </c>
      <c r="T1" s="42"/>
      <c r="W1" s="25" t="s">
        <v>31</v>
      </c>
      <c r="X1" s="25" t="s">
        <v>33</v>
      </c>
    </row>
    <row r="2" spans="1:24" ht="18" x14ac:dyDescent="0.4">
      <c r="A2" s="32">
        <v>39843</v>
      </c>
      <c r="B2" s="39"/>
      <c r="C2" s="39"/>
      <c r="D2" s="39"/>
      <c r="E2" s="39"/>
      <c r="F2" s="39"/>
      <c r="G2" s="39"/>
      <c r="J2" s="39"/>
      <c r="K2" s="39"/>
      <c r="L2" s="39"/>
      <c r="M2" s="39"/>
      <c r="N2" s="39"/>
      <c r="O2" s="39"/>
      <c r="P2" s="39"/>
      <c r="Q2" s="39"/>
      <c r="R2" s="40"/>
      <c r="S2" s="25" t="s">
        <v>30</v>
      </c>
      <c r="T2" s="42"/>
    </row>
    <row r="3" spans="1:24" ht="18" x14ac:dyDescent="0.4">
      <c r="A3" s="32">
        <v>39871</v>
      </c>
      <c r="B3" s="39"/>
      <c r="C3" s="39"/>
      <c r="D3" s="39"/>
      <c r="E3" s="39"/>
      <c r="F3" s="39"/>
      <c r="G3" s="39"/>
      <c r="J3" s="39"/>
      <c r="K3" s="39"/>
      <c r="L3" s="39"/>
      <c r="M3" s="39"/>
      <c r="N3" s="39"/>
      <c r="O3" s="39"/>
      <c r="P3" s="39"/>
      <c r="Q3" s="39"/>
      <c r="R3" s="40"/>
      <c r="S3" s="25" t="s">
        <v>31</v>
      </c>
      <c r="T3" s="42"/>
    </row>
    <row r="4" spans="1:24" ht="18" x14ac:dyDescent="0.4">
      <c r="A4" s="32">
        <v>39902</v>
      </c>
      <c r="B4" s="39"/>
      <c r="C4" s="39"/>
      <c r="D4" s="39"/>
      <c r="E4" s="39"/>
      <c r="F4" s="39"/>
      <c r="G4" s="39"/>
      <c r="J4" s="39"/>
      <c r="K4" s="39"/>
      <c r="L4" s="39"/>
      <c r="M4" s="39"/>
      <c r="N4" s="39"/>
      <c r="O4" s="39"/>
      <c r="P4" s="39"/>
      <c r="Q4" s="39"/>
      <c r="R4" s="40"/>
      <c r="S4" s="25" t="s">
        <v>29</v>
      </c>
      <c r="T4" s="43"/>
    </row>
    <row r="5" spans="1:24" ht="18" x14ac:dyDescent="0.4">
      <c r="A5" s="32">
        <v>39932</v>
      </c>
      <c r="B5" s="39"/>
      <c r="C5" s="39"/>
      <c r="D5" s="39"/>
      <c r="E5" s="39"/>
      <c r="F5" s="39"/>
      <c r="G5" s="39"/>
      <c r="J5" s="39"/>
      <c r="K5" s="39"/>
      <c r="L5" s="39"/>
      <c r="M5" s="39"/>
      <c r="N5" s="39"/>
      <c r="O5" s="39"/>
      <c r="P5" s="39"/>
      <c r="Q5" s="39"/>
      <c r="R5" s="40"/>
      <c r="S5" s="25" t="s">
        <v>33</v>
      </c>
      <c r="T5" s="42"/>
    </row>
    <row r="6" spans="1:24" ht="18" x14ac:dyDescent="0.4">
      <c r="A6" s="32">
        <v>39963</v>
      </c>
      <c r="B6" s="39"/>
      <c r="C6" s="39"/>
      <c r="D6" s="39"/>
      <c r="E6" s="39"/>
      <c r="F6" s="39"/>
      <c r="G6" s="39"/>
      <c r="J6" s="39"/>
      <c r="K6" s="39"/>
      <c r="L6" s="39"/>
      <c r="M6" s="39"/>
      <c r="N6" s="39"/>
      <c r="O6" s="39"/>
      <c r="P6" s="39"/>
      <c r="Q6" s="39"/>
      <c r="R6" s="40"/>
      <c r="S6" s="25" t="s">
        <v>13</v>
      </c>
      <c r="T6" s="42">
        <v>1.6500000000000001E-2</v>
      </c>
    </row>
    <row r="7" spans="1:24" ht="18" x14ac:dyDescent="0.4">
      <c r="A7" s="32">
        <v>39993</v>
      </c>
      <c r="B7" s="39"/>
      <c r="C7" s="39"/>
      <c r="D7" s="39"/>
      <c r="E7" s="39"/>
      <c r="F7" s="39"/>
      <c r="G7" s="39"/>
      <c r="J7" s="39"/>
      <c r="K7" s="39"/>
      <c r="L7" s="39"/>
      <c r="M7" s="39"/>
      <c r="N7" s="39"/>
      <c r="O7" s="39"/>
      <c r="P7" s="39"/>
      <c r="Q7" s="39"/>
      <c r="R7" s="40"/>
      <c r="S7" s="25" t="s">
        <v>14</v>
      </c>
      <c r="T7" s="44"/>
    </row>
    <row r="8" spans="1:24" ht="18" x14ac:dyDescent="0.35">
      <c r="A8" s="32">
        <v>40024</v>
      </c>
      <c r="B8" s="39"/>
      <c r="C8" s="39"/>
      <c r="D8" s="39"/>
      <c r="E8" s="39"/>
      <c r="F8" s="39"/>
      <c r="G8" s="39"/>
      <c r="J8" s="39"/>
      <c r="K8" s="39"/>
      <c r="L8" s="39"/>
      <c r="M8" s="39"/>
      <c r="N8" s="39"/>
      <c r="O8" s="39"/>
      <c r="P8" s="39"/>
      <c r="Q8" s="39"/>
      <c r="R8" s="40"/>
    </row>
    <row r="9" spans="1:24" ht="18" x14ac:dyDescent="0.4">
      <c r="A9" s="32">
        <v>40055</v>
      </c>
      <c r="B9" s="39"/>
      <c r="C9" s="39"/>
      <c r="D9" s="39"/>
      <c r="E9" s="39"/>
      <c r="F9" s="39"/>
      <c r="G9" s="39"/>
      <c r="J9" s="39"/>
      <c r="K9" s="39"/>
      <c r="L9" s="39"/>
      <c r="M9" s="39"/>
      <c r="N9" s="39"/>
      <c r="O9" s="39"/>
      <c r="P9" s="39"/>
      <c r="Q9" s="39"/>
      <c r="R9" s="40"/>
      <c r="S9" s="25" t="s">
        <v>34</v>
      </c>
      <c r="T9" s="45"/>
    </row>
    <row r="10" spans="1:24" ht="18" x14ac:dyDescent="0.4">
      <c r="A10" s="32">
        <v>40085</v>
      </c>
      <c r="B10" s="39"/>
      <c r="C10" s="39"/>
      <c r="D10" s="39"/>
      <c r="E10" s="39"/>
      <c r="F10" s="39"/>
      <c r="G10" s="39"/>
      <c r="J10" s="39"/>
      <c r="K10" s="39"/>
      <c r="L10" s="39"/>
      <c r="M10" s="39"/>
      <c r="N10" s="39"/>
      <c r="O10" s="39"/>
      <c r="P10" s="39"/>
      <c r="Q10" s="39"/>
      <c r="R10" s="40"/>
      <c r="S10" s="25" t="s">
        <v>35</v>
      </c>
      <c r="T10" s="45"/>
    </row>
    <row r="11" spans="1:24" ht="18" x14ac:dyDescent="0.35">
      <c r="A11" s="32">
        <v>40116</v>
      </c>
      <c r="B11" s="39"/>
      <c r="C11" s="39"/>
      <c r="D11" s="39"/>
      <c r="E11" s="39"/>
      <c r="F11" s="39"/>
      <c r="G11" s="39"/>
      <c r="J11" s="39"/>
      <c r="K11" s="39"/>
      <c r="L11" s="39"/>
      <c r="M11" s="39"/>
      <c r="N11" s="39"/>
      <c r="O11" s="39"/>
      <c r="P11" s="39"/>
      <c r="Q11" s="39"/>
      <c r="R11" s="40"/>
    </row>
    <row r="12" spans="1:24" ht="18" x14ac:dyDescent="0.35">
      <c r="A12" s="32">
        <v>40146</v>
      </c>
      <c r="B12" s="39"/>
      <c r="C12" s="39"/>
      <c r="D12" s="39"/>
      <c r="E12" s="39"/>
      <c r="F12" s="39"/>
      <c r="G12" s="39"/>
      <c r="J12" s="39"/>
      <c r="K12" s="39"/>
      <c r="L12" s="39"/>
      <c r="M12" s="39"/>
      <c r="N12" s="39"/>
      <c r="O12" s="39"/>
      <c r="P12" s="39"/>
      <c r="Q12" s="39"/>
      <c r="R12" s="40"/>
    </row>
    <row r="13" spans="1:24" ht="18" x14ac:dyDescent="0.35">
      <c r="A13" s="32">
        <v>40177</v>
      </c>
      <c r="B13" s="39"/>
      <c r="C13" s="39"/>
      <c r="D13" s="39"/>
      <c r="E13" s="39"/>
      <c r="F13" s="39"/>
      <c r="G13" s="39"/>
      <c r="J13" s="39"/>
      <c r="K13" s="39"/>
      <c r="L13" s="39"/>
      <c r="M13" s="39"/>
      <c r="N13" s="39"/>
      <c r="O13" s="39"/>
      <c r="P13" s="39"/>
      <c r="Q13" s="39"/>
      <c r="R13" s="40"/>
    </row>
    <row r="14" spans="1:24" ht="18" x14ac:dyDescent="0.35">
      <c r="A14" s="32">
        <v>40208</v>
      </c>
      <c r="B14" s="39"/>
      <c r="C14" s="39"/>
      <c r="D14" s="39"/>
      <c r="E14" s="39"/>
      <c r="F14" s="39"/>
      <c r="G14" s="39"/>
      <c r="J14" s="39"/>
      <c r="K14" s="39"/>
      <c r="L14" s="39"/>
      <c r="M14" s="39"/>
      <c r="N14" s="39"/>
      <c r="O14" s="39"/>
      <c r="P14" s="39"/>
      <c r="Q14" s="39"/>
      <c r="R14" s="40"/>
    </row>
    <row r="15" spans="1:24" ht="18" x14ac:dyDescent="0.35">
      <c r="A15" s="32">
        <v>40236</v>
      </c>
      <c r="B15" s="39"/>
      <c r="C15" s="39"/>
      <c r="D15" s="39"/>
      <c r="E15" s="39"/>
      <c r="F15" s="39"/>
      <c r="G15" s="39"/>
      <c r="J15" s="39"/>
      <c r="K15" s="39"/>
      <c r="L15" s="39"/>
      <c r="M15" s="39"/>
      <c r="N15" s="39"/>
      <c r="O15" s="39"/>
      <c r="P15" s="39"/>
      <c r="Q15" s="39"/>
      <c r="R15" s="40"/>
    </row>
    <row r="16" spans="1:24" ht="18" x14ac:dyDescent="0.35">
      <c r="A16" s="32">
        <v>40267</v>
      </c>
      <c r="B16" s="39"/>
      <c r="C16" s="39"/>
      <c r="D16" s="39"/>
      <c r="E16" s="39"/>
      <c r="F16" s="39"/>
      <c r="G16" s="39"/>
      <c r="J16" s="39"/>
      <c r="K16" s="39"/>
      <c r="L16" s="39"/>
      <c r="M16" s="39"/>
      <c r="N16" s="39"/>
      <c r="O16" s="39"/>
      <c r="P16" s="39"/>
      <c r="Q16" s="39"/>
      <c r="R16" s="40"/>
    </row>
    <row r="17" spans="1:18" ht="18" x14ac:dyDescent="0.35">
      <c r="A17" s="32">
        <v>40297</v>
      </c>
      <c r="B17" s="39"/>
      <c r="C17" s="39"/>
      <c r="D17" s="39"/>
      <c r="E17" s="39"/>
      <c r="F17" s="39"/>
      <c r="G17" s="39"/>
      <c r="J17" s="39"/>
      <c r="K17" s="39"/>
      <c r="L17" s="39"/>
      <c r="M17" s="39"/>
      <c r="N17" s="39"/>
      <c r="O17" s="39"/>
      <c r="P17" s="39"/>
      <c r="Q17" s="39"/>
      <c r="R17" s="40"/>
    </row>
    <row r="18" spans="1:18" ht="18" x14ac:dyDescent="0.35">
      <c r="A18" s="32">
        <v>40328</v>
      </c>
      <c r="B18" s="39"/>
      <c r="C18" s="39"/>
      <c r="D18" s="39"/>
      <c r="E18" s="39"/>
      <c r="F18" s="39"/>
      <c r="G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1:18" ht="18" x14ac:dyDescent="0.35">
      <c r="A19" s="32">
        <v>40358</v>
      </c>
      <c r="B19" s="39"/>
      <c r="C19" s="39"/>
      <c r="D19" s="39"/>
      <c r="E19" s="39"/>
      <c r="F19" s="39"/>
      <c r="G19" s="39"/>
      <c r="J19" s="39"/>
      <c r="K19" s="39"/>
      <c r="L19" s="39"/>
      <c r="M19" s="39"/>
      <c r="N19" s="39"/>
      <c r="O19" s="39"/>
      <c r="P19" s="39"/>
      <c r="Q19" s="39"/>
      <c r="R19" s="40"/>
    </row>
    <row r="20" spans="1:18" ht="18" x14ac:dyDescent="0.35">
      <c r="A20" s="32">
        <v>40389</v>
      </c>
      <c r="B20" s="39"/>
      <c r="C20" s="39"/>
      <c r="D20" s="39"/>
      <c r="E20" s="39"/>
      <c r="F20" s="39"/>
      <c r="G20" s="39"/>
      <c r="J20" s="39"/>
      <c r="K20" s="39"/>
      <c r="L20" s="39"/>
      <c r="M20" s="39"/>
      <c r="N20" s="39"/>
      <c r="O20" s="39"/>
      <c r="P20" s="39"/>
      <c r="Q20" s="39"/>
      <c r="R20" s="40"/>
    </row>
    <row r="21" spans="1:18" ht="18" x14ac:dyDescent="0.35">
      <c r="A21" s="32">
        <v>40420</v>
      </c>
      <c r="B21" s="39"/>
      <c r="C21" s="39"/>
      <c r="D21" s="39"/>
      <c r="E21" s="39"/>
      <c r="F21" s="39"/>
      <c r="G21" s="39"/>
      <c r="J21" s="39"/>
      <c r="K21" s="39"/>
      <c r="L21" s="39"/>
      <c r="M21" s="39"/>
      <c r="N21" s="39"/>
      <c r="O21" s="39"/>
      <c r="P21" s="39"/>
      <c r="Q21" s="39"/>
      <c r="R21" s="40"/>
    </row>
    <row r="22" spans="1:18" ht="18" x14ac:dyDescent="0.35">
      <c r="A22" s="32">
        <v>40450</v>
      </c>
      <c r="B22" s="39"/>
      <c r="C22" s="39"/>
      <c r="D22" s="39"/>
      <c r="E22" s="39"/>
      <c r="F22" s="39"/>
      <c r="G22" s="39"/>
      <c r="J22" s="39"/>
      <c r="K22" s="39"/>
      <c r="L22" s="39"/>
      <c r="M22" s="39"/>
      <c r="N22" s="39"/>
      <c r="O22" s="39"/>
      <c r="P22" s="39"/>
      <c r="Q22" s="39"/>
      <c r="R22" s="40"/>
    </row>
    <row r="23" spans="1:18" ht="18" x14ac:dyDescent="0.35">
      <c r="A23" s="32">
        <v>40481</v>
      </c>
      <c r="B23" s="39"/>
      <c r="C23" s="39"/>
      <c r="D23" s="39"/>
      <c r="E23" s="39"/>
      <c r="F23" s="39"/>
      <c r="G23" s="39"/>
      <c r="J23" s="39"/>
      <c r="K23" s="39"/>
      <c r="L23" s="39"/>
      <c r="M23" s="39"/>
      <c r="N23" s="39"/>
      <c r="O23" s="39"/>
      <c r="P23" s="39"/>
      <c r="Q23" s="39"/>
      <c r="R23" s="40"/>
    </row>
    <row r="24" spans="1:18" ht="18" x14ac:dyDescent="0.35">
      <c r="A24" s="32">
        <v>40511</v>
      </c>
      <c r="B24" s="39"/>
      <c r="C24" s="39"/>
      <c r="D24" s="39"/>
      <c r="E24" s="39"/>
      <c r="F24" s="39"/>
      <c r="G24" s="39"/>
      <c r="J24" s="39"/>
      <c r="K24" s="39"/>
      <c r="L24" s="39"/>
      <c r="M24" s="39"/>
      <c r="N24" s="39"/>
      <c r="O24" s="39"/>
      <c r="P24" s="39"/>
      <c r="Q24" s="39"/>
      <c r="R24" s="40"/>
    </row>
    <row r="25" spans="1:18" ht="18" x14ac:dyDescent="0.35">
      <c r="A25" s="32">
        <v>40542</v>
      </c>
      <c r="B25" s="39"/>
      <c r="C25" s="39"/>
      <c r="D25" s="39"/>
      <c r="E25" s="39"/>
      <c r="F25" s="39"/>
      <c r="G25" s="39"/>
      <c r="J25" s="39"/>
      <c r="K25" s="39"/>
      <c r="L25" s="39"/>
      <c r="M25" s="39"/>
      <c r="N25" s="39"/>
      <c r="O25" s="39"/>
      <c r="P25" s="39"/>
      <c r="Q25" s="39"/>
      <c r="R25" s="40"/>
    </row>
    <row r="26" spans="1:18" ht="18" x14ac:dyDescent="0.35">
      <c r="A26" s="32">
        <v>40573</v>
      </c>
      <c r="B26" s="39"/>
      <c r="C26" s="39"/>
      <c r="D26" s="39"/>
      <c r="E26" s="39"/>
      <c r="F26" s="39"/>
      <c r="G26" s="39"/>
      <c r="J26" s="39"/>
      <c r="K26" s="39"/>
      <c r="L26" s="39"/>
      <c r="M26" s="39"/>
      <c r="N26" s="39"/>
      <c r="O26" s="39"/>
      <c r="P26" s="39"/>
      <c r="Q26" s="39"/>
      <c r="R26" s="40"/>
    </row>
    <row r="27" spans="1:18" ht="18" x14ac:dyDescent="0.35">
      <c r="A27" s="32">
        <v>40601</v>
      </c>
      <c r="B27" s="39"/>
      <c r="C27" s="39"/>
      <c r="D27" s="39"/>
      <c r="E27" s="39"/>
      <c r="F27" s="39"/>
      <c r="G27" s="39"/>
      <c r="J27" s="39"/>
      <c r="K27" s="39"/>
      <c r="L27" s="39"/>
      <c r="M27" s="39"/>
      <c r="N27" s="39"/>
      <c r="O27" s="39"/>
      <c r="P27" s="39"/>
      <c r="Q27" s="39"/>
      <c r="R27" s="40"/>
    </row>
    <row r="28" spans="1:18" ht="18" x14ac:dyDescent="0.35">
      <c r="A28" s="32">
        <v>40632</v>
      </c>
      <c r="B28" s="39"/>
      <c r="C28" s="39"/>
      <c r="D28" s="39"/>
      <c r="E28" s="39"/>
      <c r="F28" s="39"/>
      <c r="G28" s="39"/>
      <c r="J28" s="39"/>
      <c r="K28" s="39"/>
      <c r="L28" s="39"/>
      <c r="M28" s="39"/>
      <c r="N28" s="39"/>
      <c r="O28" s="39"/>
      <c r="P28" s="39"/>
      <c r="Q28" s="39"/>
      <c r="R28" s="40"/>
    </row>
    <row r="29" spans="1:18" ht="18" x14ac:dyDescent="0.35">
      <c r="A29" s="32">
        <v>40662</v>
      </c>
      <c r="B29" s="39"/>
      <c r="C29" s="39"/>
      <c r="D29" s="39"/>
      <c r="E29" s="39"/>
      <c r="F29" s="39"/>
      <c r="G29" s="39"/>
      <c r="J29" s="39"/>
      <c r="K29" s="39"/>
      <c r="L29" s="39"/>
      <c r="M29" s="39"/>
      <c r="N29" s="39"/>
      <c r="O29" s="39"/>
      <c r="P29" s="39"/>
      <c r="Q29" s="39"/>
      <c r="R29" s="40"/>
    </row>
    <row r="30" spans="1:18" ht="18" x14ac:dyDescent="0.35">
      <c r="A30" s="32">
        <v>40693</v>
      </c>
      <c r="B30" s="39"/>
      <c r="C30" s="39"/>
      <c r="D30" s="39"/>
      <c r="E30" s="39"/>
      <c r="F30" s="39"/>
      <c r="G30" s="39"/>
      <c r="J30" s="39"/>
      <c r="K30" s="39"/>
      <c r="L30" s="39"/>
      <c r="M30" s="39"/>
      <c r="N30" s="39"/>
      <c r="O30" s="39"/>
      <c r="P30" s="39"/>
      <c r="Q30" s="39"/>
      <c r="R30" s="40"/>
    </row>
    <row r="31" spans="1:18" ht="18" x14ac:dyDescent="0.35">
      <c r="A31" s="32">
        <v>40723</v>
      </c>
      <c r="B31" s="39"/>
      <c r="C31" s="39"/>
      <c r="D31" s="39"/>
      <c r="E31" s="39"/>
      <c r="F31" s="39"/>
      <c r="G31" s="39"/>
      <c r="J31" s="39"/>
      <c r="K31" s="39"/>
      <c r="L31" s="39"/>
      <c r="M31" s="39"/>
      <c r="N31" s="39"/>
      <c r="O31" s="39"/>
      <c r="P31" s="39"/>
      <c r="Q31" s="39"/>
      <c r="R31" s="40"/>
    </row>
    <row r="32" spans="1:18" ht="18" x14ac:dyDescent="0.35">
      <c r="A32" s="32">
        <v>40754</v>
      </c>
      <c r="B32" s="39"/>
      <c r="C32" s="39"/>
      <c r="D32" s="39"/>
      <c r="E32" s="39"/>
      <c r="F32" s="39"/>
      <c r="G32" s="39"/>
      <c r="J32" s="39"/>
      <c r="K32" s="39"/>
      <c r="L32" s="39"/>
      <c r="M32" s="39"/>
      <c r="N32" s="39"/>
      <c r="O32" s="39"/>
      <c r="P32" s="39"/>
      <c r="Q32" s="39"/>
      <c r="R32" s="40"/>
    </row>
    <row r="33" spans="1:18" ht="18" x14ac:dyDescent="0.35">
      <c r="A33" s="32">
        <v>40785</v>
      </c>
      <c r="B33" s="39"/>
      <c r="C33" s="39"/>
      <c r="D33" s="39"/>
      <c r="E33" s="39"/>
      <c r="F33" s="39"/>
      <c r="G33" s="39"/>
      <c r="J33" s="39"/>
      <c r="K33" s="39"/>
      <c r="L33" s="39"/>
      <c r="M33" s="39"/>
      <c r="N33" s="39"/>
      <c r="O33" s="39"/>
      <c r="P33" s="39"/>
      <c r="Q33" s="39"/>
      <c r="R33" s="40"/>
    </row>
    <row r="34" spans="1:18" ht="18" x14ac:dyDescent="0.35">
      <c r="A34" s="32">
        <v>40815</v>
      </c>
      <c r="B34" s="39"/>
      <c r="C34" s="39"/>
      <c r="D34" s="39"/>
      <c r="E34" s="39"/>
      <c r="F34" s="39"/>
      <c r="G34" s="39"/>
      <c r="J34" s="39"/>
      <c r="K34" s="39"/>
      <c r="L34" s="39"/>
      <c r="M34" s="39"/>
      <c r="N34" s="39"/>
      <c r="O34" s="39"/>
      <c r="P34" s="39"/>
      <c r="Q34" s="39"/>
      <c r="R34" s="40"/>
    </row>
    <row r="35" spans="1:18" ht="18" x14ac:dyDescent="0.35">
      <c r="A35" s="32">
        <v>40846</v>
      </c>
      <c r="B35" s="39"/>
      <c r="C35" s="39"/>
      <c r="D35" s="39"/>
      <c r="E35" s="39"/>
      <c r="F35" s="39"/>
      <c r="G35" s="39"/>
      <c r="J35" s="39"/>
      <c r="K35" s="39"/>
      <c r="L35" s="39"/>
      <c r="M35" s="39"/>
      <c r="N35" s="39"/>
      <c r="O35" s="39"/>
      <c r="P35" s="39"/>
      <c r="Q35" s="39"/>
      <c r="R35" s="40"/>
    </row>
    <row r="36" spans="1:18" ht="18" x14ac:dyDescent="0.35">
      <c r="A36" s="32">
        <v>40876</v>
      </c>
      <c r="B36" s="39"/>
      <c r="C36" s="39"/>
      <c r="D36" s="39"/>
      <c r="E36" s="39"/>
      <c r="F36" s="39"/>
      <c r="G36" s="39"/>
      <c r="J36" s="39"/>
      <c r="K36" s="39"/>
      <c r="L36" s="39"/>
      <c r="M36" s="39"/>
      <c r="N36" s="39"/>
      <c r="O36" s="39"/>
      <c r="P36" s="39"/>
      <c r="Q36" s="39"/>
      <c r="R36" s="40"/>
    </row>
    <row r="37" spans="1:18" ht="18" x14ac:dyDescent="0.35">
      <c r="A37" s="32">
        <v>40907</v>
      </c>
      <c r="B37" s="39"/>
      <c r="C37" s="39"/>
      <c r="D37" s="39"/>
      <c r="E37" s="39"/>
      <c r="F37" s="39"/>
      <c r="G37" s="39"/>
      <c r="J37" s="39"/>
      <c r="K37" s="39"/>
      <c r="L37" s="39"/>
      <c r="M37" s="39"/>
      <c r="N37" s="39"/>
      <c r="O37" s="39"/>
      <c r="P37" s="39"/>
      <c r="Q37" s="39"/>
      <c r="R37" s="40"/>
    </row>
    <row r="38" spans="1:18" ht="18" x14ac:dyDescent="0.35">
      <c r="A38" s="32">
        <v>40938</v>
      </c>
      <c r="B38" s="39"/>
      <c r="C38" s="39"/>
      <c r="D38" s="39"/>
      <c r="E38" s="39"/>
      <c r="F38" s="39"/>
      <c r="G38" s="39"/>
      <c r="J38" s="39"/>
      <c r="K38" s="39"/>
      <c r="L38" s="39"/>
      <c r="M38" s="39"/>
      <c r="N38" s="39"/>
      <c r="O38" s="39"/>
      <c r="P38" s="39"/>
      <c r="Q38" s="39"/>
      <c r="R38" s="46"/>
    </row>
    <row r="39" spans="1:18" ht="18" x14ac:dyDescent="0.35">
      <c r="A39" s="32">
        <v>40967</v>
      </c>
      <c r="B39" s="39"/>
      <c r="C39" s="39"/>
      <c r="D39" s="39"/>
      <c r="E39" s="39"/>
      <c r="F39" s="39"/>
      <c r="G39" s="39"/>
      <c r="J39" s="39"/>
      <c r="K39" s="39"/>
      <c r="L39" s="39"/>
      <c r="M39" s="39"/>
      <c r="N39" s="39"/>
      <c r="O39" s="39"/>
      <c r="P39" s="39"/>
      <c r="Q39" s="39"/>
      <c r="R39" s="46"/>
    </row>
    <row r="40" spans="1:18" ht="18" x14ac:dyDescent="0.35">
      <c r="A40" s="32">
        <v>40998</v>
      </c>
      <c r="B40" s="39"/>
      <c r="C40" s="39"/>
      <c r="D40" s="39"/>
      <c r="E40" s="39"/>
      <c r="F40" s="39"/>
      <c r="G40" s="39"/>
      <c r="J40" s="39"/>
      <c r="K40" s="39"/>
      <c r="L40" s="39"/>
      <c r="M40" s="39"/>
      <c r="N40" s="39"/>
      <c r="O40" s="39"/>
      <c r="P40" s="39"/>
      <c r="Q40" s="39"/>
      <c r="R40" s="46"/>
    </row>
    <row r="41" spans="1:18" ht="18" x14ac:dyDescent="0.35">
      <c r="A41" s="32">
        <v>41028</v>
      </c>
      <c r="B41" s="39"/>
      <c r="C41" s="39"/>
      <c r="D41" s="39"/>
      <c r="E41" s="39"/>
      <c r="F41" s="39"/>
      <c r="G41" s="39"/>
      <c r="J41" s="39"/>
      <c r="K41" s="39"/>
      <c r="L41" s="39"/>
      <c r="M41" s="39"/>
      <c r="N41" s="39"/>
      <c r="O41" s="39"/>
      <c r="P41" s="39"/>
      <c r="Q41" s="39"/>
      <c r="R41" s="46"/>
    </row>
    <row r="42" spans="1:18" ht="18" x14ac:dyDescent="0.35">
      <c r="A42" s="32">
        <v>41059</v>
      </c>
      <c r="B42" s="39"/>
      <c r="C42" s="39"/>
      <c r="D42" s="39"/>
      <c r="E42" s="39"/>
      <c r="F42" s="39"/>
      <c r="G42" s="39"/>
      <c r="J42" s="39"/>
      <c r="K42" s="39"/>
      <c r="L42" s="39"/>
      <c r="M42" s="39"/>
      <c r="N42" s="39"/>
      <c r="O42" s="39"/>
      <c r="P42" s="39"/>
      <c r="Q42" s="39"/>
      <c r="R42" s="46"/>
    </row>
    <row r="43" spans="1:18" ht="18" x14ac:dyDescent="0.35">
      <c r="A43" s="32">
        <v>41089</v>
      </c>
      <c r="B43" s="39"/>
      <c r="C43" s="39"/>
      <c r="D43" s="39"/>
      <c r="E43" s="39"/>
      <c r="F43" s="39"/>
      <c r="G43" s="39"/>
      <c r="J43" s="39"/>
      <c r="K43" s="39"/>
      <c r="L43" s="39"/>
      <c r="M43" s="39"/>
      <c r="N43" s="39"/>
      <c r="O43" s="39"/>
      <c r="P43" s="39"/>
      <c r="Q43" s="39"/>
      <c r="R43" s="46"/>
    </row>
    <row r="44" spans="1:18" ht="18" x14ac:dyDescent="0.35">
      <c r="A44" s="32">
        <v>41120</v>
      </c>
      <c r="B44" s="39"/>
      <c r="C44" s="39"/>
      <c r="D44" s="39"/>
      <c r="E44" s="39"/>
      <c r="F44" s="39"/>
      <c r="G44" s="39"/>
      <c r="J44" s="39"/>
      <c r="K44" s="39"/>
      <c r="L44" s="39"/>
      <c r="M44" s="39"/>
      <c r="N44" s="39"/>
      <c r="O44" s="39"/>
      <c r="P44" s="39"/>
      <c r="Q44" s="39"/>
      <c r="R44" s="46"/>
    </row>
    <row r="45" spans="1:18" ht="18" x14ac:dyDescent="0.35">
      <c r="A45" s="32">
        <v>41151</v>
      </c>
      <c r="B45" s="39"/>
      <c r="C45" s="39"/>
      <c r="D45" s="39"/>
      <c r="E45" s="39"/>
      <c r="F45" s="39"/>
      <c r="G45" s="39"/>
      <c r="J45" s="39"/>
      <c r="K45" s="39"/>
      <c r="L45" s="39"/>
      <c r="M45" s="39"/>
      <c r="N45" s="39"/>
      <c r="O45" s="39"/>
      <c r="P45" s="39"/>
      <c r="Q45" s="39"/>
      <c r="R45" s="46"/>
    </row>
    <row r="46" spans="1:18" ht="18" x14ac:dyDescent="0.35">
      <c r="A46" s="32">
        <v>41181</v>
      </c>
      <c r="B46" s="39"/>
      <c r="C46" s="39"/>
      <c r="D46" s="39"/>
      <c r="E46" s="39"/>
      <c r="F46" s="39"/>
      <c r="G46" s="39"/>
      <c r="J46" s="39"/>
      <c r="K46" s="39"/>
      <c r="L46" s="39"/>
      <c r="M46" s="39"/>
      <c r="N46" s="39"/>
      <c r="O46" s="39"/>
      <c r="P46" s="39"/>
      <c r="Q46" s="39"/>
      <c r="R46" s="46"/>
    </row>
    <row r="47" spans="1:18" ht="18" x14ac:dyDescent="0.35">
      <c r="A47" s="32">
        <v>41212</v>
      </c>
      <c r="B47" s="39"/>
      <c r="C47" s="39"/>
      <c r="D47" s="39"/>
      <c r="E47" s="39"/>
      <c r="F47" s="39"/>
      <c r="G47" s="39"/>
      <c r="J47" s="39"/>
      <c r="K47" s="39"/>
      <c r="L47" s="39"/>
      <c r="M47" s="39"/>
      <c r="N47" s="39"/>
      <c r="O47" s="39"/>
      <c r="P47" s="39"/>
      <c r="Q47" s="39"/>
      <c r="R47" s="46"/>
    </row>
    <row r="48" spans="1:18" ht="18" x14ac:dyDescent="0.35">
      <c r="A48" s="32">
        <v>41242</v>
      </c>
      <c r="B48" s="39"/>
      <c r="C48" s="39"/>
      <c r="D48" s="39"/>
      <c r="E48" s="39"/>
      <c r="F48" s="39"/>
      <c r="G48" s="39"/>
      <c r="J48" s="39"/>
      <c r="K48" s="39"/>
      <c r="L48" s="39"/>
      <c r="M48" s="39"/>
      <c r="N48" s="39"/>
      <c r="O48" s="39"/>
      <c r="P48" s="39"/>
      <c r="Q48" s="39"/>
      <c r="R48" s="46"/>
    </row>
    <row r="49" spans="1:18" ht="18" x14ac:dyDescent="0.35">
      <c r="A49" s="32">
        <v>41273</v>
      </c>
      <c r="B49" s="39"/>
      <c r="C49" s="39"/>
      <c r="D49" s="39"/>
      <c r="E49" s="39"/>
      <c r="F49" s="39"/>
      <c r="G49" s="39"/>
      <c r="J49" s="39"/>
      <c r="K49" s="39"/>
      <c r="L49" s="39"/>
      <c r="M49" s="39"/>
      <c r="N49" s="39"/>
      <c r="O49" s="39"/>
      <c r="P49" s="39"/>
      <c r="Q49" s="39"/>
      <c r="R49" s="46"/>
    </row>
    <row r="50" spans="1:18" ht="18" x14ac:dyDescent="0.35">
      <c r="A50" s="32">
        <v>41304</v>
      </c>
      <c r="B50" s="39"/>
      <c r="C50" s="39"/>
      <c r="D50" s="39"/>
      <c r="E50" s="39"/>
      <c r="F50" s="39"/>
      <c r="G50" s="39"/>
      <c r="J50" s="39"/>
      <c r="K50" s="39"/>
      <c r="L50" s="39"/>
      <c r="M50" s="39"/>
      <c r="N50" s="39"/>
      <c r="O50" s="39"/>
      <c r="P50" s="39"/>
      <c r="Q50" s="39"/>
      <c r="R50" s="46"/>
    </row>
    <row r="51" spans="1:18" ht="18" x14ac:dyDescent="0.35">
      <c r="A51" s="32">
        <v>41332</v>
      </c>
      <c r="B51" s="39"/>
      <c r="C51" s="39"/>
      <c r="D51" s="39"/>
      <c r="E51" s="39"/>
      <c r="F51" s="39"/>
      <c r="G51" s="39"/>
      <c r="J51" s="39"/>
      <c r="K51" s="39"/>
      <c r="L51" s="39"/>
      <c r="M51" s="39"/>
      <c r="N51" s="39"/>
      <c r="O51" s="39"/>
      <c r="P51" s="39"/>
      <c r="Q51" s="39"/>
      <c r="R51" s="46"/>
    </row>
    <row r="52" spans="1:18" ht="18" x14ac:dyDescent="0.35">
      <c r="A52" s="32">
        <v>41363</v>
      </c>
      <c r="B52" s="39"/>
      <c r="C52" s="39"/>
      <c r="D52" s="39"/>
      <c r="E52" s="39"/>
      <c r="F52" s="39"/>
      <c r="G52" s="39"/>
      <c r="J52" s="39"/>
      <c r="K52" s="39"/>
      <c r="L52" s="39"/>
      <c r="M52" s="39"/>
      <c r="N52" s="39"/>
      <c r="O52" s="39"/>
      <c r="P52" s="39"/>
      <c r="Q52" s="39"/>
      <c r="R52" s="46"/>
    </row>
    <row r="53" spans="1:18" ht="18" x14ac:dyDescent="0.35">
      <c r="A53" s="32">
        <v>41393</v>
      </c>
      <c r="B53" s="39"/>
      <c r="C53" s="39"/>
      <c r="D53" s="39"/>
      <c r="E53" s="39"/>
      <c r="F53" s="39"/>
      <c r="G53" s="39"/>
      <c r="J53" s="39"/>
      <c r="K53" s="39"/>
      <c r="L53" s="39"/>
      <c r="M53" s="39"/>
      <c r="N53" s="39"/>
      <c r="O53" s="39"/>
      <c r="P53" s="39"/>
      <c r="Q53" s="39"/>
      <c r="R53" s="46"/>
    </row>
    <row r="54" spans="1:18" ht="18" x14ac:dyDescent="0.35">
      <c r="A54" s="32">
        <v>41424</v>
      </c>
      <c r="B54" s="39"/>
      <c r="C54" s="39"/>
      <c r="D54" s="39"/>
      <c r="E54" s="39"/>
      <c r="F54" s="39"/>
      <c r="G54" s="39"/>
      <c r="J54" s="39"/>
      <c r="K54" s="39"/>
      <c r="L54" s="39"/>
      <c r="M54" s="39"/>
      <c r="N54" s="39"/>
      <c r="O54" s="39"/>
      <c r="P54" s="39"/>
      <c r="Q54" s="39"/>
      <c r="R54" s="46"/>
    </row>
    <row r="55" spans="1:18" ht="18" x14ac:dyDescent="0.35">
      <c r="A55" s="32">
        <v>41454</v>
      </c>
      <c r="B55" s="39"/>
      <c r="C55" s="39"/>
      <c r="D55" s="39"/>
      <c r="E55" s="39"/>
      <c r="F55" s="39"/>
      <c r="G55" s="39"/>
      <c r="J55" s="39"/>
      <c r="K55" s="39"/>
      <c r="L55" s="39"/>
      <c r="M55" s="39"/>
      <c r="N55" s="39"/>
      <c r="O55" s="39"/>
      <c r="P55" s="39"/>
      <c r="Q55" s="39"/>
      <c r="R55" s="46"/>
    </row>
    <row r="56" spans="1:18" ht="18" x14ac:dyDescent="0.35">
      <c r="A56" s="32">
        <v>41485</v>
      </c>
      <c r="B56" s="39"/>
      <c r="C56" s="39"/>
      <c r="D56" s="39"/>
      <c r="E56" s="39"/>
      <c r="F56" s="39"/>
      <c r="G56" s="39"/>
      <c r="J56" s="39"/>
      <c r="K56" s="39"/>
      <c r="L56" s="39"/>
      <c r="M56" s="39"/>
      <c r="N56" s="39"/>
      <c r="O56" s="39"/>
      <c r="P56" s="39"/>
      <c r="Q56" s="39"/>
      <c r="R56" s="46"/>
    </row>
    <row r="57" spans="1:18" ht="18" x14ac:dyDescent="0.35">
      <c r="A57" s="32">
        <v>41516</v>
      </c>
      <c r="B57" s="39"/>
      <c r="C57" s="39"/>
      <c r="D57" s="39"/>
      <c r="E57" s="39"/>
      <c r="F57" s="39"/>
      <c r="G57" s="39"/>
      <c r="J57" s="39"/>
      <c r="K57" s="39"/>
      <c r="L57" s="39"/>
      <c r="M57" s="39"/>
      <c r="N57" s="39"/>
      <c r="O57" s="39"/>
      <c r="P57" s="39"/>
      <c r="Q57" s="39"/>
      <c r="R57" s="46"/>
    </row>
    <row r="58" spans="1:18" ht="18" x14ac:dyDescent="0.35">
      <c r="A58" s="32">
        <v>41546</v>
      </c>
      <c r="B58" s="39"/>
      <c r="C58" s="39"/>
      <c r="D58" s="39"/>
      <c r="E58" s="39"/>
      <c r="F58" s="39"/>
      <c r="G58" s="39"/>
      <c r="J58" s="39"/>
      <c r="K58" s="39"/>
      <c r="L58" s="39"/>
      <c r="M58" s="39"/>
      <c r="N58" s="39"/>
      <c r="O58" s="39"/>
      <c r="P58" s="39"/>
      <c r="Q58" s="39"/>
      <c r="R58" s="46"/>
    </row>
    <row r="59" spans="1:18" ht="18" x14ac:dyDescent="0.35">
      <c r="A59" s="32">
        <v>41577</v>
      </c>
      <c r="B59" s="39"/>
      <c r="C59" s="39"/>
      <c r="D59" s="39"/>
      <c r="E59" s="39"/>
      <c r="F59" s="39"/>
      <c r="G59" s="39"/>
      <c r="J59" s="39"/>
      <c r="K59" s="39"/>
      <c r="L59" s="39"/>
      <c r="M59" s="39"/>
      <c r="N59" s="39"/>
      <c r="O59" s="39"/>
      <c r="P59" s="39"/>
      <c r="Q59" s="39"/>
      <c r="R59" s="46"/>
    </row>
    <row r="60" spans="1:18" ht="18" x14ac:dyDescent="0.35">
      <c r="A60" s="32">
        <v>41607</v>
      </c>
      <c r="B60" s="39"/>
      <c r="C60" s="39"/>
      <c r="D60" s="39"/>
      <c r="E60" s="39"/>
      <c r="F60" s="39"/>
      <c r="G60" s="39"/>
      <c r="J60" s="39"/>
      <c r="K60" s="39"/>
      <c r="L60" s="39"/>
      <c r="M60" s="39"/>
      <c r="N60" s="39"/>
      <c r="O60" s="39"/>
      <c r="P60" s="39"/>
      <c r="Q60" s="39"/>
      <c r="R60" s="46"/>
    </row>
    <row r="61" spans="1:18" ht="18" x14ac:dyDescent="0.35">
      <c r="A61" s="32">
        <v>41638</v>
      </c>
      <c r="B61" s="39"/>
      <c r="C61" s="39"/>
      <c r="D61" s="39"/>
      <c r="E61" s="39"/>
      <c r="F61" s="39"/>
      <c r="G61" s="39"/>
      <c r="J61" s="39"/>
      <c r="K61" s="39"/>
      <c r="L61" s="39"/>
      <c r="M61" s="39"/>
      <c r="N61" s="39"/>
      <c r="O61" s="39"/>
      <c r="P61" s="39"/>
      <c r="Q61" s="39"/>
      <c r="R61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dc9034-7580-41c9-a812-2b62a8df4258" xsi:nil="true"/>
    <Password xmlns="208516fb-bec9-4b51-af80-c22c81e4c800" xsi:nil="true"/>
    <ModuleName xmlns="208516fb-bec9-4b51-af80-c22c81e4c800" xsi:nil="true"/>
    <ConceptCode xmlns="208516fb-bec9-4b51-af80-c22c81e4c800" xsi:nil="true"/>
    <Sequence xmlns="208516fb-bec9-4b51-af80-c22c81e4c800" xsi:nil="true"/>
    <lcf76f155ced4ddcb4097134ff3c332f xmlns="208516fb-bec9-4b51-af80-c22c81e4c800">
      <Terms xmlns="http://schemas.microsoft.com/office/infopath/2007/PartnerControls"/>
    </lcf76f155ced4ddcb4097134ff3c332f>
    <Comment xmlns="208516fb-bec9-4b51-af80-c22c81e4c8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3f3b1a9-51f1-41b1-ab2b-6b3ab766cedb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167A1D472FC0499AC7E3EDDEA0BE45" ma:contentTypeVersion="24" ma:contentTypeDescription="Create a new document." ma:contentTypeScope="" ma:versionID="c4f95ee37b027e73b27444f8f87dd4bb">
  <xsd:schema xmlns:xsd="http://www.w3.org/2001/XMLSchema" xmlns:xs="http://www.w3.org/2001/XMLSchema" xmlns:p="http://schemas.microsoft.com/office/2006/metadata/properties" xmlns:ns2="d9dc9034-7580-41c9-a812-2b62a8df4258" xmlns:ns3="208516fb-bec9-4b51-af80-c22c81e4c800" xmlns:ns4="c9357dfc-5c33-4d4f-b1ba-9a3a96b5474b" targetNamespace="http://schemas.microsoft.com/office/2006/metadata/properties" ma:root="true" ma:fieldsID="3d50b2f024fa7908f10f6affb74441f5" ns2:_="" ns3:_="" ns4:_="">
    <xsd:import namespace="d9dc9034-7580-41c9-a812-2b62a8df4258"/>
    <xsd:import namespace="208516fb-bec9-4b51-af80-c22c81e4c800"/>
    <xsd:import namespace="c9357dfc-5c33-4d4f-b1ba-9a3a96b5474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Sequence" minOccurs="0"/>
                <xsd:element ref="ns3:ConceptCode" minOccurs="0"/>
                <xsd:element ref="ns3:ModuleName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Password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9034-7580-41c9-a812-2b62a8df4258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bce49362-bf96-4dc6-805a-c45b96e59ff6}" ma:internalName="TaxCatchAll" ma:showField="CatchAllData" ma:web="c9357dfc-5c33-4d4f-b1ba-9a3a96b547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bce49362-bf96-4dc6-805a-c45b96e59ff6}" ma:internalName="TaxCatchAllLabel" ma:readOnly="true" ma:showField="CatchAllDataLabel" ma:web="c9357dfc-5c33-4d4f-b1ba-9a3a96b547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516fb-bec9-4b51-af80-c22c81e4c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Sequence" ma:index="17" nillable="true" ma:displayName="Concept No" ma:description="Logical order of display" ma:format="Dropdown" ma:internalName="Sequence">
      <xsd:simpleType>
        <xsd:restriction base="dms:Text">
          <xsd:maxLength value="255"/>
        </xsd:restriction>
      </xsd:simpleType>
    </xsd:element>
    <xsd:element name="ConceptCode" ma:index="18" nillable="true" ma:displayName="Concept Code" ma:format="Dropdown" ma:indexed="true" ma:internalName="ConceptCode">
      <xsd:simpleType>
        <xsd:restriction base="dms:Text">
          <xsd:maxLength value="255"/>
        </xsd:restriction>
      </xsd:simpleType>
    </xsd:element>
    <xsd:element name="ModuleName" ma:index="19" nillable="true" ma:displayName="Module Name" ma:format="Dropdown" ma:internalName="ModuleName">
      <xsd:simpleType>
        <xsd:restriction base="dms:Text">
          <xsd:maxLength value="255"/>
        </xsd:restriction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assword" ma:index="24" nillable="true" ma:displayName="Password" ma:format="Dropdown" ma:internalName="Password">
      <xsd:simpleType>
        <xsd:restriction base="dms:Text">
          <xsd:maxLength value="255"/>
        </xsd:restriction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53f3b1a9-51f1-41b1-ab2b-6b3ab766c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31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57dfc-5c33-4d4f-b1ba-9a3a96b547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B50B3-B11D-4522-85F3-C4A190117EF0}">
  <ds:schemaRefs>
    <ds:schemaRef ds:uri="http://schemas.microsoft.com/office/2006/metadata/properties"/>
    <ds:schemaRef ds:uri="http://schemas.microsoft.com/office/infopath/2007/PartnerControls"/>
    <ds:schemaRef ds:uri="d9dc9034-7580-41c9-a812-2b62a8df4258"/>
    <ds:schemaRef ds:uri="208516fb-bec9-4b51-af80-c22c81e4c800"/>
  </ds:schemaRefs>
</ds:datastoreItem>
</file>

<file path=customXml/itemProps2.xml><?xml version="1.0" encoding="utf-8"?>
<ds:datastoreItem xmlns:ds="http://schemas.openxmlformats.org/officeDocument/2006/customXml" ds:itemID="{C714997D-24BC-4C78-A17D-CF1DFCB21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BC8211-CFCF-48D6-AF8C-FB819032F7E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23BA0B1-22C7-4E51-9A1F-7BD0F5EB2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dc9034-7580-41c9-a812-2b62a8df4258"/>
    <ds:schemaRef ds:uri="208516fb-bec9-4b51-af80-c22c81e4c800"/>
    <ds:schemaRef ds:uri="c9357dfc-5c33-4d4f-b1ba-9a3a96b547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SAA with CME</vt:lpstr>
      <vt:lpstr>Index Returns</vt:lpstr>
      <vt:lpstr>Scenarios MPT</vt:lpstr>
      <vt:lpstr>MC Sim - Oil Price Crash</vt:lpstr>
      <vt:lpstr>MC Sim - Dot Com Bubble Burst</vt:lpstr>
      <vt:lpstr>MC Sim - Global Financial Crisi</vt:lpstr>
      <vt:lpstr>MC Sim - European Debt Crisis</vt:lpstr>
    </vt:vector>
  </TitlesOfParts>
  <Manager/>
  <Company>Fitch Ratings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kharia</dc:creator>
  <cp:keywords/>
  <dc:description/>
  <cp:lastModifiedBy>Labao, Dianne</cp:lastModifiedBy>
  <cp:revision/>
  <dcterms:created xsi:type="dcterms:W3CDTF">2023-09-06T06:56:18Z</dcterms:created>
  <dcterms:modified xsi:type="dcterms:W3CDTF">2024-03-20T06:29:29Z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0x010100A8167A1D472FC0499AC7E3EDDEA0BE45</vt:lpwstr>
  </property>
  <property fmtid="{D5CDD505-2E9C-101B-9397-08002B2CF9AE}" pid="3" name="MediaServiceImageTags">
    <vt:lpwstr/>
  </property>
</Properties>
</file>