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tchnoc.sharepoint.com/sites/FL-FLEXContent/Shared Documents/0. External Authors/CFA Institute/02. Returns/Returns - Step 6/Step 6 - Excel Files/"/>
    </mc:Choice>
  </mc:AlternateContent>
  <xr:revisionPtr revIDLastSave="67" documentId="8_{CE16F20F-1C18-4C8B-9F13-FEECE3D369FF}" xr6:coauthVersionLast="47" xr6:coauthVersionMax="47" xr10:uidLastSave="{D21AFD7C-EBAF-4E52-B070-4BAD745DD469}"/>
  <bookViews>
    <workbookView xWindow="-28965" yWindow="1875" windowWidth="29130" windowHeight="15930" tabRatio="836" activeTab="4" xr2:uid="{697ABBC8-1090-414E-A2D1-F8BFC6A06E38}"/>
  </bookViews>
  <sheets>
    <sheet name="SAA with CME" sheetId="1" r:id="rId1"/>
    <sheet name="Index Returns" sheetId="2" r:id="rId2"/>
    <sheet name="SAAPortfolioPerformance" sheetId="3" r:id="rId3"/>
    <sheet name="TAA" sheetId="7" r:id="rId4"/>
    <sheet name="TAAPortfolioPerformance" sheetId="8" r:id="rId5"/>
    <sheet name="CurrencyHedge" sheetId="10" r:id="rId6"/>
  </sheets>
  <definedNames>
    <definedName name="solver_adj" localSheetId="0" hidden="1">'SAA with CME'!$C$17:$H$17</definedName>
    <definedName name="solver_adj" localSheetId="3" hidden="1">TAA!$C$24:$H$24</definedName>
    <definedName name="solver_cvg" localSheetId="0" hidden="1">0.0001</definedName>
    <definedName name="solver_cvg" localSheetId="3" hidden="1">0.0001</definedName>
    <definedName name="solver_drv" localSheetId="0" hidden="1">2</definedName>
    <definedName name="solver_drv" localSheetId="3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lhs1" localSheetId="0" hidden="1">'SAA with CME'!$C$17:$H$17</definedName>
    <definedName name="solver_lhs1" localSheetId="3" hidden="1">TAA!$C$24:$H$24</definedName>
    <definedName name="solver_lhs2" localSheetId="0" hidden="1">'SAA with CME'!$I$17</definedName>
    <definedName name="solver_lhs2" localSheetId="3" hidden="1">TAA!$C$31:$H$31</definedName>
    <definedName name="solver_lhs3" localSheetId="0" hidden="1">'SAA with CME'!$I$20</definedName>
    <definedName name="solver_lhs3" localSheetId="3" hidden="1">TAA!$C$31:$H$31</definedName>
    <definedName name="solver_lhs4" localSheetId="0" hidden="1">'SAA with CME'!#REF!</definedName>
    <definedName name="solver_lhs4" localSheetId="3" hidden="1">TAA!$I$24</definedName>
    <definedName name="solver_lhs5" localSheetId="0" hidden="1">'SAA with CME'!#REF!</definedName>
    <definedName name="solver_lhs5" localSheetId="3" hidden="1">TAA!$I$27</definedName>
    <definedName name="solver_lhs6" localSheetId="0" hidden="1">'SAA with CME'!#REF!</definedName>
    <definedName name="solver_lhs7" localSheetId="0" hidden="1">'SAA with CME'!#REF!</definedName>
    <definedName name="solver_lhs8" localSheetId="0" hidden="1">'SAA with CME'!#REF!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3</definedName>
    <definedName name="solver_num" localSheetId="2" hidden="1">0</definedName>
    <definedName name="solver_num" localSheetId="3" hidden="1">5</definedName>
    <definedName name="solver_nwt" localSheetId="0" hidden="1">1</definedName>
    <definedName name="solver_nwt" localSheetId="3" hidden="1">1</definedName>
    <definedName name="solver_opt" localSheetId="0" hidden="1">'SAA with CME'!$I$18</definedName>
    <definedName name="solver_opt" localSheetId="2" hidden="1">SAAPortfolioPerformance!$D$9</definedName>
    <definedName name="solver_opt" localSheetId="3" hidden="1">TAA!$I$25</definedName>
    <definedName name="solver_pre" localSheetId="0" hidden="1">0.000001</definedName>
    <definedName name="solver_pre" localSheetId="3" hidden="1">0.000001</definedName>
    <definedName name="solver_rbv" localSheetId="0" hidden="1">2</definedName>
    <definedName name="solver_rbv" localSheetId="3" hidden="1">1</definedName>
    <definedName name="solver_rel1" localSheetId="0" hidden="1">3</definedName>
    <definedName name="solver_rel1" localSheetId="3" hidden="1">3</definedName>
    <definedName name="solver_rel2" localSheetId="0" hidden="1">1</definedName>
    <definedName name="solver_rel2" localSheetId="3" hidden="1">1</definedName>
    <definedName name="solver_rel3" localSheetId="0" hidden="1">1</definedName>
    <definedName name="solver_rel3" localSheetId="3" hidden="1">3</definedName>
    <definedName name="solver_rel4" localSheetId="0" hidden="1">1</definedName>
    <definedName name="solver_rel4" localSheetId="3" hidden="1">2</definedName>
    <definedName name="solver_rel5" localSheetId="0" hidden="1">1</definedName>
    <definedName name="solver_rel5" localSheetId="3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0" hidden="1">'SAA with CME'!$K$17</definedName>
    <definedName name="solver_rhs1" localSheetId="3" hidden="1">TAA!$K$24</definedName>
    <definedName name="solver_rhs2" localSheetId="0" hidden="1">1</definedName>
    <definedName name="solver_rhs2" localSheetId="3" hidden="1">20%</definedName>
    <definedName name="solver_rhs3" localSheetId="0" hidden="1">'SAA with CME'!$K$20</definedName>
    <definedName name="solver_rhs3" localSheetId="3" hidden="1">-20%</definedName>
    <definedName name="solver_rhs4" localSheetId="0" hidden="1">'SAA with CME'!#REF!</definedName>
    <definedName name="solver_rhs4" localSheetId="3" hidden="1">1</definedName>
    <definedName name="solver_rhs5" localSheetId="0" hidden="1">'SAA with CME'!#REF!</definedName>
    <definedName name="solver_rhs5" localSheetId="3" hidden="1">TAA!$K$27</definedName>
    <definedName name="solver_rhs6" localSheetId="0" hidden="1">'SAA with CME'!#REF!</definedName>
    <definedName name="solver_rhs7" localSheetId="0" hidden="1">'SAA with CME'!#REF!</definedName>
    <definedName name="solver_rhs8" localSheetId="0" hidden="1">'SAA with CME'!#REF!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2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E15" i="7"/>
  <c r="F15" i="7"/>
  <c r="G15" i="7"/>
  <c r="H15" i="7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C16" i="7" a="1"/>
  <c r="C16" i="7" s="1"/>
  <c r="B12" i="8"/>
  <c r="B11" i="3"/>
  <c r="C15" i="7"/>
  <c r="B3" i="8"/>
  <c r="B25" i="8" l="1"/>
  <c r="C25" i="8" s="1"/>
  <c r="D25" i="8" s="1"/>
  <c r="E25" i="8" s="1"/>
  <c r="F25" i="8" s="1"/>
  <c r="G25" i="8" s="1"/>
  <c r="H25" i="8" s="1"/>
  <c r="B18" i="8"/>
  <c r="C18" i="8" s="1"/>
  <c r="D18" i="8" s="1"/>
  <c r="E18" i="8" s="1"/>
  <c r="F18" i="8" s="1"/>
  <c r="G18" i="8" s="1"/>
  <c r="H18" i="8" s="1"/>
  <c r="B28" i="8"/>
  <c r="C28" i="8" s="1"/>
  <c r="D28" i="8" s="1"/>
  <c r="E28" i="8" s="1"/>
  <c r="F28" i="8" s="1"/>
  <c r="G28" i="8" s="1"/>
  <c r="H28" i="8" s="1"/>
  <c r="B22" i="8"/>
  <c r="C22" i="8" s="1"/>
  <c r="D22" i="8" s="1"/>
  <c r="E22" i="8" s="1"/>
  <c r="F22" i="8" s="1"/>
  <c r="G22" i="8" s="1"/>
  <c r="H22" i="8" s="1"/>
  <c r="I22" i="8" s="1"/>
  <c r="B20" i="8"/>
  <c r="C20" i="8" s="1"/>
  <c r="D20" i="8" s="1"/>
  <c r="E20" i="8" s="1"/>
  <c r="F20" i="8" s="1"/>
  <c r="G20" i="8" s="1"/>
  <c r="H20" i="8" s="1"/>
  <c r="I20" i="8" s="1"/>
  <c r="B27" i="8"/>
  <c r="C27" i="8" s="1"/>
  <c r="D27" i="8" s="1"/>
  <c r="E27" i="8" s="1"/>
  <c r="F27" i="8" s="1"/>
  <c r="G27" i="8" s="1"/>
  <c r="H27" i="8" s="1"/>
  <c r="I27" i="8" s="1"/>
  <c r="B19" i="8"/>
  <c r="C19" i="8" s="1"/>
  <c r="D19" i="8" s="1"/>
  <c r="E19" i="8" s="1"/>
  <c r="F19" i="8" s="1"/>
  <c r="G19" i="8" s="1"/>
  <c r="H19" i="8" s="1"/>
  <c r="I19" i="8" s="1"/>
  <c r="B21" i="8"/>
  <c r="C21" i="8" s="1"/>
  <c r="D21" i="8" s="1"/>
  <c r="E21" i="8" s="1"/>
  <c r="F21" i="8" s="1"/>
  <c r="G21" i="8" s="1"/>
  <c r="H21" i="8" s="1"/>
  <c r="B29" i="8"/>
  <c r="C29" i="8" s="1"/>
  <c r="D29" i="8" s="1"/>
  <c r="E29" i="8" s="1"/>
  <c r="F29" i="8" s="1"/>
  <c r="G29" i="8" s="1"/>
  <c r="H29" i="8" s="1"/>
  <c r="I29" i="8" s="1"/>
  <c r="B23" i="8"/>
  <c r="C23" i="8" s="1"/>
  <c r="D23" i="8" s="1"/>
  <c r="E23" i="8" s="1"/>
  <c r="F23" i="8" s="1"/>
  <c r="G23" i="8" s="1"/>
  <c r="H23" i="8" s="1"/>
  <c r="B26" i="8"/>
  <c r="C26" i="8" s="1"/>
  <c r="D26" i="8" s="1"/>
  <c r="E26" i="8" s="1"/>
  <c r="F26" i="8" s="1"/>
  <c r="G26" i="8" s="1"/>
  <c r="H26" i="8" s="1"/>
  <c r="I26" i="8" s="1"/>
  <c r="B24" i="8"/>
  <c r="C24" i="8" s="1"/>
  <c r="D24" i="8" s="1"/>
  <c r="E24" i="8" s="1"/>
  <c r="F24" i="8" s="1"/>
  <c r="G24" i="8" s="1"/>
  <c r="H24" i="8" s="1"/>
  <c r="B4" i="8"/>
  <c r="B59" i="8" s="1"/>
  <c r="C59" i="8" s="1"/>
  <c r="D59" i="8" s="1"/>
  <c r="E59" i="8" s="1"/>
  <c r="F59" i="8" s="1"/>
  <c r="G59" i="8" s="1"/>
  <c r="I59" i="8" s="1"/>
  <c r="I24" i="7"/>
  <c r="I18" i="8" l="1"/>
  <c r="B40" i="8"/>
  <c r="C40" i="8" s="1"/>
  <c r="D40" i="8" s="1"/>
  <c r="E40" i="8" s="1"/>
  <c r="F40" i="8" s="1"/>
  <c r="G40" i="8" s="1"/>
  <c r="H40" i="8" s="1"/>
  <c r="I25" i="8"/>
  <c r="B48" i="8"/>
  <c r="C48" i="8" s="1"/>
  <c r="D48" i="8" s="1"/>
  <c r="E48" i="8" s="1"/>
  <c r="F48" i="8" s="1"/>
  <c r="G48" i="8" s="1"/>
  <c r="I48" i="8" s="1"/>
  <c r="B51" i="8"/>
  <c r="C51" i="8" s="1"/>
  <c r="D51" i="8" s="1"/>
  <c r="E51" i="8" s="1"/>
  <c r="F51" i="8" s="1"/>
  <c r="G51" i="8" s="1"/>
  <c r="I51" i="8" s="1"/>
  <c r="B65" i="8"/>
  <c r="C65" i="8" s="1"/>
  <c r="D65" i="8" s="1"/>
  <c r="E65" i="8" s="1"/>
  <c r="F65" i="8" s="1"/>
  <c r="G65" i="8" s="1"/>
  <c r="I65" i="8" s="1"/>
  <c r="I28" i="8"/>
  <c r="I21" i="8"/>
  <c r="I24" i="8"/>
  <c r="B78" i="8"/>
  <c r="C78" i="8" s="1"/>
  <c r="D78" i="8" s="1"/>
  <c r="E78" i="8" s="1"/>
  <c r="F78" i="8" s="1"/>
  <c r="G78" i="8" s="1"/>
  <c r="I78" i="8" s="1"/>
  <c r="I23" i="8"/>
  <c r="B69" i="8"/>
  <c r="C69" i="8" s="1"/>
  <c r="D69" i="8" s="1"/>
  <c r="E69" i="8" s="1"/>
  <c r="F69" i="8" s="1"/>
  <c r="G69" i="8" s="1"/>
  <c r="I69" i="8" s="1"/>
  <c r="B68" i="8"/>
  <c r="C68" i="8" s="1"/>
  <c r="D68" i="8" s="1"/>
  <c r="E68" i="8" s="1"/>
  <c r="F68" i="8" s="1"/>
  <c r="G68" i="8" s="1"/>
  <c r="B67" i="8"/>
  <c r="C67" i="8" s="1"/>
  <c r="D67" i="8" s="1"/>
  <c r="E67" i="8" s="1"/>
  <c r="F67" i="8" s="1"/>
  <c r="G67" i="8" s="1"/>
  <c r="B82" i="8"/>
  <c r="C82" i="8" s="1"/>
  <c r="D82" i="8" s="1"/>
  <c r="E82" i="8" s="1"/>
  <c r="F82" i="8" s="1"/>
  <c r="G82" i="8" s="1"/>
  <c r="B79" i="8"/>
  <c r="C79" i="8" s="1"/>
  <c r="D79" i="8" s="1"/>
  <c r="E79" i="8" s="1"/>
  <c r="F79" i="8" s="1"/>
  <c r="G79" i="8" s="1"/>
  <c r="B60" i="8"/>
  <c r="C60" i="8" s="1"/>
  <c r="D60" i="8" s="1"/>
  <c r="E60" i="8" s="1"/>
  <c r="F60" i="8" s="1"/>
  <c r="G60" i="8" s="1"/>
  <c r="B50" i="8"/>
  <c r="C50" i="8" s="1"/>
  <c r="D50" i="8" s="1"/>
  <c r="E50" i="8" s="1"/>
  <c r="F50" i="8" s="1"/>
  <c r="G50" i="8" s="1"/>
  <c r="B49" i="8"/>
  <c r="C49" i="8" s="1"/>
  <c r="D49" i="8" s="1"/>
  <c r="E49" i="8" s="1"/>
  <c r="F49" i="8" s="1"/>
  <c r="G49" i="8" s="1"/>
  <c r="B62" i="8"/>
  <c r="C62" i="8" s="1"/>
  <c r="D62" i="8" s="1"/>
  <c r="E62" i="8" s="1"/>
  <c r="F62" i="8" s="1"/>
  <c r="G62" i="8" s="1"/>
  <c r="B47" i="8"/>
  <c r="C47" i="8" s="1"/>
  <c r="D47" i="8" s="1"/>
  <c r="E47" i="8" s="1"/>
  <c r="F47" i="8" s="1"/>
  <c r="G47" i="8" s="1"/>
  <c r="H59" i="8"/>
  <c r="B58" i="8"/>
  <c r="C58" i="8" s="1"/>
  <c r="D58" i="8" s="1"/>
  <c r="E58" i="8" s="1"/>
  <c r="F58" i="8" s="1"/>
  <c r="G58" i="8" s="1"/>
  <c r="B43" i="8"/>
  <c r="C43" i="8" s="1"/>
  <c r="D43" i="8" s="1"/>
  <c r="E43" i="8" s="1"/>
  <c r="F43" i="8" s="1"/>
  <c r="G43" i="8" s="1"/>
  <c r="B71" i="8"/>
  <c r="C71" i="8" s="1"/>
  <c r="D71" i="8" s="1"/>
  <c r="E71" i="8" s="1"/>
  <c r="F71" i="8" s="1"/>
  <c r="G71" i="8" s="1"/>
  <c r="B55" i="8"/>
  <c r="C55" i="8" s="1"/>
  <c r="D55" i="8" s="1"/>
  <c r="E55" i="8" s="1"/>
  <c r="F55" i="8" s="1"/>
  <c r="G55" i="8" s="1"/>
  <c r="B30" i="8"/>
  <c r="C30" i="8" s="1"/>
  <c r="D30" i="8" s="1"/>
  <c r="E30" i="8" s="1"/>
  <c r="F30" i="8" s="1"/>
  <c r="G30" i="8" s="1"/>
  <c r="B45" i="8"/>
  <c r="C45" i="8" s="1"/>
  <c r="D45" i="8" s="1"/>
  <c r="E45" i="8" s="1"/>
  <c r="F45" i="8" s="1"/>
  <c r="G45" i="8" s="1"/>
  <c r="B44" i="8"/>
  <c r="C44" i="8" s="1"/>
  <c r="D44" i="8" s="1"/>
  <c r="E44" i="8" s="1"/>
  <c r="F44" i="8" s="1"/>
  <c r="G44" i="8" s="1"/>
  <c r="B36" i="8"/>
  <c r="C36" i="8" s="1"/>
  <c r="D36" i="8" s="1"/>
  <c r="E36" i="8" s="1"/>
  <c r="F36" i="8" s="1"/>
  <c r="G36" i="8" s="1"/>
  <c r="B54" i="8"/>
  <c r="C54" i="8" s="1"/>
  <c r="D54" i="8" s="1"/>
  <c r="E54" i="8" s="1"/>
  <c r="F54" i="8" s="1"/>
  <c r="G54" i="8" s="1"/>
  <c r="B75" i="8"/>
  <c r="C75" i="8" s="1"/>
  <c r="D75" i="8" s="1"/>
  <c r="E75" i="8" s="1"/>
  <c r="F75" i="8" s="1"/>
  <c r="G75" i="8" s="1"/>
  <c r="B38" i="8"/>
  <c r="C38" i="8" s="1"/>
  <c r="D38" i="8" s="1"/>
  <c r="E38" i="8" s="1"/>
  <c r="F38" i="8" s="1"/>
  <c r="G38" i="8" s="1"/>
  <c r="B61" i="8"/>
  <c r="C61" i="8" s="1"/>
  <c r="D61" i="8" s="1"/>
  <c r="E61" i="8" s="1"/>
  <c r="F61" i="8" s="1"/>
  <c r="G61" i="8" s="1"/>
  <c r="B70" i="8"/>
  <c r="C70" i="8" s="1"/>
  <c r="D70" i="8" s="1"/>
  <c r="E70" i="8" s="1"/>
  <c r="F70" i="8" s="1"/>
  <c r="G70" i="8" s="1"/>
  <c r="B33" i="8"/>
  <c r="C33" i="8" s="1"/>
  <c r="D33" i="8" s="1"/>
  <c r="E33" i="8" s="1"/>
  <c r="F33" i="8" s="1"/>
  <c r="G33" i="8" s="1"/>
  <c r="B41" i="8"/>
  <c r="C41" i="8" s="1"/>
  <c r="D41" i="8" s="1"/>
  <c r="E41" i="8" s="1"/>
  <c r="F41" i="8" s="1"/>
  <c r="G41" i="8" s="1"/>
  <c r="B46" i="8"/>
  <c r="C46" i="8" s="1"/>
  <c r="D46" i="8" s="1"/>
  <c r="E46" i="8" s="1"/>
  <c r="F46" i="8" s="1"/>
  <c r="G46" i="8" s="1"/>
  <c r="B31" i="8"/>
  <c r="C31" i="8" s="1"/>
  <c r="D31" i="8" s="1"/>
  <c r="E31" i="8" s="1"/>
  <c r="F31" i="8" s="1"/>
  <c r="G31" i="8" s="1"/>
  <c r="B72" i="8"/>
  <c r="C72" i="8" s="1"/>
  <c r="D72" i="8" s="1"/>
  <c r="E72" i="8" s="1"/>
  <c r="F72" i="8" s="1"/>
  <c r="G72" i="8" s="1"/>
  <c r="B37" i="8"/>
  <c r="C37" i="8" s="1"/>
  <c r="D37" i="8" s="1"/>
  <c r="E37" i="8" s="1"/>
  <c r="F37" i="8" s="1"/>
  <c r="G37" i="8" s="1"/>
  <c r="B39" i="8"/>
  <c r="C39" i="8" s="1"/>
  <c r="D39" i="8" s="1"/>
  <c r="E39" i="8" s="1"/>
  <c r="F39" i="8" s="1"/>
  <c r="G39" i="8" s="1"/>
  <c r="B83" i="8"/>
  <c r="C83" i="8" s="1"/>
  <c r="D83" i="8" s="1"/>
  <c r="E83" i="8" s="1"/>
  <c r="F83" i="8" s="1"/>
  <c r="G83" i="8" s="1"/>
  <c r="B35" i="8"/>
  <c r="C35" i="8" s="1"/>
  <c r="D35" i="8" s="1"/>
  <c r="E35" i="8" s="1"/>
  <c r="F35" i="8" s="1"/>
  <c r="G35" i="8" s="1"/>
  <c r="B53" i="8"/>
  <c r="C53" i="8" s="1"/>
  <c r="D53" i="8" s="1"/>
  <c r="E53" i="8" s="1"/>
  <c r="F53" i="8" s="1"/>
  <c r="G53" i="8" s="1"/>
  <c r="B52" i="8"/>
  <c r="C52" i="8" s="1"/>
  <c r="D52" i="8" s="1"/>
  <c r="E52" i="8" s="1"/>
  <c r="F52" i="8" s="1"/>
  <c r="G52" i="8" s="1"/>
  <c r="B42" i="8"/>
  <c r="C42" i="8" s="1"/>
  <c r="D42" i="8" s="1"/>
  <c r="E42" i="8" s="1"/>
  <c r="F42" i="8" s="1"/>
  <c r="G42" i="8" s="1"/>
  <c r="B74" i="8"/>
  <c r="C74" i="8" s="1"/>
  <c r="D74" i="8" s="1"/>
  <c r="E74" i="8" s="1"/>
  <c r="F74" i="8" s="1"/>
  <c r="G74" i="8" s="1"/>
  <c r="B64" i="8"/>
  <c r="C64" i="8" s="1"/>
  <c r="D64" i="8" s="1"/>
  <c r="E64" i="8" s="1"/>
  <c r="F64" i="8" s="1"/>
  <c r="G64" i="8" s="1"/>
  <c r="B85" i="8"/>
  <c r="C85" i="8" s="1"/>
  <c r="D85" i="8" s="1"/>
  <c r="E85" i="8" s="1"/>
  <c r="F85" i="8" s="1"/>
  <c r="G85" i="8" s="1"/>
  <c r="B34" i="8"/>
  <c r="C34" i="8" s="1"/>
  <c r="D34" i="8" s="1"/>
  <c r="E34" i="8" s="1"/>
  <c r="F34" i="8" s="1"/>
  <c r="G34" i="8" s="1"/>
  <c r="B84" i="8"/>
  <c r="C84" i="8" s="1"/>
  <c r="D84" i="8" s="1"/>
  <c r="E84" i="8" s="1"/>
  <c r="F84" i="8" s="1"/>
  <c r="G84" i="8" s="1"/>
  <c r="B81" i="8"/>
  <c r="C81" i="8" s="1"/>
  <c r="D81" i="8" s="1"/>
  <c r="E81" i="8" s="1"/>
  <c r="F81" i="8" s="1"/>
  <c r="G81" i="8" s="1"/>
  <c r="B32" i="8"/>
  <c r="C32" i="8" s="1"/>
  <c r="D32" i="8" s="1"/>
  <c r="E32" i="8" s="1"/>
  <c r="F32" i="8" s="1"/>
  <c r="G32" i="8" s="1"/>
  <c r="B57" i="8"/>
  <c r="C57" i="8" s="1"/>
  <c r="D57" i="8" s="1"/>
  <c r="E57" i="8" s="1"/>
  <c r="F57" i="8" s="1"/>
  <c r="G57" i="8" s="1"/>
  <c r="B80" i="8"/>
  <c r="C80" i="8" s="1"/>
  <c r="D80" i="8" s="1"/>
  <c r="E80" i="8" s="1"/>
  <c r="F80" i="8" s="1"/>
  <c r="G80" i="8" s="1"/>
  <c r="B63" i="8"/>
  <c r="C63" i="8" s="1"/>
  <c r="D63" i="8" s="1"/>
  <c r="E63" i="8" s="1"/>
  <c r="F63" i="8" s="1"/>
  <c r="G63" i="8" s="1"/>
  <c r="B56" i="8"/>
  <c r="C56" i="8" s="1"/>
  <c r="D56" i="8" s="1"/>
  <c r="E56" i="8" s="1"/>
  <c r="F56" i="8" s="1"/>
  <c r="G56" i="8" s="1"/>
  <c r="B77" i="8"/>
  <c r="C77" i="8" s="1"/>
  <c r="D77" i="8" s="1"/>
  <c r="E77" i="8" s="1"/>
  <c r="F77" i="8" s="1"/>
  <c r="G77" i="8" s="1"/>
  <c r="B76" i="8"/>
  <c r="C76" i="8" s="1"/>
  <c r="D76" i="8" s="1"/>
  <c r="E76" i="8" s="1"/>
  <c r="F76" i="8" s="1"/>
  <c r="G76" i="8" s="1"/>
  <c r="B73" i="8"/>
  <c r="C73" i="8" s="1"/>
  <c r="D73" i="8" s="1"/>
  <c r="E73" i="8" s="1"/>
  <c r="F73" i="8" s="1"/>
  <c r="G73" i="8" s="1"/>
  <c r="B86" i="8"/>
  <c r="C86" i="8" s="1"/>
  <c r="D86" i="8" s="1"/>
  <c r="E86" i="8" s="1"/>
  <c r="F86" i="8" s="1"/>
  <c r="G86" i="8" s="1"/>
  <c r="B66" i="8"/>
  <c r="C66" i="8" s="1"/>
  <c r="D66" i="8" s="1"/>
  <c r="E66" i="8" s="1"/>
  <c r="F66" i="8" s="1"/>
  <c r="G66" i="8" s="1"/>
  <c r="D20" i="7"/>
  <c r="D31" i="7" s="1"/>
  <c r="E20" i="7"/>
  <c r="E31" i="7" s="1"/>
  <c r="F20" i="7"/>
  <c r="F31" i="7" s="1"/>
  <c r="G20" i="7"/>
  <c r="G31" i="7" s="1"/>
  <c r="H20" i="7"/>
  <c r="H31" i="7" s="1"/>
  <c r="C20" i="7"/>
  <c r="C31" i="7" s="1"/>
  <c r="I40" i="8" l="1"/>
  <c r="H51" i="8"/>
  <c r="H65" i="8"/>
  <c r="H48" i="8"/>
  <c r="H78" i="8"/>
  <c r="H68" i="8"/>
  <c r="I68" i="8"/>
  <c r="H69" i="8"/>
  <c r="I66" i="8"/>
  <c r="H66" i="8"/>
  <c r="H37" i="8"/>
  <c r="I37" i="8" s="1"/>
  <c r="H44" i="8"/>
  <c r="I44" i="8" s="1"/>
  <c r="H34" i="8"/>
  <c r="I34" i="8" s="1"/>
  <c r="I49" i="8"/>
  <c r="H49" i="8"/>
  <c r="H32" i="8"/>
  <c r="I32" i="8" s="1"/>
  <c r="H50" i="8"/>
  <c r="I50" i="8"/>
  <c r="I53" i="8"/>
  <c r="H53" i="8"/>
  <c r="H43" i="8"/>
  <c r="I43" i="8" s="1"/>
  <c r="H35" i="8"/>
  <c r="I35" i="8" s="1"/>
  <c r="H31" i="8"/>
  <c r="I31" i="8" s="1"/>
  <c r="I61" i="8"/>
  <c r="H61" i="8"/>
  <c r="I58" i="8"/>
  <c r="H58" i="8"/>
  <c r="H62" i="8"/>
  <c r="I62" i="8"/>
  <c r="H33" i="8"/>
  <c r="I33" i="8" s="1"/>
  <c r="I54" i="8"/>
  <c r="H54" i="8"/>
  <c r="H57" i="8"/>
  <c r="I57" i="8"/>
  <c r="I70" i="8"/>
  <c r="H70" i="8"/>
  <c r="I83" i="8"/>
  <c r="H83" i="8"/>
  <c r="H36" i="8"/>
  <c r="I36" i="8" s="1"/>
  <c r="H47" i="8"/>
  <c r="I47" i="8"/>
  <c r="I60" i="8"/>
  <c r="H60" i="8"/>
  <c r="I63" i="8"/>
  <c r="H63" i="8"/>
  <c r="H41" i="8"/>
  <c r="I41" i="8" s="1"/>
  <c r="I86" i="8"/>
  <c r="H86" i="8"/>
  <c r="I55" i="8"/>
  <c r="H55" i="8"/>
  <c r="I73" i="8"/>
  <c r="H73" i="8"/>
  <c r="H71" i="8"/>
  <c r="I71" i="8"/>
  <c r="I64" i="8"/>
  <c r="H64" i="8"/>
  <c r="I45" i="8"/>
  <c r="H45" i="8"/>
  <c r="H38" i="8"/>
  <c r="I38" i="8" s="1"/>
  <c r="I77" i="8"/>
  <c r="H77" i="8"/>
  <c r="I84" i="8"/>
  <c r="H84" i="8"/>
  <c r="I74" i="8"/>
  <c r="H74" i="8"/>
  <c r="H30" i="8"/>
  <c r="I79" i="8"/>
  <c r="H79" i="8"/>
  <c r="H80" i="8"/>
  <c r="I80" i="8"/>
  <c r="I52" i="8"/>
  <c r="H52" i="8"/>
  <c r="I67" i="8"/>
  <c r="H67" i="8"/>
  <c r="H72" i="8"/>
  <c r="I72" i="8"/>
  <c r="I85" i="8"/>
  <c r="H85" i="8"/>
  <c r="I76" i="8"/>
  <c r="H76" i="8"/>
  <c r="I46" i="8"/>
  <c r="H46" i="8"/>
  <c r="H81" i="8"/>
  <c r="I81" i="8"/>
  <c r="I56" i="8"/>
  <c r="H56" i="8"/>
  <c r="H42" i="8"/>
  <c r="I42" i="8" s="1"/>
  <c r="H39" i="8"/>
  <c r="I39" i="8" s="1"/>
  <c r="H75" i="8"/>
  <c r="I75" i="8"/>
  <c r="H82" i="8"/>
  <c r="I82" i="8"/>
  <c r="B9" i="7"/>
  <c r="B10" i="7"/>
  <c r="B11" i="7"/>
  <c r="B12" i="7"/>
  <c r="B13" i="7"/>
  <c r="B8" i="7"/>
  <c r="D7" i="7"/>
  <c r="E7" i="7"/>
  <c r="F7" i="7"/>
  <c r="G7" i="7"/>
  <c r="H7" i="7"/>
  <c r="C7" i="7"/>
  <c r="C3" i="7"/>
  <c r="I30" i="8" l="1"/>
  <c r="D25" i="7"/>
  <c r="E25" i="7"/>
  <c r="H25" i="7"/>
  <c r="C25" i="7"/>
  <c r="F25" i="7"/>
  <c r="G25" i="7"/>
  <c r="C4" i="7"/>
  <c r="D19" i="7"/>
  <c r="E19" i="7"/>
  <c r="F19" i="7"/>
  <c r="G19" i="7"/>
  <c r="H19" i="7"/>
  <c r="C19" i="7"/>
  <c r="G12" i="7"/>
  <c r="C12" i="7"/>
  <c r="H12" i="7"/>
  <c r="F13" i="7"/>
  <c r="G9" i="7"/>
  <c r="H8" i="7"/>
  <c r="E10" i="7"/>
  <c r="D12" i="7"/>
  <c r="F9" i="7"/>
  <c r="E11" i="7"/>
  <c r="B3" i="3" l="1"/>
  <c r="I25" i="7"/>
  <c r="D23" i="7"/>
  <c r="E23" i="7"/>
  <c r="F23" i="7"/>
  <c r="G23" i="7"/>
  <c r="H23" i="7"/>
  <c r="C23" i="7"/>
  <c r="H11" i="7"/>
  <c r="E9" i="7"/>
  <c r="C11" i="7"/>
  <c r="F12" i="7"/>
  <c r="G8" i="7"/>
  <c r="C9" i="7"/>
  <c r="D10" i="7"/>
  <c r="C13" i="7"/>
  <c r="D9" i="7"/>
  <c r="D11" i="7"/>
  <c r="H13" i="7"/>
  <c r="G13" i="7"/>
  <c r="C8" i="7"/>
  <c r="E13" i="7"/>
  <c r="E8" i="7"/>
  <c r="G11" i="7"/>
  <c r="F8" i="7"/>
  <c r="D8" i="7"/>
  <c r="D13" i="7"/>
  <c r="G10" i="7"/>
  <c r="C10" i="7"/>
  <c r="H9" i="7"/>
  <c r="E12" i="7"/>
  <c r="H10" i="7"/>
  <c r="F11" i="7"/>
  <c r="F10" i="7"/>
  <c r="I26" i="7" l="1" a="1"/>
  <c r="I26" i="7" s="1"/>
  <c r="I27" i="7" s="1"/>
  <c r="I29" i="7" s="1"/>
  <c r="B36" i="3"/>
  <c r="C36" i="3" s="1"/>
  <c r="D36" i="3" s="1"/>
  <c r="E36" i="3" s="1"/>
  <c r="F36" i="3" s="1"/>
  <c r="G36" i="3" s="1"/>
  <c r="B44" i="3"/>
  <c r="C44" i="3" s="1"/>
  <c r="D44" i="3" s="1"/>
  <c r="E44" i="3" s="1"/>
  <c r="F44" i="3" s="1"/>
  <c r="G44" i="3" s="1"/>
  <c r="I46" i="3"/>
  <c r="H49" i="3"/>
  <c r="H51" i="3"/>
  <c r="H53" i="3"/>
  <c r="H55" i="3"/>
  <c r="H57" i="3"/>
  <c r="H59" i="3"/>
  <c r="H61" i="3"/>
  <c r="H63" i="3"/>
  <c r="H65" i="3"/>
  <c r="H67" i="3"/>
  <c r="H69" i="3"/>
  <c r="I72" i="3"/>
  <c r="I74" i="3"/>
  <c r="I76" i="3"/>
  <c r="I78" i="3"/>
  <c r="H80" i="3"/>
  <c r="B82" i="3"/>
  <c r="C82" i="3" s="1"/>
  <c r="D82" i="3" s="1"/>
  <c r="E82" i="3" s="1"/>
  <c r="F82" i="3" s="1"/>
  <c r="G82" i="3" s="1"/>
  <c r="B17" i="3"/>
  <c r="C17" i="3" s="1"/>
  <c r="D17" i="3" s="1"/>
  <c r="E17" i="3" s="1"/>
  <c r="F17" i="3" s="1"/>
  <c r="G17" i="3" s="1"/>
  <c r="B22" i="3"/>
  <c r="B31" i="3"/>
  <c r="C31" i="3" s="1"/>
  <c r="D31" i="3" s="1"/>
  <c r="E31" i="3" s="1"/>
  <c r="F31" i="3" s="1"/>
  <c r="G31" i="3" s="1"/>
  <c r="B39" i="3"/>
  <c r="C39" i="3" s="1"/>
  <c r="D39" i="3" s="1"/>
  <c r="E39" i="3" s="1"/>
  <c r="F39" i="3" s="1"/>
  <c r="G39" i="3" s="1"/>
  <c r="H44" i="3"/>
  <c r="B47" i="3"/>
  <c r="C47" i="3" s="1"/>
  <c r="D47" i="3" s="1"/>
  <c r="E47" i="3" s="1"/>
  <c r="F47" i="3" s="1"/>
  <c r="G47" i="3" s="1"/>
  <c r="I49" i="3"/>
  <c r="I51" i="3"/>
  <c r="I53" i="3"/>
  <c r="I55" i="3"/>
  <c r="I57" i="3"/>
  <c r="I59" i="3"/>
  <c r="I61" i="3"/>
  <c r="I63" i="3"/>
  <c r="I65" i="3"/>
  <c r="I67" i="3"/>
  <c r="I69" i="3"/>
  <c r="H71" i="3"/>
  <c r="B73" i="3"/>
  <c r="C73" i="3" s="1"/>
  <c r="D73" i="3" s="1"/>
  <c r="E73" i="3" s="1"/>
  <c r="F73" i="3" s="1"/>
  <c r="G73" i="3" s="1"/>
  <c r="B75" i="3"/>
  <c r="C75" i="3" s="1"/>
  <c r="D75" i="3" s="1"/>
  <c r="E75" i="3" s="1"/>
  <c r="F75" i="3" s="1"/>
  <c r="G75" i="3" s="1"/>
  <c r="B77" i="3"/>
  <c r="C77" i="3" s="1"/>
  <c r="D77" i="3" s="1"/>
  <c r="E77" i="3" s="1"/>
  <c r="F77" i="3" s="1"/>
  <c r="G77" i="3" s="1"/>
  <c r="B79" i="3"/>
  <c r="C79" i="3" s="1"/>
  <c r="D79" i="3" s="1"/>
  <c r="E79" i="3" s="1"/>
  <c r="F79" i="3" s="1"/>
  <c r="G79" i="3" s="1"/>
  <c r="I80" i="3"/>
  <c r="B24" i="3"/>
  <c r="C24" i="3" s="1"/>
  <c r="D24" i="3" s="1"/>
  <c r="E24" i="3" s="1"/>
  <c r="F24" i="3" s="1"/>
  <c r="G24" i="3" s="1"/>
  <c r="B27" i="3"/>
  <c r="C27" i="3" s="1"/>
  <c r="D27" i="3" s="1"/>
  <c r="E27" i="3" s="1"/>
  <c r="F27" i="3" s="1"/>
  <c r="G27" i="3" s="1"/>
  <c r="B34" i="3"/>
  <c r="C34" i="3" s="1"/>
  <c r="D34" i="3" s="1"/>
  <c r="E34" i="3" s="1"/>
  <c r="F34" i="3" s="1"/>
  <c r="G34" i="3" s="1"/>
  <c r="B42" i="3"/>
  <c r="C42" i="3" s="1"/>
  <c r="D42" i="3" s="1"/>
  <c r="E42" i="3" s="1"/>
  <c r="F42" i="3" s="1"/>
  <c r="G42" i="3" s="1"/>
  <c r="I44" i="3"/>
  <c r="H47" i="3"/>
  <c r="B50" i="3"/>
  <c r="C50" i="3" s="1"/>
  <c r="D50" i="3" s="1"/>
  <c r="E50" i="3" s="1"/>
  <c r="F50" i="3" s="1"/>
  <c r="G50" i="3" s="1"/>
  <c r="B52" i="3"/>
  <c r="C52" i="3" s="1"/>
  <c r="D52" i="3" s="1"/>
  <c r="E52" i="3" s="1"/>
  <c r="F52" i="3" s="1"/>
  <c r="G52" i="3" s="1"/>
  <c r="B54" i="3"/>
  <c r="C54" i="3" s="1"/>
  <c r="D54" i="3" s="1"/>
  <c r="E54" i="3" s="1"/>
  <c r="F54" i="3" s="1"/>
  <c r="G54" i="3" s="1"/>
  <c r="B56" i="3"/>
  <c r="C56" i="3" s="1"/>
  <c r="D56" i="3" s="1"/>
  <c r="E56" i="3" s="1"/>
  <c r="F56" i="3" s="1"/>
  <c r="G56" i="3" s="1"/>
  <c r="B58" i="3"/>
  <c r="C58" i="3" s="1"/>
  <c r="D58" i="3" s="1"/>
  <c r="E58" i="3" s="1"/>
  <c r="F58" i="3" s="1"/>
  <c r="G58" i="3" s="1"/>
  <c r="B60" i="3"/>
  <c r="C60" i="3" s="1"/>
  <c r="D60" i="3" s="1"/>
  <c r="E60" i="3" s="1"/>
  <c r="F60" i="3" s="1"/>
  <c r="G60" i="3" s="1"/>
  <c r="B62" i="3"/>
  <c r="C62" i="3" s="1"/>
  <c r="D62" i="3" s="1"/>
  <c r="E62" i="3" s="1"/>
  <c r="F62" i="3" s="1"/>
  <c r="G62" i="3" s="1"/>
  <c r="B64" i="3"/>
  <c r="C64" i="3" s="1"/>
  <c r="D64" i="3" s="1"/>
  <c r="E64" i="3" s="1"/>
  <c r="F64" i="3" s="1"/>
  <c r="G64" i="3" s="1"/>
  <c r="B66" i="3"/>
  <c r="C66" i="3" s="1"/>
  <c r="D66" i="3" s="1"/>
  <c r="E66" i="3" s="1"/>
  <c r="F66" i="3" s="1"/>
  <c r="G66" i="3" s="1"/>
  <c r="B68" i="3"/>
  <c r="C68" i="3" s="1"/>
  <c r="D68" i="3" s="1"/>
  <c r="E68" i="3" s="1"/>
  <c r="F68" i="3" s="1"/>
  <c r="G68" i="3" s="1"/>
  <c r="B70" i="3"/>
  <c r="C70" i="3" s="1"/>
  <c r="D70" i="3" s="1"/>
  <c r="E70" i="3" s="1"/>
  <c r="F70" i="3" s="1"/>
  <c r="G70" i="3" s="1"/>
  <c r="I71" i="3"/>
  <c r="H73" i="3"/>
  <c r="H77" i="3"/>
  <c r="B18" i="3"/>
  <c r="C18" i="3" s="1"/>
  <c r="D18" i="3" s="1"/>
  <c r="E18" i="3" s="1"/>
  <c r="F18" i="3" s="1"/>
  <c r="G18" i="3" s="1"/>
  <c r="B29" i="3"/>
  <c r="C29" i="3" s="1"/>
  <c r="D29" i="3" s="1"/>
  <c r="E29" i="3" s="1"/>
  <c r="F29" i="3" s="1"/>
  <c r="G29" i="3" s="1"/>
  <c r="B37" i="3"/>
  <c r="C37" i="3" s="1"/>
  <c r="D37" i="3" s="1"/>
  <c r="E37" i="3" s="1"/>
  <c r="F37" i="3" s="1"/>
  <c r="G37" i="3" s="1"/>
  <c r="B45" i="3"/>
  <c r="C45" i="3" s="1"/>
  <c r="D45" i="3" s="1"/>
  <c r="E45" i="3" s="1"/>
  <c r="F45" i="3" s="1"/>
  <c r="G45" i="3" s="1"/>
  <c r="I47" i="3"/>
  <c r="H50" i="3"/>
  <c r="H54" i="3"/>
  <c r="H58" i="3"/>
  <c r="H62" i="3"/>
  <c r="H66" i="3"/>
  <c r="B72" i="3"/>
  <c r="C72" i="3" s="1"/>
  <c r="D72" i="3" s="1"/>
  <c r="E72" i="3" s="1"/>
  <c r="F72" i="3" s="1"/>
  <c r="G72" i="3" s="1"/>
  <c r="I73" i="3"/>
  <c r="H75" i="3"/>
  <c r="I77" i="3"/>
  <c r="H79" i="3"/>
  <c r="B20" i="3"/>
  <c r="C20" i="3" s="1"/>
  <c r="D20" i="3" s="1"/>
  <c r="E20" i="3" s="1"/>
  <c r="F20" i="3" s="1"/>
  <c r="G20" i="3" s="1"/>
  <c r="B25" i="3"/>
  <c r="C25" i="3" s="1"/>
  <c r="D25" i="3" s="1"/>
  <c r="E25" i="3" s="1"/>
  <c r="F25" i="3" s="1"/>
  <c r="G25" i="3" s="1"/>
  <c r="B40" i="3"/>
  <c r="C40" i="3" s="1"/>
  <c r="D40" i="3" s="1"/>
  <c r="E40" i="3" s="1"/>
  <c r="F40" i="3" s="1"/>
  <c r="G40" i="3" s="1"/>
  <c r="H45" i="3"/>
  <c r="I50" i="3"/>
  <c r="I54" i="3"/>
  <c r="I58" i="3"/>
  <c r="I62" i="3"/>
  <c r="I66" i="3"/>
  <c r="B74" i="3"/>
  <c r="C74" i="3" s="1"/>
  <c r="D74" i="3" s="1"/>
  <c r="E74" i="3" s="1"/>
  <c r="F74" i="3" s="1"/>
  <c r="G74" i="3" s="1"/>
  <c r="B78" i="3"/>
  <c r="C78" i="3" s="1"/>
  <c r="D78" i="3" s="1"/>
  <c r="E78" i="3" s="1"/>
  <c r="F78" i="3" s="1"/>
  <c r="G78" i="3" s="1"/>
  <c r="B81" i="3"/>
  <c r="C81" i="3" s="1"/>
  <c r="D81" i="3" s="1"/>
  <c r="E81" i="3" s="1"/>
  <c r="F81" i="3" s="1"/>
  <c r="G81" i="3" s="1"/>
  <c r="H82" i="3"/>
  <c r="B84" i="3"/>
  <c r="C84" i="3" s="1"/>
  <c r="D84" i="3" s="1"/>
  <c r="E84" i="3" s="1"/>
  <c r="F84" i="3" s="1"/>
  <c r="G84" i="3" s="1"/>
  <c r="B83" i="3"/>
  <c r="C83" i="3" s="1"/>
  <c r="D83" i="3" s="1"/>
  <c r="E83" i="3" s="1"/>
  <c r="F83" i="3" s="1"/>
  <c r="G83" i="3" s="1"/>
  <c r="B71" i="3"/>
  <c r="C71" i="3" s="1"/>
  <c r="D71" i="3" s="1"/>
  <c r="E71" i="3" s="1"/>
  <c r="F71" i="3" s="1"/>
  <c r="G71" i="3" s="1"/>
  <c r="H56" i="3"/>
  <c r="I81" i="3"/>
  <c r="B23" i="3"/>
  <c r="C23" i="3" s="1"/>
  <c r="D23" i="3" s="1"/>
  <c r="E23" i="3" s="1"/>
  <c r="F23" i="3" s="1"/>
  <c r="G23" i="3" s="1"/>
  <c r="B43" i="3"/>
  <c r="C43" i="3" s="1"/>
  <c r="D43" i="3" s="1"/>
  <c r="E43" i="3" s="1"/>
  <c r="F43" i="3" s="1"/>
  <c r="G43" i="3" s="1"/>
  <c r="H60" i="3"/>
  <c r="B76" i="3"/>
  <c r="C76" i="3" s="1"/>
  <c r="D76" i="3" s="1"/>
  <c r="E76" i="3" s="1"/>
  <c r="F76" i="3" s="1"/>
  <c r="G76" i="3" s="1"/>
  <c r="I52" i="3"/>
  <c r="B65" i="3"/>
  <c r="C65" i="3" s="1"/>
  <c r="D65" i="3" s="1"/>
  <c r="E65" i="3" s="1"/>
  <c r="F65" i="3" s="1"/>
  <c r="G65" i="3" s="1"/>
  <c r="B19" i="3"/>
  <c r="C19" i="3" s="1"/>
  <c r="D19" i="3" s="1"/>
  <c r="E19" i="3" s="1"/>
  <c r="F19" i="3" s="1"/>
  <c r="G19" i="3" s="1"/>
  <c r="B61" i="3"/>
  <c r="C61" i="3" s="1"/>
  <c r="D61" i="3" s="1"/>
  <c r="E61" i="3" s="1"/>
  <c r="F61" i="3" s="1"/>
  <c r="G61" i="3" s="1"/>
  <c r="H76" i="3"/>
  <c r="I83" i="3"/>
  <c r="B35" i="3"/>
  <c r="C35" i="3" s="1"/>
  <c r="D35" i="3" s="1"/>
  <c r="E35" i="3" s="1"/>
  <c r="F35" i="3" s="1"/>
  <c r="G35" i="3" s="1"/>
  <c r="I45" i="3"/>
  <c r="B51" i="3"/>
  <c r="C51" i="3" s="1"/>
  <c r="D51" i="3" s="1"/>
  <c r="E51" i="3" s="1"/>
  <c r="F51" i="3" s="1"/>
  <c r="G51" i="3" s="1"/>
  <c r="B55" i="3"/>
  <c r="C55" i="3" s="1"/>
  <c r="D55" i="3" s="1"/>
  <c r="E55" i="3" s="1"/>
  <c r="F55" i="3" s="1"/>
  <c r="G55" i="3" s="1"/>
  <c r="B59" i="3"/>
  <c r="C59" i="3" s="1"/>
  <c r="D59" i="3" s="1"/>
  <c r="E59" i="3" s="1"/>
  <c r="F59" i="3" s="1"/>
  <c r="G59" i="3" s="1"/>
  <c r="B63" i="3"/>
  <c r="C63" i="3" s="1"/>
  <c r="D63" i="3" s="1"/>
  <c r="E63" i="3" s="1"/>
  <c r="F63" i="3" s="1"/>
  <c r="G63" i="3" s="1"/>
  <c r="B67" i="3"/>
  <c r="C67" i="3" s="1"/>
  <c r="D67" i="3" s="1"/>
  <c r="E67" i="3" s="1"/>
  <c r="F67" i="3" s="1"/>
  <c r="G67" i="3" s="1"/>
  <c r="H70" i="3"/>
  <c r="I82" i="3"/>
  <c r="H78" i="3"/>
  <c r="I75" i="3"/>
  <c r="H84" i="3"/>
  <c r="H52" i="3"/>
  <c r="H68" i="3"/>
  <c r="I60" i="3"/>
  <c r="B85" i="3"/>
  <c r="C85" i="3" s="1"/>
  <c r="D85" i="3" s="1"/>
  <c r="E85" i="3" s="1"/>
  <c r="F85" i="3" s="1"/>
  <c r="G85" i="3" s="1"/>
  <c r="B33" i="3"/>
  <c r="C33" i="3" s="1"/>
  <c r="D33" i="3" s="1"/>
  <c r="E33" i="3" s="1"/>
  <c r="F33" i="3" s="1"/>
  <c r="G33" i="3" s="1"/>
  <c r="B53" i="3"/>
  <c r="C53" i="3" s="1"/>
  <c r="D53" i="3" s="1"/>
  <c r="E53" i="3" s="1"/>
  <c r="F53" i="3" s="1"/>
  <c r="G53" i="3" s="1"/>
  <c r="H72" i="3"/>
  <c r="B21" i="3"/>
  <c r="C21" i="3" s="1"/>
  <c r="D21" i="3" s="1"/>
  <c r="E21" i="3" s="1"/>
  <c r="F21" i="3" s="1"/>
  <c r="G21" i="3" s="1"/>
  <c r="B30" i="3"/>
  <c r="C30" i="3" s="1"/>
  <c r="D30" i="3" s="1"/>
  <c r="E30" i="3" s="1"/>
  <c r="F30" i="3" s="1"/>
  <c r="G30" i="3" s="1"/>
  <c r="B46" i="3"/>
  <c r="C46" i="3" s="1"/>
  <c r="D46" i="3" s="1"/>
  <c r="E46" i="3" s="1"/>
  <c r="F46" i="3" s="1"/>
  <c r="G46" i="3" s="1"/>
  <c r="I70" i="3"/>
  <c r="H85" i="3"/>
  <c r="H81" i="3"/>
  <c r="I85" i="3"/>
  <c r="B32" i="3"/>
  <c r="C32" i="3" s="1"/>
  <c r="D32" i="3" s="1"/>
  <c r="E32" i="3" s="1"/>
  <c r="F32" i="3" s="1"/>
  <c r="G32" i="3" s="1"/>
  <c r="B48" i="3"/>
  <c r="C48" i="3" s="1"/>
  <c r="D48" i="3" s="1"/>
  <c r="E48" i="3" s="1"/>
  <c r="F48" i="3" s="1"/>
  <c r="G48" i="3" s="1"/>
  <c r="H64" i="3"/>
  <c r="I79" i="3"/>
  <c r="H48" i="3"/>
  <c r="I64" i="3"/>
  <c r="B80" i="3"/>
  <c r="C80" i="3" s="1"/>
  <c r="D80" i="3" s="1"/>
  <c r="E80" i="3" s="1"/>
  <c r="F80" i="3" s="1"/>
  <c r="G80" i="3" s="1"/>
  <c r="I84" i="3"/>
  <c r="B38" i="3"/>
  <c r="C38" i="3" s="1"/>
  <c r="D38" i="3" s="1"/>
  <c r="E38" i="3" s="1"/>
  <c r="F38" i="3" s="1"/>
  <c r="G38" i="3" s="1"/>
  <c r="B57" i="3"/>
  <c r="C57" i="3" s="1"/>
  <c r="D57" i="3" s="1"/>
  <c r="E57" i="3" s="1"/>
  <c r="F57" i="3" s="1"/>
  <c r="G57" i="3" s="1"/>
  <c r="H83" i="3"/>
  <c r="B26" i="3"/>
  <c r="C26" i="3" s="1"/>
  <c r="D26" i="3" s="1"/>
  <c r="E26" i="3" s="1"/>
  <c r="F26" i="3" s="1"/>
  <c r="G26" i="3" s="1"/>
  <c r="B41" i="3"/>
  <c r="C41" i="3" s="1"/>
  <c r="D41" i="3" s="1"/>
  <c r="E41" i="3" s="1"/>
  <c r="F41" i="3" s="1"/>
  <c r="G41" i="3" s="1"/>
  <c r="H46" i="3"/>
  <c r="H74" i="3"/>
  <c r="I56" i="3"/>
  <c r="B28" i="3"/>
  <c r="C28" i="3" s="1"/>
  <c r="D28" i="3" s="1"/>
  <c r="E28" i="3" s="1"/>
  <c r="F28" i="3" s="1"/>
  <c r="G28" i="3" s="1"/>
  <c r="I48" i="3"/>
  <c r="I68" i="3"/>
  <c r="B49" i="3"/>
  <c r="C49" i="3" s="1"/>
  <c r="D49" i="3" s="1"/>
  <c r="E49" i="3" s="1"/>
  <c r="F49" i="3" s="1"/>
  <c r="G49" i="3" s="1"/>
  <c r="B69" i="3"/>
  <c r="C69" i="3" s="1"/>
  <c r="D69" i="3" s="1"/>
  <c r="E69" i="3" s="1"/>
  <c r="F69" i="3" s="1"/>
  <c r="G69" i="3" s="1"/>
  <c r="H21" i="3" l="1"/>
  <c r="I21" i="3" s="1"/>
  <c r="H17" i="3"/>
  <c r="I17" i="3" s="1"/>
  <c r="H40" i="3"/>
  <c r="I40" i="3" s="1"/>
  <c r="H35" i="3"/>
  <c r="I35" i="3" s="1"/>
  <c r="H31" i="3"/>
  <c r="I31" i="3" s="1"/>
  <c r="H29" i="3"/>
  <c r="I29" i="3" s="1"/>
  <c r="H27" i="3"/>
  <c r="I27" i="3" s="1"/>
  <c r="H42" i="3"/>
  <c r="I42" i="3" s="1"/>
  <c r="H36" i="3"/>
  <c r="I36" i="3" s="1"/>
  <c r="H26" i="3"/>
  <c r="I26" i="3" s="1"/>
  <c r="H41" i="3"/>
  <c r="I41" i="3" s="1"/>
  <c r="H34" i="3"/>
  <c r="I34" i="3" s="1"/>
  <c r="H28" i="3"/>
  <c r="I28" i="3" s="1"/>
  <c r="H38" i="3"/>
  <c r="I38" i="3" s="1"/>
  <c r="H32" i="3"/>
  <c r="I32" i="3" s="1"/>
  <c r="H43" i="3"/>
  <c r="I43" i="3" s="1"/>
  <c r="H33" i="3"/>
  <c r="I33" i="3" s="1"/>
  <c r="H30" i="3"/>
  <c r="I30" i="3" s="1"/>
  <c r="H37" i="3"/>
  <c r="I37" i="3" s="1"/>
  <c r="H39" i="3"/>
  <c r="I39" i="3" s="1"/>
  <c r="H24" i="3"/>
  <c r="I24" i="3" s="1"/>
  <c r="B6" i="8"/>
  <c r="B8" i="8" a="1"/>
  <c r="B8" i="8" s="1"/>
  <c r="B7" i="8" a="1"/>
  <c r="B7" i="8" s="1"/>
  <c r="B13" i="8"/>
  <c r="H19" i="3"/>
  <c r="I19" i="3" s="1"/>
  <c r="H20" i="3"/>
  <c r="I20" i="3" s="1"/>
  <c r="H25" i="3"/>
  <c r="I25" i="3" s="1"/>
  <c r="H23" i="3"/>
  <c r="I23" i="3" s="1"/>
  <c r="H18" i="3"/>
  <c r="I18" i="3" s="1"/>
  <c r="C22" i="3"/>
  <c r="D22" i="3" s="1"/>
  <c r="E22" i="3" s="1"/>
  <c r="F22" i="3" s="1"/>
  <c r="G22" i="3" s="1"/>
  <c r="I19" i="1" a="1"/>
  <c r="I19" i="1" s="1"/>
  <c r="I20" i="1" s="1"/>
  <c r="H18" i="1"/>
  <c r="G18" i="1"/>
  <c r="F18" i="1"/>
  <c r="E18" i="1"/>
  <c r="D18" i="1"/>
  <c r="C18" i="1"/>
  <c r="I17" i="1"/>
  <c r="H16" i="1"/>
  <c r="G16" i="1"/>
  <c r="F16" i="1"/>
  <c r="E16" i="1"/>
  <c r="D16" i="1"/>
  <c r="C16" i="1"/>
  <c r="B14" i="8" l="1"/>
  <c r="B10" i="8"/>
  <c r="H22" i="3"/>
  <c r="I22" i="3" s="1"/>
  <c r="I18" i="1"/>
  <c r="I22" i="1" s="1"/>
  <c r="B7" i="3" l="1" a="1"/>
  <c r="B7" i="3" s="1"/>
  <c r="B6" i="3" a="1"/>
  <c r="B6" i="3" s="1"/>
  <c r="B5" i="3"/>
  <c r="B9" i="3" s="1"/>
  <c r="B12" i="3" l="1"/>
  <c r="B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<sst xmlns="http://schemas.openxmlformats.org/spreadsheetml/2006/main" count="147" uniqueCount="69">
  <si>
    <t>SIX Asset Portfolio</t>
  </si>
  <si>
    <t>Correl</t>
  </si>
  <si>
    <t>US Large Cap</t>
  </si>
  <si>
    <t>Dev ex US</t>
  </si>
  <si>
    <t>EM</t>
  </si>
  <si>
    <t>UST</t>
  </si>
  <si>
    <t>US IG Corp Bond</t>
  </si>
  <si>
    <t>REITs</t>
  </si>
  <si>
    <t>E Return</t>
  </si>
  <si>
    <t>Volatility</t>
  </si>
  <si>
    <t>Define portfolio objectives and constraints</t>
  </si>
  <si>
    <t>Weights</t>
  </si>
  <si>
    <t>per asset</t>
  </si>
  <si>
    <t>Objective: Max Return</t>
  </si>
  <si>
    <t>Variance</t>
  </si>
  <si>
    <t>For Risk Level: Medium</t>
  </si>
  <si>
    <t>Risk-Free Rate</t>
  </si>
  <si>
    <t>Sharpe Ratio</t>
  </si>
  <si>
    <t>Index</t>
  </si>
  <si>
    <t>Risk Assessment and Performance Metrics</t>
  </si>
  <si>
    <t>Ending Date</t>
  </si>
  <si>
    <t>Annual Portfolio Return</t>
  </si>
  <si>
    <t>Compounded Annual Portfolio Return</t>
  </si>
  <si>
    <t>Annual Volatility of Portfolio</t>
  </si>
  <si>
    <t>Minimum Acceptable Return (MAR)</t>
  </si>
  <si>
    <t>Target Semi-Standard Deviation</t>
  </si>
  <si>
    <t>Sortino Ratio</t>
  </si>
  <si>
    <t>Portfolio Return</t>
  </si>
  <si>
    <t>min(rp-rT, 0)^2</t>
  </si>
  <si>
    <t>Strategic vs Tactical Weight</t>
  </si>
  <si>
    <t>Row #</t>
  </si>
  <si>
    <t>Select a Historic Starting Date</t>
  </si>
  <si>
    <t>Select a Historic Ending Date</t>
  </si>
  <si>
    <t>Strategic Weights</t>
  </si>
  <si>
    <t>Tactical Weights</t>
  </si>
  <si>
    <t>Weight Deviation</t>
  </si>
  <si>
    <t>Risk Assessment and Performance Metrics with TAA Tilt</t>
  </si>
  <si>
    <t>TAA Tilt Effects Starting Date</t>
  </si>
  <si>
    <t>Ending Date 1 Quarter Out</t>
  </si>
  <si>
    <t>Constraint</t>
  </si>
  <si>
    <t>Equity Investment</t>
  </si>
  <si>
    <t>Initial USD Investment</t>
  </si>
  <si>
    <t>Currency Movement</t>
  </si>
  <si>
    <t>Day</t>
  </si>
  <si>
    <t>Fund Performance</t>
  </si>
  <si>
    <t>Number of Shares</t>
  </si>
  <si>
    <t>Value of Investment</t>
  </si>
  <si>
    <t>Value of Investment (USD)</t>
  </si>
  <si>
    <t>Performance (rebased to 100)</t>
  </si>
  <si>
    <t>Contract Details</t>
  </si>
  <si>
    <t>Hedging Ratio</t>
  </si>
  <si>
    <t>No contracts to hedge</t>
  </si>
  <si>
    <t xml:space="preserve">Long (+1) / Short (-1) </t>
  </si>
  <si>
    <t>Hedged Value of Portfolio (USD)</t>
  </si>
  <si>
    <t>Fair Value of Future (Day 90 Delivery)</t>
  </si>
  <si>
    <t>Unhedged Value of Portfolio (USD)</t>
  </si>
  <si>
    <t>Unhedged (USD)</t>
  </si>
  <si>
    <t>Cumulative P&amp;L on Contract</t>
  </si>
  <si>
    <t>Interest Rates</t>
  </si>
  <si>
    <t>USD rate</t>
  </si>
  <si>
    <t>Hedging With A Future (50% Hedge Ratio)</t>
  </si>
  <si>
    <t>50% Hedged (USD)</t>
  </si>
  <si>
    <t>GBP rate</t>
  </si>
  <si>
    <t>Initial GBP Value</t>
  </si>
  <si>
    <t>Spot USD/GBP</t>
  </si>
  <si>
    <t>Spot GBP/USD</t>
  </si>
  <si>
    <t>NAV of GBP fund</t>
  </si>
  <si>
    <t>Value of Investment (GBP)</t>
  </si>
  <si>
    <t>USD GBP Contract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</si>
</sst>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_);\(#,##0\);\-\-_)"/>
    <numFmt numFmtId="165" formatCode="0.000000_ ;[Red]\-0.000000\ "/>
    <numFmt numFmtId="166" formatCode="0.000000"/>
    <numFmt numFmtId="167" formatCode="0.0%"/>
    <numFmt numFmtId="168" formatCode="0.0000"/>
    <numFmt numFmtId="169" formatCode="m/d/yyyy;@"/>
    <numFmt numFmtId="170" formatCode="_-* #,##0_-;\-* #,##0_-;_-* &quot;-&quot;??_-;_-@_-"/>
    <numFmt numFmtId="171" formatCode="_-* #,##0_-;\-* #,##0_-;_-* &quot;-&quot;????_-;_-@_-"/>
    <numFmt numFmtId="172" formatCode="_-* #,##0.0000_-;\-* #,##0.000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FFFF"/>
      <name val="Lato"/>
      <family val="2"/>
    </font>
    <font>
      <b/>
      <sz val="8"/>
      <color rgb="FF333333"/>
      <name val="Lato"/>
      <family val="2"/>
    </font>
    <font>
      <b/>
      <sz val="14"/>
      <color rgb="FFFFFFFF"/>
      <name val="Arial"/>
      <family val="2"/>
    </font>
    <font>
      <sz val="14"/>
      <color theme="1"/>
      <name val="Arial"/>
      <family val="2"/>
    </font>
    <font>
      <i/>
      <sz val="14"/>
      <color theme="9" tint="-0.249977111117893"/>
      <name val="Arial"/>
      <family val="2"/>
    </font>
    <font>
      <b/>
      <sz val="14"/>
      <color theme="1"/>
      <name val="Arial"/>
      <family val="2"/>
    </font>
    <font>
      <b/>
      <sz val="14"/>
      <color rgb="FF4476FF"/>
      <name val="Arial"/>
      <family val="2"/>
    </font>
    <font>
      <sz val="14"/>
      <color rgb="FF4476FF"/>
      <name val="Arial"/>
      <family val="2"/>
    </font>
    <font>
      <sz val="14"/>
      <color rgb="FF9C0006"/>
      <name val="Arial"/>
      <family val="2"/>
    </font>
    <font>
      <sz val="14"/>
      <name val="Arial"/>
      <family val="2"/>
    </font>
    <font>
      <b/>
      <i/>
      <sz val="14"/>
      <color rgb="FF333333"/>
      <name val="Arial"/>
      <family val="2"/>
    </font>
    <font>
      <i/>
      <sz val="14"/>
      <color theme="1"/>
      <name val="Arial"/>
      <family val="2"/>
    </font>
    <font>
      <b/>
      <sz val="14"/>
      <color rgb="FF333333"/>
      <name val="Arial"/>
      <family val="2"/>
    </font>
    <font>
      <b/>
      <sz val="14"/>
      <name val="Arial"/>
      <family val="2"/>
    </font>
    <font>
      <b/>
      <u/>
      <sz val="14"/>
      <color theme="1"/>
      <name val="Arial"/>
      <family val="2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4"/>
      <name val="Arial"/>
      <family val="2"/>
    </font>
    <font>
      <b/>
      <sz val="14"/>
      <color theme="3"/>
      <name val="Arial"/>
      <family val="2"/>
    </font>
    <font>
      <b/>
      <sz val="14"/>
      <color rgb="FFFA7D00"/>
      <name val="Arial"/>
      <family val="2"/>
    </font>
    <font>
      <sz val="14"/>
      <color rgb="FFFA7D00"/>
      <name val="Arial"/>
      <family val="2"/>
    </font>
    <font>
      <b/>
      <sz val="14"/>
      <color rgb="FF3F3F3F"/>
      <name val="Arial"/>
      <family val="2"/>
    </font>
    <font>
      <sz val="14"/>
      <color theme="0"/>
      <name val="Arial"/>
      <family val="2"/>
    </font>
    <font>
      <b/>
      <i/>
      <sz val="14"/>
      <name val="Arial"/>
      <family val="2"/>
    </font>
    <font>
      <sz val="14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7A87"/>
        <bgColor indexed="64"/>
      </patternFill>
    </fill>
    <fill>
      <patternFill patternType="solid">
        <fgColor rgb="FFF7ECDE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rgb="FF06005A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5CA2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3" fillId="3" borderId="0" applyNumberFormat="0" applyBorder="0" applyProtection="0">
      <alignment horizontal="left" vertical="top"/>
      <protection locked="0"/>
    </xf>
    <xf numFmtId="164" fontId="4" fillId="0" borderId="3" applyNumberFormat="0" applyFill="0" applyProtection="0">
      <alignment horizontal="left"/>
      <protection locked="0"/>
    </xf>
    <xf numFmtId="43" fontId="1" fillId="0" borderId="0" applyFont="0" applyFill="0" applyBorder="0" applyAlignment="0" applyProtection="0"/>
    <xf numFmtId="0" fontId="18" fillId="0" borderId="5" applyNumberFormat="0" applyFill="0" applyAlignment="0" applyProtection="0"/>
    <xf numFmtId="0" fontId="19" fillId="9" borderId="6" applyNumberFormat="0" applyAlignment="0" applyProtection="0"/>
    <xf numFmtId="0" fontId="20" fillId="10" borderId="7" applyNumberFormat="0" applyAlignment="0" applyProtection="0"/>
    <xf numFmtId="0" fontId="21" fillId="10" borderId="6" applyNumberFormat="0" applyAlignment="0" applyProtection="0"/>
    <xf numFmtId="0" fontId="22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1" fillId="11" borderId="0" applyNumberFormat="0" applyBorder="0" applyAlignment="0" applyProtection="0"/>
  </cellStyleXfs>
  <cellXfs count="84">
    <xf numFmtId="0" fontId="0" fillId="0" borderId="0" xfId="0"/>
    <xf numFmtId="164" fontId="5" fillId="8" borderId="0" xfId="3" applyFont="1" applyFill="1">
      <alignment horizontal="left" vertical="top"/>
      <protection locked="0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5" borderId="0" xfId="0" applyFont="1" applyFill="1"/>
    <xf numFmtId="0" fontId="8" fillId="0" borderId="0" xfId="0" applyFont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/>
    </xf>
    <xf numFmtId="10" fontId="6" fillId="0" borderId="0" xfId="1" applyNumberFormat="1" applyFont="1" applyAlignment="1">
      <alignment horizontal="center"/>
    </xf>
    <xf numFmtId="9" fontId="6" fillId="0" borderId="0" xfId="1" applyFont="1"/>
    <xf numFmtId="0" fontId="9" fillId="0" borderId="0" xfId="0" applyFont="1"/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1" fillId="2" borderId="0" xfId="2" applyNumberFormat="1" applyFont="1" applyAlignment="1">
      <alignment horizontal="center"/>
    </xf>
    <xf numFmtId="0" fontId="6" fillId="4" borderId="0" xfId="0" applyFont="1" applyFill="1"/>
    <xf numFmtId="10" fontId="12" fillId="5" borderId="2" xfId="2" applyNumberFormat="1" applyFont="1" applyFill="1" applyBorder="1" applyAlignment="1">
      <alignment horizontal="center"/>
    </xf>
    <xf numFmtId="0" fontId="12" fillId="5" borderId="0" xfId="0" applyFont="1" applyFill="1"/>
    <xf numFmtId="0" fontId="13" fillId="6" borderId="4" xfId="4" applyNumberFormat="1" applyFont="1" applyFill="1" applyBorder="1" applyAlignment="1" applyProtection="1">
      <alignment horizontal="right"/>
    </xf>
    <xf numFmtId="166" fontId="14" fillId="6" borderId="4" xfId="0" applyNumberFormat="1" applyFont="1" applyFill="1" applyBorder="1"/>
    <xf numFmtId="0" fontId="15" fillId="7" borderId="4" xfId="4" applyNumberFormat="1" applyFont="1" applyFill="1" applyBorder="1" applyAlignment="1" applyProtection="1">
      <alignment horizontal="right"/>
    </xf>
    <xf numFmtId="167" fontId="11" fillId="2" borderId="4" xfId="1" applyNumberFormat="1" applyFont="1" applyFill="1" applyBorder="1" applyAlignment="1">
      <alignment horizontal="center"/>
    </xf>
    <xf numFmtId="0" fontId="6" fillId="7" borderId="0" xfId="0" applyFont="1" applyFill="1" applyAlignment="1">
      <alignment horizontal="right"/>
    </xf>
    <xf numFmtId="9" fontId="11" fillId="2" borderId="0" xfId="2" applyNumberFormat="1" applyFont="1"/>
    <xf numFmtId="0" fontId="8" fillId="0" borderId="4" xfId="0" applyFont="1" applyBorder="1" applyAlignment="1">
      <alignment horizontal="right"/>
    </xf>
    <xf numFmtId="10" fontId="12" fillId="0" borderId="4" xfId="2" applyNumberFormat="1" applyFont="1" applyFill="1" applyBorder="1" applyAlignment="1">
      <alignment horizontal="center"/>
    </xf>
    <xf numFmtId="168" fontId="12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9" fontId="8" fillId="0" borderId="0" xfId="1" applyFont="1"/>
    <xf numFmtId="10" fontId="8" fillId="0" borderId="0" xfId="0" applyNumberFormat="1" applyFont="1"/>
    <xf numFmtId="4" fontId="8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right"/>
    </xf>
    <xf numFmtId="168" fontId="8" fillId="0" borderId="0" xfId="5" applyNumberFormat="1" applyFont="1" applyAlignment="1">
      <alignment horizontal="right"/>
    </xf>
    <xf numFmtId="10" fontId="8" fillId="0" borderId="0" xfId="5" applyNumberFormat="1" applyFont="1" applyAlignment="1">
      <alignment horizontal="right"/>
    </xf>
    <xf numFmtId="0" fontId="8" fillId="5" borderId="0" xfId="0" applyFont="1" applyFill="1" applyAlignment="1">
      <alignment horizontal="center"/>
    </xf>
    <xf numFmtId="10" fontId="6" fillId="0" borderId="0" xfId="0" applyNumberFormat="1" applyFont="1"/>
    <xf numFmtId="0" fontId="16" fillId="5" borderId="0" xfId="0" applyFont="1" applyFill="1"/>
    <xf numFmtId="0" fontId="8" fillId="0" borderId="0" xfId="0" applyFont="1" applyAlignment="1">
      <alignment horizontal="right"/>
    </xf>
    <xf numFmtId="10" fontId="17" fillId="0" borderId="0" xfId="1" applyNumberFormat="1" applyFont="1" applyAlignment="1">
      <alignment horizontal="centerContinuous"/>
    </xf>
    <xf numFmtId="0" fontId="17" fillId="0" borderId="0" xfId="0" applyFont="1" applyAlignment="1">
      <alignment horizontal="centerContinuous"/>
    </xf>
    <xf numFmtId="10" fontId="6" fillId="0" borderId="0" xfId="1" applyNumberFormat="1" applyFont="1"/>
    <xf numFmtId="168" fontId="8" fillId="0" borderId="0" xfId="5" applyNumberFormat="1" applyFont="1" applyAlignment="1">
      <alignment horizontal="center"/>
    </xf>
    <xf numFmtId="0" fontId="12" fillId="12" borderId="0" xfId="0" applyFont="1" applyFill="1"/>
    <xf numFmtId="0" fontId="6" fillId="12" borderId="0" xfId="0" applyFont="1" applyFill="1"/>
    <xf numFmtId="0" fontId="24" fillId="12" borderId="0" xfId="11" applyFont="1" applyFill="1"/>
    <xf numFmtId="168" fontId="12" fillId="12" borderId="0" xfId="0" applyNumberFormat="1" applyFont="1" applyFill="1" applyAlignment="1">
      <alignment horizontal="right"/>
    </xf>
    <xf numFmtId="2" fontId="12" fillId="12" borderId="0" xfId="0" applyNumberFormat="1" applyFont="1" applyFill="1"/>
    <xf numFmtId="0" fontId="8" fillId="12" borderId="0" xfId="0" applyFont="1" applyFill="1"/>
    <xf numFmtId="0" fontId="16" fillId="12" borderId="0" xfId="6" applyFont="1" applyFill="1" applyBorder="1"/>
    <xf numFmtId="0" fontId="24" fillId="12" borderId="9" xfId="11" applyFont="1" applyFill="1" applyBorder="1"/>
    <xf numFmtId="10" fontId="12" fillId="13" borderId="9" xfId="7" applyNumberFormat="1" applyFont="1" applyFill="1" applyBorder="1"/>
    <xf numFmtId="3" fontId="12" fillId="13" borderId="9" xfId="7" applyNumberFormat="1" applyFont="1" applyFill="1" applyBorder="1"/>
    <xf numFmtId="170" fontId="16" fillId="0" borderId="9" xfId="9" applyNumberFormat="1" applyFont="1" applyFill="1" applyBorder="1"/>
    <xf numFmtId="0" fontId="16" fillId="5" borderId="9" xfId="12" applyFont="1" applyFill="1" applyBorder="1"/>
    <xf numFmtId="168" fontId="12" fillId="13" borderId="9" xfId="7" applyNumberFormat="1" applyFont="1" applyFill="1" applyBorder="1" applyAlignment="1">
      <alignment horizontal="right"/>
    </xf>
    <xf numFmtId="168" fontId="16" fillId="0" borderId="9" xfId="9" applyNumberFormat="1" applyFont="1" applyFill="1" applyBorder="1" applyAlignment="1">
      <alignment horizontal="right"/>
    </xf>
    <xf numFmtId="2" fontId="12" fillId="13" borderId="9" xfId="7" applyNumberFormat="1" applyFont="1" applyFill="1" applyBorder="1" applyAlignment="1">
      <alignment horizontal="right"/>
    </xf>
    <xf numFmtId="170" fontId="12" fillId="0" borderId="9" xfId="8" applyNumberFormat="1" applyFont="1" applyFill="1" applyBorder="1"/>
    <xf numFmtId="171" fontId="16" fillId="0" borderId="9" xfId="9" applyNumberFormat="1" applyFont="1" applyFill="1" applyBorder="1"/>
    <xf numFmtId="0" fontId="12" fillId="12" borderId="0" xfId="0" applyFont="1" applyFill="1" applyBorder="1"/>
    <xf numFmtId="169" fontId="29" fillId="8" borderId="0" xfId="0" applyNumberFormat="1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169" fontId="8" fillId="0" borderId="4" xfId="0" applyNumberFormat="1" applyFont="1" applyBorder="1" applyAlignment="1">
      <alignment horizontal="center" vertical="top"/>
    </xf>
    <xf numFmtId="169" fontId="6" fillId="0" borderId="0" xfId="0" applyNumberFormat="1" applyFont="1"/>
    <xf numFmtId="0" fontId="30" fillId="6" borderId="4" xfId="4" applyNumberFormat="1" applyFont="1" applyFill="1" applyBorder="1" applyAlignment="1" applyProtection="1">
      <alignment horizontal="right"/>
    </xf>
    <xf numFmtId="0" fontId="16" fillId="7" borderId="4" xfId="4" applyNumberFormat="1" applyFont="1" applyFill="1" applyBorder="1" applyAlignment="1" applyProtection="1">
      <alignment horizontal="right"/>
    </xf>
    <xf numFmtId="166" fontId="24" fillId="6" borderId="4" xfId="0" applyNumberFormat="1" applyFont="1" applyFill="1" applyBorder="1"/>
    <xf numFmtId="0" fontId="25" fillId="12" borderId="0" xfId="6" applyFont="1" applyFill="1" applyBorder="1"/>
    <xf numFmtId="0" fontId="24" fillId="12" borderId="10" xfId="11" applyFont="1" applyFill="1" applyBorder="1"/>
    <xf numFmtId="170" fontId="12" fillId="13" borderId="10" xfId="5" applyNumberFormat="1" applyFont="1" applyFill="1" applyBorder="1"/>
    <xf numFmtId="9" fontId="12" fillId="13" borderId="10" xfId="1" applyFont="1" applyFill="1" applyBorder="1"/>
    <xf numFmtId="170" fontId="16" fillId="0" borderId="10" xfId="9" applyNumberFormat="1" applyFont="1" applyFill="1" applyBorder="1"/>
    <xf numFmtId="0" fontId="6" fillId="12" borderId="10" xfId="0" applyFont="1" applyFill="1" applyBorder="1"/>
    <xf numFmtId="0" fontId="8" fillId="5" borderId="9" xfId="12" applyFont="1" applyFill="1" applyBorder="1"/>
    <xf numFmtId="172" fontId="26" fillId="0" borderId="9" xfId="5" applyNumberFormat="1" applyFont="1" applyFill="1" applyBorder="1"/>
    <xf numFmtId="3" fontId="26" fillId="0" borderId="9" xfId="5" applyNumberFormat="1" applyFont="1" applyFill="1" applyBorder="1"/>
    <xf numFmtId="170" fontId="27" fillId="0" borderId="9" xfId="10" applyNumberFormat="1" applyFont="1" applyFill="1" applyBorder="1"/>
    <xf numFmtId="170" fontId="28" fillId="0" borderId="9" xfId="5" applyNumberFormat="1" applyFont="1" applyFill="1" applyBorder="1"/>
    <xf numFmtId="170" fontId="26" fillId="0" borderId="9" xfId="9" applyNumberFormat="1" applyFont="1" applyFill="1" applyBorder="1"/>
    <xf numFmtId="9" fontId="31" fillId="4" borderId="0" xfId="2" applyNumberFormat="1" applyFont="1" applyFill="1" applyAlignment="1">
      <alignment horizontal="center"/>
    </xf>
    <xf numFmtId="169" fontId="8" fillId="0" borderId="0" xfId="0" applyNumberFormat="1" applyFont="1"/>
  </cellXfs>
  <cellStyles count="13">
    <cellStyle name="40% - Accent3" xfId="12" builtinId="39"/>
    <cellStyle name="Bad" xfId="2" builtinId="27"/>
    <cellStyle name="banner1" xfId="3" xr:uid="{7682447A-E903-40B4-8EDD-4694919102C7}"/>
    <cellStyle name="Calculation" xfId="9" builtinId="22"/>
    <cellStyle name="Comma 2" xfId="5" xr:uid="{DDD1F531-FE52-40D6-9D9D-111C1517ED34}"/>
    <cellStyle name="Explanatory Text" xfId="11" builtinId="53"/>
    <cellStyle name="Heading 3" xfId="6" builtinId="18"/>
    <cellStyle name="headingL" xfId="4" xr:uid="{E3CB7D44-D1C7-4236-A18F-1BCB689EDB75}"/>
    <cellStyle name="Input" xfId="7" builtinId="20"/>
    <cellStyle name="Linked Cell" xfId="10" builtinId="24"/>
    <cellStyle name="Normal" xfId="0" builtinId="0"/>
    <cellStyle name="Output" xfId="8" builtinId="21"/>
    <cellStyle name="Percent" xfId="1" builtinId="5"/>
  </cellStyles>
  <dxfs count="0"/>
  <tableStyles count="0" defaultTableStyle="TableStyleMedium2" defaultPivotStyle="PivotStyleLight16"/>
  <colors>
    <mruColors>
      <color rgb="FF4476FF"/>
      <color rgb="FFF7ECDE"/>
      <color rgb="FFF5CA27"/>
      <color rgb="FF0600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0A0E-05FC-4589-BF64-67A81474DBF0}">
  <sheetPr codeName="Sheet1">
    <tabColor rgb="FF06005A"/>
  </sheetPr>
  <dimension ref="A1:O22"/>
  <sheetViews>
    <sheetView zoomScale="95" workbookViewId="0"/>
  </sheetViews>
  <sheetFormatPr defaultColWidth="8.7265625" defaultRowHeight="17.5" x14ac:dyDescent="0.35"/>
  <cols>
    <col min="1" max="1" width="26.453125" style="2" bestFit="1" customWidth="1"/>
    <col min="2" max="2" width="24.1796875" style="2" bestFit="1" customWidth="1"/>
    <col min="3" max="3" width="19.7265625" style="2" bestFit="1" customWidth="1"/>
    <col min="4" max="4" width="15.26953125" style="2" bestFit="1" customWidth="1"/>
    <col min="5" max="6" width="14.7265625" style="2" bestFit="1" customWidth="1"/>
    <col min="7" max="7" width="24.1796875" style="2" bestFit="1" customWidth="1"/>
    <col min="8" max="8" width="21" style="2" bestFit="1" customWidth="1"/>
    <col min="9" max="9" width="14" style="2" bestFit="1" customWidth="1"/>
    <col min="10" max="10" width="59" style="2" bestFit="1" customWidth="1"/>
    <col min="11" max="11" width="6.81640625" style="2" bestFit="1" customWidth="1"/>
    <col min="12" max="12" width="12.54296875" style="2" bestFit="1" customWidth="1"/>
    <col min="13" max="15" width="8.81640625" style="2" bestFit="1" customWidth="1"/>
    <col min="16" max="16384" width="8.7265625" style="2"/>
  </cols>
  <sheetData>
    <row r="1" spans="1:15" ht="18" x14ac:dyDescent="0.35">
      <c r="A1" s="1" t="s">
        <v>0</v>
      </c>
      <c r="B1" s="1"/>
      <c r="C1" s="1"/>
      <c r="D1" s="1"/>
      <c r="E1" s="1"/>
    </row>
    <row r="2" spans="1:15" x14ac:dyDescent="0.35">
      <c r="B2" s="3"/>
      <c r="C2" s="3"/>
      <c r="D2" s="3"/>
      <c r="E2" s="3"/>
      <c r="F2" s="3"/>
      <c r="G2" s="3"/>
      <c r="H2" s="3"/>
    </row>
    <row r="3" spans="1:15" ht="18" x14ac:dyDescent="0.4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15" ht="18" x14ac:dyDescent="0.4">
      <c r="A4" s="4"/>
      <c r="B4" s="6" t="s">
        <v>2</v>
      </c>
      <c r="C4" s="7">
        <v>1</v>
      </c>
      <c r="D4" s="7">
        <v>0.89900000000000002</v>
      </c>
      <c r="E4" s="7">
        <v>0.71094999999999997</v>
      </c>
      <c r="F4" s="7">
        <v>-0.34585149999999998</v>
      </c>
      <c r="G4" s="7">
        <v>0.26705000000000001</v>
      </c>
      <c r="H4" s="7">
        <v>0.64379999999999993</v>
      </c>
    </row>
    <row r="5" spans="1:15" ht="18" x14ac:dyDescent="0.4">
      <c r="A5" s="4"/>
      <c r="B5" s="6" t="s">
        <v>3</v>
      </c>
      <c r="C5" s="7">
        <v>0.89900000000000002</v>
      </c>
      <c r="D5" s="7">
        <v>1</v>
      </c>
      <c r="E5" s="7">
        <v>0.82269999999999999</v>
      </c>
      <c r="F5" s="7">
        <v>-0.31986400000000004</v>
      </c>
      <c r="G5" s="7">
        <v>0.38374999999999998</v>
      </c>
      <c r="H5" s="7">
        <v>0.6532</v>
      </c>
    </row>
    <row r="6" spans="1:15" ht="18" x14ac:dyDescent="0.4">
      <c r="A6" s="4"/>
      <c r="B6" s="6" t="s">
        <v>4</v>
      </c>
      <c r="C6" s="7">
        <v>0.71094999999999997</v>
      </c>
      <c r="D6" s="7">
        <v>0.82269999999999999</v>
      </c>
      <c r="E6" s="7">
        <v>1</v>
      </c>
      <c r="F6" s="7">
        <v>-0.25305050000000001</v>
      </c>
      <c r="G6" s="7">
        <v>0.41270000000000001</v>
      </c>
      <c r="H6" s="7">
        <v>0.60509999999999997</v>
      </c>
    </row>
    <row r="7" spans="1:15" ht="18" x14ac:dyDescent="0.4">
      <c r="A7" s="4"/>
      <c r="B7" s="6" t="s">
        <v>5</v>
      </c>
      <c r="C7" s="7">
        <v>-0.34585149999999998</v>
      </c>
      <c r="D7" s="7">
        <v>-0.31986400000000004</v>
      </c>
      <c r="E7" s="7">
        <v>-0.25305050000000001</v>
      </c>
      <c r="F7" s="7">
        <v>1</v>
      </c>
      <c r="G7" s="7">
        <v>0.50429999999999997</v>
      </c>
      <c r="H7" s="7">
        <v>-2.3885400000000001E-2</v>
      </c>
    </row>
    <row r="8" spans="1:15" ht="18" x14ac:dyDescent="0.4">
      <c r="A8" s="4"/>
      <c r="B8" s="6" t="s">
        <v>6</v>
      </c>
      <c r="C8" s="7">
        <v>0.26705000000000001</v>
      </c>
      <c r="D8" s="7">
        <v>0.38374999999999998</v>
      </c>
      <c r="E8" s="7">
        <v>0.41270000000000001</v>
      </c>
      <c r="F8" s="7">
        <v>0.50429999999999997</v>
      </c>
      <c r="G8" s="7">
        <v>1</v>
      </c>
      <c r="H8" s="7">
        <v>0.45179999999999998</v>
      </c>
    </row>
    <row r="9" spans="1:15" ht="18" x14ac:dyDescent="0.4">
      <c r="A9" s="4"/>
      <c r="B9" s="6" t="s">
        <v>7</v>
      </c>
      <c r="C9" s="7">
        <v>0.64379999999999993</v>
      </c>
      <c r="D9" s="7">
        <v>0.6532</v>
      </c>
      <c r="E9" s="7">
        <v>0.60509999999999997</v>
      </c>
      <c r="F9" s="7">
        <v>-2.3885400000000001E-2</v>
      </c>
      <c r="G9" s="7">
        <v>0.45179999999999998</v>
      </c>
      <c r="H9" s="7">
        <v>1</v>
      </c>
    </row>
    <row r="10" spans="1:15" ht="18" x14ac:dyDescent="0.4">
      <c r="A10" s="8"/>
      <c r="B10" s="9"/>
      <c r="C10" s="9"/>
      <c r="D10" s="9"/>
    </row>
    <row r="11" spans="1:15" ht="18" x14ac:dyDescent="0.4">
      <c r="B11" s="8" t="s">
        <v>8</v>
      </c>
      <c r="C11" s="10">
        <v>7.0928999999999992E-2</v>
      </c>
      <c r="D11" s="10">
        <v>7.426350000000001E-2</v>
      </c>
      <c r="E11" s="10">
        <v>0.10007099999999999</v>
      </c>
      <c r="F11" s="10">
        <v>2.33955E-2</v>
      </c>
      <c r="G11" s="10">
        <v>3.6760500000000002E-2</v>
      </c>
      <c r="H11" s="10">
        <v>6.7355999999999999E-2</v>
      </c>
      <c r="J11" s="11"/>
      <c r="K11" s="11"/>
      <c r="L11" s="11"/>
      <c r="M11" s="11"/>
      <c r="N11" s="11"/>
      <c r="O11" s="11"/>
    </row>
    <row r="12" spans="1:15" ht="18" x14ac:dyDescent="0.4">
      <c r="B12" s="8" t="s">
        <v>9</v>
      </c>
      <c r="C12" s="10">
        <v>0.19307200000000002</v>
      </c>
      <c r="D12" s="10">
        <v>0.21877349999999998</v>
      </c>
      <c r="E12" s="10">
        <v>0.32402150000000007</v>
      </c>
      <c r="F12" s="10">
        <v>0.12151150000000002</v>
      </c>
      <c r="G12" s="10">
        <v>7.8930500000000001E-2</v>
      </c>
      <c r="H12" s="10">
        <v>0.27617700000000006</v>
      </c>
      <c r="J12" s="11"/>
      <c r="K12" s="11"/>
      <c r="L12" s="11"/>
      <c r="M12" s="11"/>
      <c r="N12" s="11"/>
      <c r="O12" s="11"/>
    </row>
    <row r="13" spans="1:15" ht="18" x14ac:dyDescent="0.4">
      <c r="A13" s="8"/>
      <c r="B13" s="10"/>
      <c r="C13" s="10"/>
      <c r="D13" s="10"/>
    </row>
    <row r="14" spans="1:15" ht="18" x14ac:dyDescent="0.4">
      <c r="A14" s="8"/>
      <c r="B14" s="10"/>
      <c r="C14" s="10"/>
      <c r="D14" s="10"/>
    </row>
    <row r="15" spans="1:15" ht="18" x14ac:dyDescent="0.4">
      <c r="A15" s="6"/>
      <c r="B15" s="10"/>
      <c r="C15" s="10"/>
      <c r="D15" s="10"/>
      <c r="J15" s="12" t="s">
        <v>10</v>
      </c>
    </row>
    <row r="16" spans="1:15" ht="18" x14ac:dyDescent="0.4">
      <c r="B16" s="13"/>
      <c r="C16" s="14" t="str">
        <f>C3</f>
        <v>US Large Cap</v>
      </c>
      <c r="D16" s="14" t="str">
        <f t="shared" ref="D16:H16" si="0">D3</f>
        <v>Dev ex US</v>
      </c>
      <c r="E16" s="14" t="str">
        <f t="shared" si="0"/>
        <v>EM</v>
      </c>
      <c r="F16" s="14" t="str">
        <f t="shared" si="0"/>
        <v>UST</v>
      </c>
      <c r="G16" s="14" t="str">
        <f t="shared" si="0"/>
        <v>US IG Corp Bond</v>
      </c>
      <c r="H16" s="14" t="str">
        <f t="shared" si="0"/>
        <v>REITs</v>
      </c>
    </row>
    <row r="17" spans="2:12" ht="18" x14ac:dyDescent="0.4">
      <c r="B17" s="6" t="s">
        <v>11</v>
      </c>
      <c r="C17" s="15">
        <v>0.32957596499828701</v>
      </c>
      <c r="D17" s="15">
        <v>0.1</v>
      </c>
      <c r="E17" s="15">
        <v>0.17145982881619667</v>
      </c>
      <c r="F17" s="15">
        <v>0.19896420618551627</v>
      </c>
      <c r="G17" s="15">
        <v>0.1</v>
      </c>
      <c r="H17" s="15">
        <v>0.1</v>
      </c>
      <c r="I17" s="16">
        <f>SUM(C17:H17)</f>
        <v>0.99999999999999989</v>
      </c>
      <c r="J17" s="17" t="s">
        <v>39</v>
      </c>
      <c r="K17" s="82">
        <v>0.1</v>
      </c>
      <c r="L17" s="17" t="s">
        <v>12</v>
      </c>
    </row>
    <row r="18" spans="2:12" ht="18" x14ac:dyDescent="0.4">
      <c r="B18" s="6" t="s">
        <v>8</v>
      </c>
      <c r="C18" s="10">
        <f>C17*C11</f>
        <v>2.3376493621363497E-2</v>
      </c>
      <c r="D18" s="10">
        <f t="shared" ref="D18:H18" si="1">D17*D11</f>
        <v>7.4263500000000017E-3</v>
      </c>
      <c r="E18" s="10">
        <f t="shared" si="1"/>
        <v>1.7158156529465618E-2</v>
      </c>
      <c r="F18" s="10">
        <f t="shared" si="1"/>
        <v>4.6548670858132463E-3</v>
      </c>
      <c r="G18" s="10">
        <f t="shared" si="1"/>
        <v>3.6760500000000002E-3</v>
      </c>
      <c r="H18" s="10">
        <f t="shared" si="1"/>
        <v>6.7356000000000004E-3</v>
      </c>
      <c r="I18" s="18">
        <f>SUM(C18:H18)</f>
        <v>6.3027517236642364E-2</v>
      </c>
      <c r="J18" s="19" t="s">
        <v>13</v>
      </c>
    </row>
    <row r="19" spans="2:12" x14ac:dyDescent="0.35">
      <c r="H19" s="20" t="s">
        <v>14</v>
      </c>
      <c r="I19" s="21">
        <f t="array" ref="I19">MMULT(MMULT(C17:H17*$C$12:$H$12,$C$4:$H$9),TRANSPOSE(C17:H17*$C$12:$H$12))</f>
        <v>2.2500255156963245E-2</v>
      </c>
    </row>
    <row r="20" spans="2:12" ht="18" x14ac:dyDescent="0.4">
      <c r="H20" s="22" t="s">
        <v>9</v>
      </c>
      <c r="I20" s="23">
        <f>SQRT(I19)</f>
        <v>0.15000085052079953</v>
      </c>
      <c r="J20" s="24" t="s">
        <v>15</v>
      </c>
      <c r="K20" s="25">
        <v>0.15</v>
      </c>
    </row>
    <row r="21" spans="2:12" ht="18" x14ac:dyDescent="0.4">
      <c r="H21" s="26" t="s">
        <v>16</v>
      </c>
      <c r="I21" s="27">
        <v>0.03</v>
      </c>
    </row>
    <row r="22" spans="2:12" ht="18" x14ac:dyDescent="0.4">
      <c r="H22" s="26" t="s">
        <v>17</v>
      </c>
      <c r="I22" s="28">
        <f>(I18-I21)/I20</f>
        <v>0.22018219978067843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64A6-A3B8-41AB-967D-70E23092A588}">
  <sheetPr codeName="Sheet4">
    <tabColor rgb="FF06005A"/>
  </sheetPr>
  <dimension ref="A1:G70"/>
  <sheetViews>
    <sheetView zoomScaleNormal="100" workbookViewId="0">
      <pane xSplit="1" ySplit="1" topLeftCell="B2" activePane="bottomRight" state="frozen"/>
      <selection pane="topRight" activeCell="C5" sqref="C5"/>
      <selection pane="bottomLeft" activeCell="C5" sqref="C5"/>
      <selection pane="bottomRight"/>
    </sheetView>
  </sheetViews>
  <sheetFormatPr defaultColWidth="8.7265625" defaultRowHeight="17.5" x14ac:dyDescent="0.35"/>
  <cols>
    <col min="1" max="1" width="15.453125" style="66" bestFit="1" customWidth="1"/>
    <col min="2" max="5" width="19.7265625" style="2" bestFit="1" customWidth="1"/>
    <col min="6" max="6" width="23" style="2" bestFit="1" customWidth="1"/>
    <col min="7" max="7" width="19.7265625" style="2" bestFit="1" customWidth="1"/>
    <col min="8" max="8" width="8.7265625" style="2"/>
    <col min="9" max="9" width="10.453125" style="2" bestFit="1" customWidth="1"/>
    <col min="10" max="10" width="10.54296875" style="2" bestFit="1" customWidth="1"/>
    <col min="11" max="11" width="9" style="2" bestFit="1" customWidth="1"/>
    <col min="12" max="12" width="3.54296875" style="2" bestFit="1" customWidth="1"/>
    <col min="13" max="13" width="4" style="2" bestFit="1" customWidth="1"/>
    <col min="14" max="14" width="11.54296875" style="2" bestFit="1" customWidth="1"/>
    <col min="15" max="15" width="5.26953125" style="2" bestFit="1" customWidth="1"/>
    <col min="16" max="16384" width="8.7265625" style="2"/>
  </cols>
  <sheetData>
    <row r="1" spans="1:7" x14ac:dyDescent="0.35">
      <c r="A1" s="63" t="s">
        <v>18</v>
      </c>
      <c r="B1" s="64" t="s">
        <v>2</v>
      </c>
      <c r="C1" s="64" t="s">
        <v>3</v>
      </c>
      <c r="D1" s="64" t="s">
        <v>4</v>
      </c>
      <c r="E1" s="64" t="s">
        <v>5</v>
      </c>
      <c r="F1" s="64" t="s">
        <v>6</v>
      </c>
      <c r="G1" s="64" t="s">
        <v>7</v>
      </c>
    </row>
    <row r="2" spans="1:7" ht="18" x14ac:dyDescent="0.35">
      <c r="A2" s="65">
        <v>43131</v>
      </c>
      <c r="B2" s="2">
        <v>4.5290403994364757E-2</v>
      </c>
      <c r="C2" s="2">
        <v>4.8460328911913361E-2</v>
      </c>
      <c r="D2" s="2">
        <v>4.8309271074178886E-2</v>
      </c>
      <c r="E2" s="2">
        <v>7.5104781725385497E-2</v>
      </c>
      <c r="F2" s="2">
        <v>-2.3872009854905428E-3</v>
      </c>
      <c r="G2" s="2">
        <v>-7.5279809923204958E-3</v>
      </c>
    </row>
    <row r="3" spans="1:7" ht="18" x14ac:dyDescent="0.35">
      <c r="A3" s="65">
        <v>43159</v>
      </c>
      <c r="B3" s="2">
        <v>-3.1242142177585641E-2</v>
      </c>
      <c r="C3" s="2">
        <v>-3.7155503597122302E-2</v>
      </c>
      <c r="D3" s="2">
        <v>-3.7099725719424458E-2</v>
      </c>
      <c r="E3" s="2">
        <v>0.10615523890818064</v>
      </c>
      <c r="F3" s="2">
        <v>-1.7245749636891499E-2</v>
      </c>
      <c r="G3" s="2">
        <v>-5.2868836144315236E-2</v>
      </c>
    </row>
    <row r="4" spans="1:7" ht="18" x14ac:dyDescent="0.35">
      <c r="A4" s="65">
        <v>43189</v>
      </c>
      <c r="B4" s="2">
        <v>2.4902994496129854E-3</v>
      </c>
      <c r="C4" s="2">
        <v>-1.1658812300966158E-2</v>
      </c>
      <c r="D4" s="2">
        <v>-1.1562314353122103E-2</v>
      </c>
      <c r="E4" s="2">
        <v>-5.7899502068867155E-3</v>
      </c>
      <c r="F4" s="2">
        <v>-4.7781985546419608E-3</v>
      </c>
      <c r="G4" s="2">
        <v>6.8646035241346024E-3</v>
      </c>
    </row>
    <row r="5" spans="1:7" ht="18" x14ac:dyDescent="0.35">
      <c r="A5" s="65">
        <v>43220</v>
      </c>
      <c r="B5" s="2">
        <v>-1.7096680512819637E-2</v>
      </c>
      <c r="C5" s="2">
        <v>6.5936006118937967E-3</v>
      </c>
      <c r="D5" s="2">
        <v>6.5547411137316007E-3</v>
      </c>
      <c r="E5" s="2">
        <v>9.436220472440849E-3</v>
      </c>
      <c r="F5" s="2">
        <v>5.5783421938290984E-4</v>
      </c>
      <c r="G5" s="2">
        <v>1.0842501694914668E-2</v>
      </c>
    </row>
    <row r="6" spans="1:7" ht="18" x14ac:dyDescent="0.35">
      <c r="A6" s="65">
        <v>43251</v>
      </c>
      <c r="B6" s="2">
        <v>1.9928037871729701E-2</v>
      </c>
      <c r="C6" s="2">
        <v>6.6551801415288782E-3</v>
      </c>
      <c r="D6" s="2">
        <v>6.5589384318752312E-3</v>
      </c>
      <c r="E6" s="2">
        <v>3.8099749528479908E-2</v>
      </c>
      <c r="F6" s="2">
        <v>-7.6891470982493196E-3</v>
      </c>
      <c r="G6" s="2">
        <v>2.1958016183356095E-2</v>
      </c>
    </row>
    <row r="7" spans="1:7" ht="18" x14ac:dyDescent="0.35">
      <c r="A7" s="65">
        <v>43280</v>
      </c>
      <c r="B7" s="2">
        <v>2.2670780917191699E-2</v>
      </c>
      <c r="C7" s="2">
        <v>-2.1363402330665648E-2</v>
      </c>
      <c r="D7" s="2">
        <v>-2.1215148324207178E-2</v>
      </c>
      <c r="E7" s="2">
        <v>-2.2114008766382493E-2</v>
      </c>
      <c r="F7" s="2">
        <v>1.1626138669614992E-3</v>
      </c>
      <c r="G7" s="2">
        <v>2.5790930993283039E-2</v>
      </c>
    </row>
    <row r="8" spans="1:7" ht="18" x14ac:dyDescent="0.35">
      <c r="A8" s="65">
        <v>43312</v>
      </c>
      <c r="B8" s="2">
        <v>1.2717833043005593E-2</v>
      </c>
      <c r="C8" s="2">
        <v>-1.5943986013986021E-2</v>
      </c>
      <c r="D8" s="2">
        <v>-1.6116083916083924E-2</v>
      </c>
      <c r="E8" s="2">
        <v>-8.055035971222901E-3</v>
      </c>
      <c r="F8" s="2">
        <v>6.5594834696110745E-3</v>
      </c>
      <c r="G8" s="2">
        <v>1.6301113377244325E-2</v>
      </c>
    </row>
    <row r="9" spans="1:7" ht="18" x14ac:dyDescent="0.35">
      <c r="A9" s="65">
        <v>43343</v>
      </c>
      <c r="B9" s="2">
        <v>2.1460485302569322E-2</v>
      </c>
      <c r="C9" s="2">
        <v>-5.9675164752773999E-3</v>
      </c>
      <c r="D9" s="2">
        <v>-5.957931065820073E-3</v>
      </c>
      <c r="E9" s="2">
        <v>2.8502017328103446E-5</v>
      </c>
      <c r="F9" s="2">
        <v>6.4836119979054139E-3</v>
      </c>
      <c r="G9" s="2">
        <v>1.3213226837170371E-2</v>
      </c>
    </row>
    <row r="10" spans="1:7" ht="18" x14ac:dyDescent="0.35">
      <c r="A10" s="65">
        <v>43371</v>
      </c>
      <c r="B10" s="2">
        <v>1.4283860522096925E-2</v>
      </c>
      <c r="C10" s="2">
        <v>-3.1860775008645667E-3</v>
      </c>
      <c r="D10" s="2">
        <v>-3.1854363744935306E-3</v>
      </c>
      <c r="E10" s="2">
        <v>3.9991414201417649E-2</v>
      </c>
      <c r="F10" s="2">
        <v>-3.2318034267610684E-3</v>
      </c>
      <c r="G10" s="2">
        <v>-5.8463042097383414E-3</v>
      </c>
    </row>
    <row r="11" spans="1:7" ht="18" x14ac:dyDescent="0.35">
      <c r="A11" s="65">
        <v>43404</v>
      </c>
      <c r="B11" s="2">
        <v>-4.6754408920375641E-2</v>
      </c>
      <c r="C11" s="2">
        <v>-5.0317545795630081E-2</v>
      </c>
      <c r="D11" s="2">
        <v>-4.9963407636283368E-2</v>
      </c>
      <c r="E11" s="2">
        <v>4.9048327705931323E-2</v>
      </c>
      <c r="F11" s="2">
        <v>-8.0948277797958743E-3</v>
      </c>
      <c r="G11" s="2">
        <v>-3.7030481474632108E-2</v>
      </c>
    </row>
    <row r="12" spans="1:7" ht="18" x14ac:dyDescent="0.35">
      <c r="A12" s="65">
        <v>43434</v>
      </c>
      <c r="B12" s="2">
        <v>-2.311175032095996E-2</v>
      </c>
      <c r="C12" s="2">
        <v>-2.4771692233434232E-2</v>
      </c>
      <c r="D12" s="2">
        <v>-2.4968688779280952E-2</v>
      </c>
      <c r="E12" s="2">
        <v>-1.1236614275414584E-2</v>
      </c>
      <c r="F12" s="2">
        <v>-5.487282913805719E-3</v>
      </c>
      <c r="G12" s="2">
        <v>2.0315232666779141E-2</v>
      </c>
    </row>
    <row r="13" spans="1:7" ht="18" x14ac:dyDescent="0.35">
      <c r="A13" s="65">
        <v>43465</v>
      </c>
      <c r="B13" s="2">
        <v>-5.3332589110181849E-2</v>
      </c>
      <c r="C13" s="2">
        <v>-4.8228644620873846E-2</v>
      </c>
      <c r="D13" s="2">
        <v>-4.8228644620873846E-2</v>
      </c>
      <c r="E13" s="2">
        <v>-9.1012491768400788E-2</v>
      </c>
      <c r="F13" s="2">
        <v>8.777949998828383E-3</v>
      </c>
      <c r="G13" s="2">
        <v>-1.8912625191269194E-2</v>
      </c>
    </row>
    <row r="14" spans="1:7" ht="18" x14ac:dyDescent="0.35">
      <c r="A14" s="65">
        <v>43496</v>
      </c>
      <c r="B14" s="2">
        <v>1.0720923439580216E-2</v>
      </c>
      <c r="C14" s="2">
        <v>2.3572824937548642E-2</v>
      </c>
      <c r="D14" s="2">
        <v>2.3492789382537987E-2</v>
      </c>
      <c r="E14" s="2">
        <v>-4.180496363539845E-2</v>
      </c>
      <c r="F14" s="2">
        <v>1.1654969086754827E-2</v>
      </c>
      <c r="G14" s="2">
        <v>1.8205844557513604E-2</v>
      </c>
    </row>
    <row r="15" spans="1:7" ht="18" x14ac:dyDescent="0.35">
      <c r="A15" s="65">
        <v>43524</v>
      </c>
      <c r="B15" s="2">
        <v>6.043417937558742E-2</v>
      </c>
      <c r="C15" s="2">
        <v>3.9657916360968569E-2</v>
      </c>
      <c r="D15" s="2">
        <v>4.0086282709709091E-2</v>
      </c>
      <c r="E15" s="2">
        <v>-1.3861497400282795E-2</v>
      </c>
      <c r="F15" s="2">
        <v>1.7772019159698629E-2</v>
      </c>
      <c r="G15" s="2">
        <v>6.1916370528644855E-2</v>
      </c>
    </row>
    <row r="16" spans="1:7" ht="18" x14ac:dyDescent="0.35">
      <c r="A16" s="65">
        <v>43553</v>
      </c>
      <c r="B16" s="2">
        <v>1.5592233932795463E-2</v>
      </c>
      <c r="C16" s="2">
        <v>1.5250953079988232E-2</v>
      </c>
      <c r="D16" s="2">
        <v>1.5433829280766004E-2</v>
      </c>
      <c r="E16" s="2">
        <v>-3.9593227513227462E-2</v>
      </c>
      <c r="F16" s="2">
        <v>1.1312778058509934E-2</v>
      </c>
      <c r="G16" s="2">
        <v>1.0997066337557622E-2</v>
      </c>
    </row>
    <row r="17" spans="1:7" ht="18" x14ac:dyDescent="0.35">
      <c r="A17" s="65">
        <v>43585</v>
      </c>
      <c r="B17" s="2">
        <v>3.437380460793682E-2</v>
      </c>
      <c r="C17" s="2">
        <v>2.1558359301398315E-2</v>
      </c>
      <c r="D17" s="2">
        <v>2.1894395674258004E-2</v>
      </c>
      <c r="E17" s="2">
        <v>-1.5124300796443838E-2</v>
      </c>
      <c r="F17" s="2">
        <v>1.3729758208780422E-2</v>
      </c>
      <c r="G17" s="2">
        <v>1.4112642765805691E-2</v>
      </c>
    </row>
    <row r="18" spans="1:7" ht="18" x14ac:dyDescent="0.35">
      <c r="A18" s="65">
        <v>43616</v>
      </c>
      <c r="B18" s="2">
        <v>-1.6765641784340146E-2</v>
      </c>
      <c r="C18" s="2">
        <v>-2.5000700326907509E-2</v>
      </c>
      <c r="D18" s="2">
        <v>-2.5120799768029563E-2</v>
      </c>
      <c r="E18" s="2">
        <v>-5.4217168108311314E-2</v>
      </c>
      <c r="F18" s="2">
        <v>8.5319227302158331E-3</v>
      </c>
      <c r="G18" s="2">
        <v>4.2748519090915638E-3</v>
      </c>
    </row>
    <row r="19" spans="1:7" ht="18" x14ac:dyDescent="0.35">
      <c r="A19" s="65">
        <v>43644</v>
      </c>
      <c r="B19" s="2">
        <v>1.1333076666596607E-2</v>
      </c>
      <c r="C19" s="2">
        <v>8.3346952738384637E-3</v>
      </c>
      <c r="D19" s="2">
        <v>8.2890552658674253E-3</v>
      </c>
      <c r="E19" s="2">
        <v>-0.13368075156576206</v>
      </c>
      <c r="F19" s="2">
        <v>2.2000667337835657E-2</v>
      </c>
      <c r="G19" s="2">
        <v>1.7126800971442514E-2</v>
      </c>
    </row>
    <row r="20" spans="1:7" ht="18" x14ac:dyDescent="0.35">
      <c r="A20" s="65">
        <v>43677</v>
      </c>
      <c r="B20" s="2">
        <v>3.5272939504360237E-2</v>
      </c>
      <c r="C20" s="2">
        <v>1.4379266342433878E-2</v>
      </c>
      <c r="D20" s="2">
        <v>1.4455583297786269E-2</v>
      </c>
      <c r="E20" s="2">
        <v>-7.2043832734285254E-3</v>
      </c>
      <c r="F20" s="2">
        <v>1.3869147250643064E-2</v>
      </c>
      <c r="G20" s="2">
        <v>1.4077022239782782E-2</v>
      </c>
    </row>
    <row r="21" spans="1:7" ht="18" x14ac:dyDescent="0.35">
      <c r="A21" s="65">
        <v>43707</v>
      </c>
      <c r="B21" s="2">
        <v>-3.4890981371383349E-2</v>
      </c>
      <c r="C21" s="2">
        <v>-4.6805908677632256E-2</v>
      </c>
      <c r="D21" s="2">
        <v>-4.6764080341012378E-2</v>
      </c>
      <c r="E21" s="2">
        <v>-0.20954507726269309</v>
      </c>
      <c r="F21" s="2">
        <v>2.7220177785250363E-2</v>
      </c>
      <c r="G21" s="2">
        <v>2.3134866854549279E-4</v>
      </c>
    </row>
    <row r="22" spans="1:7" ht="18" x14ac:dyDescent="0.35">
      <c r="A22" s="65">
        <v>43738</v>
      </c>
      <c r="B22" s="2">
        <v>2.7829868087445336E-2</v>
      </c>
      <c r="C22" s="2">
        <v>3.4346078989841385E-2</v>
      </c>
      <c r="D22" s="2">
        <v>3.4923934640788745E-2</v>
      </c>
      <c r="E22" s="2">
        <v>4.4892808831749391E-2</v>
      </c>
      <c r="F22" s="2">
        <v>-4.5216972934432114E-4</v>
      </c>
      <c r="G22" s="2">
        <v>3.0058479608059331E-2</v>
      </c>
    </row>
    <row r="23" spans="1:7" ht="18" x14ac:dyDescent="0.35">
      <c r="A23" s="65">
        <v>43769</v>
      </c>
      <c r="B23" s="2">
        <v>-2.8481789643117978E-3</v>
      </c>
      <c r="C23" s="2">
        <v>6.3356310452870376E-3</v>
      </c>
      <c r="D23" s="2">
        <v>6.3656728793395484E-3</v>
      </c>
      <c r="E23" s="2">
        <v>4.2630185348634317E-3</v>
      </c>
      <c r="F23" s="2">
        <v>3.7541004449383937E-3</v>
      </c>
      <c r="G23" s="2">
        <v>2.4305427325623605E-2</v>
      </c>
    </row>
    <row r="24" spans="1:7" ht="18" x14ac:dyDescent="0.35">
      <c r="A24" s="65">
        <v>43798</v>
      </c>
      <c r="B24" s="2">
        <v>4.2726361986915443E-2</v>
      </c>
      <c r="C24" s="2">
        <v>3.9321106568547287E-2</v>
      </c>
      <c r="D24" s="2">
        <v>3.922725211229218E-2</v>
      </c>
      <c r="E24" s="2">
        <v>6.1130997266801997E-2</v>
      </c>
      <c r="F24" s="2">
        <v>1.6661588421304516E-3</v>
      </c>
      <c r="G24" s="2">
        <v>-6.7057844656638705E-3</v>
      </c>
    </row>
    <row r="25" spans="1:7" ht="18" x14ac:dyDescent="0.35">
      <c r="A25" s="65">
        <v>43830</v>
      </c>
      <c r="B25" s="2">
        <v>2.4032214022871871E-2</v>
      </c>
      <c r="C25" s="2">
        <v>1.4535921595296744E-2</v>
      </c>
      <c r="D25" s="2">
        <v>1.4412064540189687E-2</v>
      </c>
      <c r="E25" s="2">
        <v>2.8217190158084843E-2</v>
      </c>
      <c r="F25" s="2">
        <v>7.6515270330075593E-3</v>
      </c>
      <c r="G25" s="2">
        <v>-8.2956477040028662E-3</v>
      </c>
    </row>
    <row r="26" spans="1:7" ht="18" x14ac:dyDescent="0.35">
      <c r="A26" s="65">
        <v>43861</v>
      </c>
      <c r="B26" s="2">
        <v>3.1073553013107026E-2</v>
      </c>
      <c r="C26" s="2">
        <v>9.7376358387128766E-3</v>
      </c>
      <c r="D26" s="2">
        <v>9.9017809063483911E-3</v>
      </c>
      <c r="E26" s="2">
        <v>-5.6939135991820218E-2</v>
      </c>
      <c r="F26" s="2">
        <v>1.184809974859948E-2</v>
      </c>
      <c r="G26" s="2">
        <v>2.0127921006319941E-2</v>
      </c>
    </row>
    <row r="27" spans="1:7" ht="18" x14ac:dyDescent="0.35">
      <c r="A27" s="65">
        <v>43889</v>
      </c>
      <c r="B27" s="2">
        <v>9.9796973145852873E-5</v>
      </c>
      <c r="C27" s="2">
        <v>-2.393231095406392E-2</v>
      </c>
      <c r="D27" s="2">
        <v>-2.3946643109540949E-2</v>
      </c>
      <c r="E27" s="2">
        <v>-0.14524407021346367</v>
      </c>
      <c r="F27" s="2">
        <v>1.7073023296573543E-2</v>
      </c>
      <c r="G27" s="2">
        <v>1.2046142836991715E-2</v>
      </c>
    </row>
    <row r="28" spans="1:7" ht="18" x14ac:dyDescent="0.35">
      <c r="A28" s="65">
        <v>43921</v>
      </c>
      <c r="B28" s="2">
        <v>-0.20108704200327593</v>
      </c>
      <c r="C28" s="2">
        <v>-0.20689684069188846</v>
      </c>
      <c r="D28" s="2">
        <v>-0.20600441776584261</v>
      </c>
      <c r="E28" s="2">
        <v>-0.41888296011196663</v>
      </c>
      <c r="F28" s="2">
        <v>-4.8553944067011558E-2</v>
      </c>
      <c r="G28" s="2">
        <v>-0.23945420556791153</v>
      </c>
    </row>
    <row r="29" spans="1:7" ht="18" x14ac:dyDescent="0.35">
      <c r="A29" s="65">
        <v>43951</v>
      </c>
      <c r="B29" s="2">
        <v>3.6218825348637039E-2</v>
      </c>
      <c r="C29" s="2">
        <v>8.9190365448506941E-3</v>
      </c>
      <c r="D29" s="2">
        <v>8.933255813953685E-3</v>
      </c>
      <c r="E29" s="2">
        <v>-0.24377427476737776</v>
      </c>
      <c r="F29" s="2">
        <v>2.0624247238142508E-2</v>
      </c>
      <c r="G29" s="2">
        <v>-5.6346948465578341E-2</v>
      </c>
    </row>
    <row r="30" spans="1:7" ht="18" x14ac:dyDescent="0.35">
      <c r="A30" s="65">
        <v>43980</v>
      </c>
      <c r="B30" s="2">
        <v>6.3434640418557162E-2</v>
      </c>
      <c r="C30" s="2">
        <v>4.6043943438905104E-2</v>
      </c>
      <c r="D30" s="2">
        <v>4.5810543069619326E-2</v>
      </c>
      <c r="E30" s="2">
        <v>2.5056451846487544E-2</v>
      </c>
      <c r="F30" s="2">
        <v>1.582533806312774E-2</v>
      </c>
      <c r="G30" s="2">
        <v>8.7254006309770912E-3</v>
      </c>
    </row>
    <row r="31" spans="1:7" ht="18" x14ac:dyDescent="0.35">
      <c r="A31" s="65">
        <v>44012</v>
      </c>
      <c r="B31" s="2">
        <v>7.187115032340792E-2</v>
      </c>
      <c r="C31" s="2">
        <v>9.3726443520604774E-2</v>
      </c>
      <c r="D31" s="2">
        <v>9.2806737116745142E-2</v>
      </c>
      <c r="E31" s="2">
        <v>8.0657539789587548E-2</v>
      </c>
      <c r="F31" s="2">
        <v>2.9967538054374715E-2</v>
      </c>
      <c r="G31" s="2">
        <v>0.10412351148548932</v>
      </c>
    </row>
    <row r="32" spans="1:7" ht="18" x14ac:dyDescent="0.35">
      <c r="A32" s="65">
        <v>44043</v>
      </c>
      <c r="B32" s="2">
        <v>3.3645749871414179E-2</v>
      </c>
      <c r="C32" s="2">
        <v>2.1713121145974287E-2</v>
      </c>
      <c r="D32" s="2">
        <v>2.1454374915833584E-2</v>
      </c>
      <c r="E32" s="2">
        <v>-0.14311048034934509</v>
      </c>
      <c r="F32" s="2">
        <v>2.7014605693028614E-2</v>
      </c>
      <c r="G32" s="2">
        <v>-1.6086688172862761E-2</v>
      </c>
    </row>
    <row r="33" spans="1:7" ht="18" x14ac:dyDescent="0.35">
      <c r="A33" s="65">
        <v>44074</v>
      </c>
      <c r="B33" s="2">
        <v>5.8209739731859445E-2</v>
      </c>
      <c r="C33" s="2">
        <v>3.6056340267273203E-2</v>
      </c>
      <c r="D33" s="2">
        <v>3.6296352214589392E-2</v>
      </c>
      <c r="E33" s="2">
        <v>4.2003498542274247E-2</v>
      </c>
      <c r="F33" s="2">
        <v>5.2067085466526788E-3</v>
      </c>
      <c r="G33" s="2">
        <v>3.6952984880260907E-2</v>
      </c>
    </row>
    <row r="34" spans="1:7" ht="18" x14ac:dyDescent="0.35">
      <c r="A34" s="65">
        <v>44104</v>
      </c>
      <c r="B34" s="2">
        <v>-7.7773533571256484E-3</v>
      </c>
      <c r="C34" s="2">
        <v>-4.9700748396294073E-3</v>
      </c>
      <c r="D34" s="2">
        <v>-5.0371703492516455E-3</v>
      </c>
      <c r="E34" s="2">
        <v>4.4994285714285348E-2</v>
      </c>
      <c r="F34" s="2">
        <v>-4.7334620365844741E-3</v>
      </c>
      <c r="G34" s="2">
        <v>-8.4231385292062467E-3</v>
      </c>
    </row>
    <row r="35" spans="1:7" ht="18" x14ac:dyDescent="0.35">
      <c r="A35" s="65">
        <v>44134</v>
      </c>
      <c r="B35" s="2">
        <v>2.2794968091545003E-2</v>
      </c>
      <c r="C35" s="2">
        <v>-2.4502512906423449E-3</v>
      </c>
      <c r="D35" s="2">
        <v>-2.4279189032102963E-3</v>
      </c>
      <c r="E35" s="2">
        <v>0.15807330063069397</v>
      </c>
      <c r="F35" s="2">
        <v>-2.7072780014928285E-3</v>
      </c>
      <c r="G35" s="2">
        <v>4.7640336383793251E-3</v>
      </c>
    </row>
    <row r="36" spans="1:7" ht="18" x14ac:dyDescent="0.35">
      <c r="A36" s="65">
        <v>44165</v>
      </c>
      <c r="B36" s="2">
        <v>4.3050321013195593E-2</v>
      </c>
      <c r="C36" s="2">
        <v>6.4890301890856789E-2</v>
      </c>
      <c r="D36" s="2">
        <v>6.5853143758016985E-2</v>
      </c>
      <c r="E36" s="2">
        <v>0.10506315789473712</v>
      </c>
      <c r="F36" s="2">
        <v>1.1806029719343964E-2</v>
      </c>
      <c r="G36" s="2">
        <v>5.3300429424588361E-2</v>
      </c>
    </row>
    <row r="37" spans="1:7" ht="18" x14ac:dyDescent="0.35">
      <c r="A37" s="65">
        <v>44196</v>
      </c>
      <c r="B37" s="2">
        <v>5.4380805332854165E-2</v>
      </c>
      <c r="C37" s="2">
        <v>6.2574300268992217E-2</v>
      </c>
      <c r="D37" s="2">
        <v>6.2555593452768316E-2</v>
      </c>
      <c r="E37" s="2">
        <v>7.2625914315569307E-2</v>
      </c>
      <c r="F37" s="2">
        <v>1.0291798108077682E-2</v>
      </c>
      <c r="G37" s="2">
        <v>3.4378345572523401E-2</v>
      </c>
    </row>
    <row r="38" spans="1:7" ht="18" x14ac:dyDescent="0.35">
      <c r="A38" s="65">
        <v>44225</v>
      </c>
      <c r="B38" s="2">
        <v>3.3158638968334E-2</v>
      </c>
      <c r="C38" s="2">
        <v>3.4174288279417361E-2</v>
      </c>
      <c r="D38" s="2">
        <v>3.4477569579194359E-2</v>
      </c>
      <c r="E38" s="2">
        <v>0.1594578947368418</v>
      </c>
      <c r="F38" s="2">
        <v>-4.6555484989514633E-3</v>
      </c>
      <c r="G38" s="2">
        <v>8.3617106444322502E-3</v>
      </c>
    </row>
    <row r="39" spans="1:7" ht="18" x14ac:dyDescent="0.35">
      <c r="A39" s="65">
        <v>44253</v>
      </c>
      <c r="B39" s="2">
        <v>2.8784941685065166E-2</v>
      </c>
      <c r="C39" s="2">
        <v>1.2692144236960976E-2</v>
      </c>
      <c r="D39" s="2">
        <v>1.2865537669027947E-2</v>
      </c>
      <c r="E39" s="2">
        <v>0.16518636806231771</v>
      </c>
      <c r="F39" s="2">
        <v>-1.0488455575751324E-2</v>
      </c>
      <c r="G39" s="2">
        <v>4.0601766158004086E-2</v>
      </c>
    </row>
    <row r="40" spans="1:7" ht="18" x14ac:dyDescent="0.35">
      <c r="A40" s="65">
        <v>44286</v>
      </c>
      <c r="B40" s="2">
        <v>2.0993751336807411E-3</v>
      </c>
      <c r="C40" s="2">
        <v>3.1058505462423164E-3</v>
      </c>
      <c r="D40" s="2">
        <v>3.137911340616235E-3</v>
      </c>
      <c r="E40" s="2">
        <v>0.28074790794979082</v>
      </c>
      <c r="F40" s="2">
        <v>-2.5613241244602295E-2</v>
      </c>
      <c r="G40" s="2">
        <v>2.0754429559147601E-2</v>
      </c>
    </row>
    <row r="41" spans="1:7" ht="18" x14ac:dyDescent="0.35">
      <c r="A41" s="65">
        <v>44316</v>
      </c>
      <c r="B41" s="2">
        <v>5.3792403664890215E-2</v>
      </c>
      <c r="C41" s="2">
        <v>3.1352314502814956E-2</v>
      </c>
      <c r="D41" s="2">
        <v>3.1358576199340377E-2</v>
      </c>
      <c r="E41" s="2">
        <v>1.5093603238866179E-2</v>
      </c>
      <c r="F41" s="2">
        <v>9.5475969758557142E-3</v>
      </c>
      <c r="G41" s="2">
        <v>5.3150029035407574E-2</v>
      </c>
    </row>
    <row r="42" spans="1:7" ht="18" x14ac:dyDescent="0.35">
      <c r="A42" s="65">
        <v>44347</v>
      </c>
      <c r="B42" s="2">
        <v>1.7713544867557075E-3</v>
      </c>
      <c r="C42" s="2">
        <v>1.8151440703670182E-2</v>
      </c>
      <c r="D42" s="2">
        <v>1.8173218077039918E-2</v>
      </c>
      <c r="E42" s="2">
        <v>-8.4770642201833606E-3</v>
      </c>
      <c r="F42" s="2">
        <v>3.5140708592006054E-3</v>
      </c>
      <c r="G42" s="2">
        <v>2.2718963368032606E-2</v>
      </c>
    </row>
    <row r="43" spans="1:7" ht="18" x14ac:dyDescent="0.35">
      <c r="A43" s="65">
        <v>44377</v>
      </c>
      <c r="B43" s="2">
        <v>2.0769396942809361E-2</v>
      </c>
      <c r="C43" s="2">
        <v>1.7441358945747804E-2</v>
      </c>
      <c r="D43" s="2">
        <v>1.7232813402355041E-2</v>
      </c>
      <c r="E43" s="2">
        <v>-6.3220099826145515E-2</v>
      </c>
      <c r="F43" s="2">
        <v>1.3781887415429123E-2</v>
      </c>
      <c r="G43" s="2">
        <v>5.0712152334069296E-2</v>
      </c>
    </row>
    <row r="44" spans="1:7" ht="18" x14ac:dyDescent="0.35">
      <c r="A44" s="65">
        <v>44407</v>
      </c>
      <c r="B44" s="2">
        <v>2.2943546000919659E-2</v>
      </c>
      <c r="C44" s="2">
        <v>-1.8762191536988555E-2</v>
      </c>
      <c r="D44" s="2">
        <v>-1.863583429973836E-2</v>
      </c>
      <c r="E44" s="2">
        <v>-0.13103606052834035</v>
      </c>
      <c r="F44" s="2">
        <v>1.5749188143968921E-2</v>
      </c>
      <c r="G44" s="2">
        <v>1.3130239418634285E-2</v>
      </c>
    </row>
    <row r="45" spans="1:7" ht="18" x14ac:dyDescent="0.35">
      <c r="A45" s="65">
        <v>44439</v>
      </c>
      <c r="B45" s="2">
        <v>1.8254738749828324E-2</v>
      </c>
      <c r="C45" s="2">
        <v>1.3792069249794217E-2</v>
      </c>
      <c r="D45" s="2">
        <v>1.389850233580686E-2</v>
      </c>
      <c r="E45" s="2">
        <v>-2.6887668669359079E-2</v>
      </c>
      <c r="F45" s="2">
        <v>1.3781642903578784E-3</v>
      </c>
      <c r="G45" s="2">
        <v>1.3611942108422755E-2</v>
      </c>
    </row>
    <row r="46" spans="1:7" ht="18" x14ac:dyDescent="0.35">
      <c r="A46" s="65">
        <v>44469</v>
      </c>
      <c r="B46" s="2">
        <v>-1.2646118034778582E-3</v>
      </c>
      <c r="C46" s="2">
        <v>2.113587943511879E-3</v>
      </c>
      <c r="D46" s="2">
        <v>2.1053424768921968E-3</v>
      </c>
      <c r="E46" s="2">
        <v>7.0770028507329316E-2</v>
      </c>
      <c r="F46" s="2">
        <v>8.2682411677031508E-4</v>
      </c>
      <c r="G46" s="2">
        <v>1.392302174252657E-3</v>
      </c>
    </row>
    <row r="47" spans="1:7" ht="18" x14ac:dyDescent="0.35">
      <c r="A47" s="65">
        <v>44498</v>
      </c>
      <c r="B47" s="2">
        <v>4.2217751272959313E-3</v>
      </c>
      <c r="C47" s="2">
        <v>-1.867116646122893E-2</v>
      </c>
      <c r="D47" s="2">
        <v>-1.8843354443830476E-2</v>
      </c>
      <c r="E47" s="2">
        <v>0.1504888725320403</v>
      </c>
      <c r="F47" s="2">
        <v>-1.1989721748997692E-2</v>
      </c>
      <c r="G47" s="2">
        <v>-3.1366277904244229E-3</v>
      </c>
    </row>
    <row r="48" spans="1:7" ht="18" x14ac:dyDescent="0.35">
      <c r="A48" s="65">
        <v>44530</v>
      </c>
      <c r="B48" s="2">
        <v>4.3004901139864035E-2</v>
      </c>
      <c r="C48" s="2">
        <v>1.2808437114430839E-2</v>
      </c>
      <c r="D48" s="2">
        <v>1.2668370698028871E-2</v>
      </c>
      <c r="E48" s="2">
        <v>-1.4422053712480336E-2</v>
      </c>
      <c r="F48" s="2">
        <v>2.4800121693261388E-3</v>
      </c>
      <c r="G48" s="2">
        <v>3.468093344374696E-2</v>
      </c>
    </row>
    <row r="49" spans="1:7" ht="18" x14ac:dyDescent="0.35">
      <c r="A49" s="65">
        <v>44561</v>
      </c>
      <c r="B49" s="2">
        <v>-1.0318447326473239E-2</v>
      </c>
      <c r="C49" s="2">
        <v>-2.6340810349295793E-2</v>
      </c>
      <c r="D49" s="2">
        <v>-2.6195324853291447E-2</v>
      </c>
      <c r="E49" s="2">
        <v>-6.0541808271881895E-2</v>
      </c>
      <c r="F49" s="2">
        <v>9.5507085831190921E-4</v>
      </c>
      <c r="G49" s="2">
        <v>1.0640118028090449E-2</v>
      </c>
    </row>
    <row r="50" spans="1:7" ht="18" x14ac:dyDescent="0.35">
      <c r="A50" s="65">
        <v>44592</v>
      </c>
      <c r="B50" s="2">
        <v>-2.7527915435828134E-2</v>
      </c>
      <c r="C50" s="2">
        <v>-7.3089628738247604E-3</v>
      </c>
      <c r="D50" s="2">
        <v>-7.3002374903701336E-3</v>
      </c>
      <c r="E50" s="2">
        <v>0.20493235494880524</v>
      </c>
      <c r="F50" s="2">
        <v>-2.2838860585413619E-2</v>
      </c>
      <c r="G50" s="2">
        <v>-1.0811215683764579E-2</v>
      </c>
    </row>
    <row r="51" spans="1:7" ht="18" x14ac:dyDescent="0.35">
      <c r="A51" s="65">
        <v>44620</v>
      </c>
      <c r="B51" s="2">
        <v>-3.0557441128042036E-2</v>
      </c>
      <c r="C51" s="2">
        <v>-2.3068135713232137E-2</v>
      </c>
      <c r="D51" s="2">
        <v>-2.3051916654373898E-2</v>
      </c>
      <c r="E51" s="2">
        <v>9.6442982456140428E-2</v>
      </c>
      <c r="F51" s="2">
        <v>-2.8558647175875425E-2</v>
      </c>
      <c r="G51" s="2">
        <v>-3.693243734957917E-2</v>
      </c>
    </row>
    <row r="52" spans="1:7" ht="18" x14ac:dyDescent="0.35">
      <c r="A52" s="65">
        <v>44651</v>
      </c>
      <c r="B52" s="2">
        <v>-1.0607005340030624E-2</v>
      </c>
      <c r="C52" s="2">
        <v>-4.3663969423336876E-2</v>
      </c>
      <c r="D52" s="2">
        <v>-4.314477834814856E-2</v>
      </c>
      <c r="E52" s="2">
        <v>9.9529988760721735E-2</v>
      </c>
      <c r="F52" s="2">
        <v>-2.567236074795037E-2</v>
      </c>
      <c r="G52" s="2">
        <v>1.4498529112125342E-2</v>
      </c>
    </row>
    <row r="53" spans="1:7" ht="18" x14ac:dyDescent="0.35">
      <c r="A53" s="65">
        <v>44680</v>
      </c>
      <c r="B53" s="2">
        <v>-2.6200770653339173E-3</v>
      </c>
      <c r="C53" s="2">
        <v>-4.7487846121322336E-3</v>
      </c>
      <c r="D53" s="2">
        <v>-4.7050018254832498E-3</v>
      </c>
      <c r="E53" s="2">
        <v>0.29081623416428304</v>
      </c>
      <c r="F53" s="2">
        <v>-3.3954670503400571E-2</v>
      </c>
      <c r="G53" s="2">
        <v>3.0287832294783823E-2</v>
      </c>
    </row>
    <row r="54" spans="1:7" ht="18" x14ac:dyDescent="0.35">
      <c r="A54" s="65">
        <v>44712</v>
      </c>
      <c r="B54" s="2">
        <v>-8.315391535078652E-2</v>
      </c>
      <c r="C54" s="2">
        <v>-5.3020761343452794E-2</v>
      </c>
      <c r="D54" s="2">
        <v>-5.3681257064428098E-2</v>
      </c>
      <c r="E54" s="2">
        <v>5.5337926253303749E-2</v>
      </c>
      <c r="F54" s="2">
        <v>-2.3856971031318744E-2</v>
      </c>
      <c r="G54" s="2">
        <v>-0.10229899193269036</v>
      </c>
    </row>
    <row r="55" spans="1:7" ht="18" x14ac:dyDescent="0.35">
      <c r="A55" s="65">
        <v>44742</v>
      </c>
      <c r="B55" s="2">
        <v>-3.4738928759830819E-2</v>
      </c>
      <c r="C55" s="2">
        <v>-3.9644803325871641E-2</v>
      </c>
      <c r="D55" s="2">
        <v>-3.920246242404881E-2</v>
      </c>
      <c r="E55" s="2">
        <v>8.410425566874824E-2</v>
      </c>
      <c r="F55" s="2">
        <v>-1.4212127901799163E-2</v>
      </c>
      <c r="G55" s="2">
        <v>-5.1979282738774633E-2</v>
      </c>
    </row>
    <row r="56" spans="1:7" ht="18" x14ac:dyDescent="0.35">
      <c r="A56" s="65">
        <v>44771</v>
      </c>
      <c r="B56" s="2">
        <v>2.9829006816664348E-3</v>
      </c>
      <c r="C56" s="2">
        <v>-3.8237693326040108E-2</v>
      </c>
      <c r="D56" s="2">
        <v>-3.8453486012350525E-2</v>
      </c>
      <c r="E56" s="2">
        <v>-7.8134252386002467E-2</v>
      </c>
      <c r="F56" s="2">
        <v>1.0008307308283879E-2</v>
      </c>
      <c r="G56" s="2">
        <v>1.8055293951740859E-3</v>
      </c>
    </row>
    <row r="57" spans="1:7" ht="18" x14ac:dyDescent="0.35">
      <c r="A57" s="65">
        <v>44804</v>
      </c>
      <c r="B57" s="2">
        <v>6.6619955660022254E-2</v>
      </c>
      <c r="C57" s="2">
        <v>3.6769716322683915E-2</v>
      </c>
      <c r="D57" s="2">
        <v>3.6972619342423817E-2</v>
      </c>
      <c r="E57" s="2">
        <v>6.2771739130423898E-4</v>
      </c>
      <c r="F57" s="2">
        <v>8.6284288497540402E-3</v>
      </c>
      <c r="G57" s="2">
        <v>4.8108839252425872E-2</v>
      </c>
    </row>
    <row r="58" spans="1:7" ht="18" x14ac:dyDescent="0.35">
      <c r="A58" s="65">
        <v>44834</v>
      </c>
      <c r="B58" s="2">
        <v>-7.4174156985161346E-2</v>
      </c>
      <c r="C58" s="2">
        <v>-8.2215525753316393E-2</v>
      </c>
      <c r="D58" s="2">
        <v>-8.1622328253142154E-2</v>
      </c>
      <c r="E58" s="2">
        <v>0.21536114742971488</v>
      </c>
      <c r="F58" s="2">
        <v>-4.2431209770121714E-2</v>
      </c>
      <c r="G58" s="2">
        <v>-9.1825228412229662E-2</v>
      </c>
    </row>
    <row r="59" spans="1:7" ht="18" x14ac:dyDescent="0.35">
      <c r="A59" s="65">
        <v>44865</v>
      </c>
      <c r="B59" s="2">
        <v>-3.1206989501653092E-2</v>
      </c>
      <c r="C59" s="2">
        <v>-3.4668131148222869E-2</v>
      </c>
      <c r="D59" s="2">
        <v>-3.4350992034606828E-2</v>
      </c>
      <c r="E59" s="2">
        <v>0.13262912246278724</v>
      </c>
      <c r="F59" s="2">
        <v>-3.6882227505703358E-2</v>
      </c>
      <c r="G59" s="2">
        <v>-8.548330022472754E-2</v>
      </c>
    </row>
    <row r="60" spans="1:7" ht="18" x14ac:dyDescent="0.35">
      <c r="A60" s="65">
        <v>44895</v>
      </c>
      <c r="B60" s="2">
        <v>4.9498598103071494E-2</v>
      </c>
      <c r="C60" s="2">
        <v>0.1015587004986486</v>
      </c>
      <c r="D60" s="2">
        <v>0.1017940980711034</v>
      </c>
      <c r="E60" s="2">
        <v>-2.3450671520019811E-2</v>
      </c>
      <c r="F60" s="2">
        <v>2.3963477935177505E-2</v>
      </c>
      <c r="G60" s="2">
        <v>7.288115611510744E-2</v>
      </c>
    </row>
    <row r="61" spans="1:7" ht="18" x14ac:dyDescent="0.35">
      <c r="A61" s="65">
        <v>44925</v>
      </c>
      <c r="B61" s="2">
        <v>-3.8392555053086072E-3</v>
      </c>
      <c r="C61" s="2">
        <v>2.9782810149090361E-2</v>
      </c>
      <c r="D61" s="2">
        <v>2.951955956777454E-2</v>
      </c>
      <c r="E61" s="2">
        <v>-7.0556338803833302E-2</v>
      </c>
      <c r="F61" s="2">
        <v>3.4856355206119155E-2</v>
      </c>
      <c r="G61" s="2">
        <v>1.2630699487423295E-2</v>
      </c>
    </row>
    <row r="62" spans="1:7" ht="18" x14ac:dyDescent="0.35">
      <c r="A62" s="65">
        <v>44957</v>
      </c>
      <c r="B62" s="2">
        <v>1.5422200544242167E-2</v>
      </c>
      <c r="C62" s="2">
        <v>4.5079756883323885E-2</v>
      </c>
      <c r="D62" s="2">
        <v>4.4503072171111595E-2</v>
      </c>
      <c r="E62" s="2">
        <v>-2.3403411245720037E-2</v>
      </c>
      <c r="F62" s="2">
        <v>1.3986764986804647E-2</v>
      </c>
      <c r="G62" s="2">
        <v>3.5957346510628901E-2</v>
      </c>
    </row>
    <row r="63" spans="1:7" ht="18" x14ac:dyDescent="0.35">
      <c r="A63" s="65">
        <v>44985</v>
      </c>
      <c r="B63" s="2">
        <v>3.3217192895642442E-2</v>
      </c>
      <c r="C63" s="2">
        <v>1.4323479573994366E-2</v>
      </c>
      <c r="D63" s="2">
        <v>1.4286242250834297E-2</v>
      </c>
      <c r="E63" s="2">
        <v>6.1044593396275749E-2</v>
      </c>
      <c r="F63" s="2">
        <v>-7.0131001563469427E-3</v>
      </c>
      <c r="G63" s="2">
        <v>2.8414758703510404E-2</v>
      </c>
    </row>
    <row r="64" spans="1:7" ht="18" x14ac:dyDescent="0.35">
      <c r="A64" s="65">
        <v>45016</v>
      </c>
      <c r="B64" s="2">
        <v>-3.3489369115843166E-2</v>
      </c>
      <c r="C64" s="2">
        <v>-2.6639369523995031E-2</v>
      </c>
      <c r="D64" s="2">
        <v>-2.6467348957825782E-2</v>
      </c>
      <c r="E64" s="2">
        <v>-2.2356188277543061E-2</v>
      </c>
      <c r="F64" s="2">
        <v>-3.4025135302636379E-3</v>
      </c>
      <c r="G64" s="2">
        <v>-7.0410338341876225E-2</v>
      </c>
    </row>
    <row r="65" spans="1:7" ht="18" x14ac:dyDescent="0.35">
      <c r="A65" s="65">
        <v>45044</v>
      </c>
      <c r="B65" s="2">
        <v>3.2412601238522784E-2</v>
      </c>
      <c r="C65" s="2">
        <v>4.4995923690450648E-2</v>
      </c>
      <c r="D65" s="2">
        <v>4.4634313429618572E-2</v>
      </c>
      <c r="E65" s="2">
        <v>-5.5579928783382575E-2</v>
      </c>
      <c r="F65" s="2">
        <v>2.032526052480714E-2</v>
      </c>
      <c r="G65" s="2">
        <v>1.2645550163983096E-2</v>
      </c>
    </row>
    <row r="66" spans="1:7" ht="18" x14ac:dyDescent="0.35">
      <c r="A66" s="65">
        <v>45077</v>
      </c>
      <c r="B66" s="2">
        <v>4.2673422418471841E-3</v>
      </c>
      <c r="C66" s="2">
        <v>-1.6849955929232454E-4</v>
      </c>
      <c r="D66" s="2">
        <v>-1.6816350113657601E-4</v>
      </c>
      <c r="E66" s="2">
        <v>3.3082632685233884E-2</v>
      </c>
      <c r="F66" s="2">
        <v>-1.0671992647243791E-2</v>
      </c>
      <c r="G66" s="2">
        <v>-6.3827462798613068E-3</v>
      </c>
    </row>
    <row r="67" spans="1:7" ht="18" x14ac:dyDescent="0.35">
      <c r="A67" s="65">
        <v>45107</v>
      </c>
      <c r="B67" s="2">
        <v>4.9320739952155433E-2</v>
      </c>
      <c r="C67" s="2">
        <v>3.6977369889596825E-3</v>
      </c>
      <c r="D67" s="2">
        <v>3.6571673631083401E-3</v>
      </c>
      <c r="E67" s="2">
        <v>4.8369177841576648E-2</v>
      </c>
      <c r="F67" s="2">
        <v>1.0717618747612065E-4</v>
      </c>
      <c r="G67" s="2">
        <v>9.6554081111199595E-3</v>
      </c>
    </row>
    <row r="68" spans="1:7" ht="18" x14ac:dyDescent="0.35">
      <c r="A68" s="65">
        <v>45138</v>
      </c>
      <c r="B68" s="2">
        <v>3.9473115143975876E-2</v>
      </c>
      <c r="C68" s="2">
        <v>1.5040774961172844E-2</v>
      </c>
      <c r="D68" s="2">
        <v>1.5193205050584689E-2</v>
      </c>
      <c r="E68" s="2">
        <v>4.019718523694573E-2</v>
      </c>
      <c r="F68" s="2">
        <v>2.9564103004356061E-3</v>
      </c>
      <c r="G68" s="2">
        <v>3.6615602870089699E-2</v>
      </c>
    </row>
    <row r="69" spans="1:7" ht="18" x14ac:dyDescent="0.35">
      <c r="A69" s="65">
        <v>45169</v>
      </c>
      <c r="B69" s="2">
        <v>-1.2628271023614702E-2</v>
      </c>
      <c r="C69" s="2">
        <v>-2.4700902472600966E-2</v>
      </c>
      <c r="D69" s="2">
        <v>-2.4769926950568313E-2</v>
      </c>
      <c r="E69" s="2">
        <v>6.8576427301159329E-2</v>
      </c>
      <c r="F69" s="2">
        <v>-1.1700040263673659E-2</v>
      </c>
      <c r="G69" s="2">
        <v>-3.0100516263059967E-2</v>
      </c>
    </row>
    <row r="70" spans="1:7" ht="18" x14ac:dyDescent="0.35">
      <c r="A70" s="65">
        <v>45198</v>
      </c>
      <c r="B70" s="2">
        <v>-1.2104702768252739E-2</v>
      </c>
      <c r="C70" s="2">
        <v>-1.5910618211205579E-2</v>
      </c>
      <c r="D70" s="2">
        <v>-1.5755778033976368E-2</v>
      </c>
      <c r="E70" s="2">
        <v>5.0546037972042435E-2</v>
      </c>
      <c r="F70" s="2">
        <v>-5.8931611317320593E-3</v>
      </c>
      <c r="G70" s="2">
        <v>-2.3630310876056031E-2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B2C5-64D1-4B2A-985D-003BB7D9FF5C}">
  <sheetPr>
    <tabColor rgb="FF06005A"/>
  </sheetPr>
  <dimension ref="A1:P85"/>
  <sheetViews>
    <sheetView zoomScaleNormal="100" workbookViewId="0"/>
  </sheetViews>
  <sheetFormatPr defaultColWidth="8.7265625" defaultRowHeight="17.5" x14ac:dyDescent="0.35"/>
  <cols>
    <col min="1" max="1" width="59.81640625" style="2" bestFit="1" customWidth="1"/>
    <col min="2" max="2" width="19.7265625" style="2" bestFit="1" customWidth="1"/>
    <col min="3" max="3" width="14.81640625" style="2" bestFit="1" customWidth="1"/>
    <col min="4" max="5" width="10" style="2" bestFit="1" customWidth="1"/>
    <col min="6" max="6" width="24.1796875" style="2" bestFit="1" customWidth="1"/>
    <col min="7" max="7" width="10" style="2" bestFit="1" customWidth="1"/>
    <col min="8" max="8" width="22.54296875" style="2" bestFit="1" customWidth="1"/>
    <col min="9" max="9" width="21" style="2" bestFit="1" customWidth="1"/>
    <col min="10" max="11" width="9.7265625" style="2" bestFit="1" customWidth="1"/>
    <col min="12" max="12" width="12.1796875" style="2" bestFit="1" customWidth="1"/>
    <col min="13" max="13" width="9.7265625" style="2" bestFit="1" customWidth="1"/>
    <col min="14" max="15" width="8.7265625" style="2"/>
    <col min="16" max="16" width="9.81640625" style="2" bestFit="1" customWidth="1"/>
    <col min="17" max="17" width="19" style="2" bestFit="1" customWidth="1"/>
    <col min="18" max="16384" width="8.7265625" style="2"/>
  </cols>
  <sheetData>
    <row r="1" spans="1:16" ht="18" x14ac:dyDescent="0.35">
      <c r="A1" s="1" t="s">
        <v>19</v>
      </c>
      <c r="B1" s="1"/>
      <c r="C1" s="1"/>
      <c r="D1" s="1"/>
      <c r="E1" s="1"/>
      <c r="I1" s="11"/>
      <c r="J1" s="11"/>
      <c r="K1" s="11"/>
      <c r="L1" s="11"/>
      <c r="M1" s="11"/>
    </row>
    <row r="2" spans="1:16" x14ac:dyDescent="0.35">
      <c r="C2" s="29"/>
      <c r="I2" s="11"/>
      <c r="J2" s="11"/>
      <c r="K2" s="11"/>
      <c r="L2" s="11"/>
      <c r="M2" s="11"/>
    </row>
    <row r="3" spans="1:16" ht="18" x14ac:dyDescent="0.4">
      <c r="A3" s="8" t="s">
        <v>20</v>
      </c>
      <c r="B3" s="83">
        <f>TAAPortfolioPerformance!B4</f>
        <v>43555</v>
      </c>
      <c r="C3" s="29"/>
      <c r="I3" s="11"/>
      <c r="J3" s="11"/>
      <c r="K3" s="11"/>
      <c r="L3" s="11"/>
      <c r="M3" s="11"/>
    </row>
    <row r="4" spans="1:16" x14ac:dyDescent="0.35">
      <c r="C4" s="29"/>
      <c r="I4" s="11"/>
      <c r="J4" s="11"/>
      <c r="K4" s="11"/>
      <c r="L4" s="11"/>
      <c r="M4" s="11"/>
    </row>
    <row r="5" spans="1:16" ht="18" x14ac:dyDescent="0.4">
      <c r="A5" s="30" t="s">
        <v>21</v>
      </c>
      <c r="B5" s="31">
        <f>(1+AVERAGEIFS(H17:H85,A17:A85,"&lt;="&amp;B3))^12-1</f>
        <v>1.8860415658675578E-2</v>
      </c>
      <c r="G5" s="8"/>
      <c r="H5" s="32"/>
      <c r="I5" s="11"/>
      <c r="J5" s="11"/>
      <c r="K5" s="11"/>
      <c r="L5" s="11"/>
      <c r="M5" s="11"/>
    </row>
    <row r="6" spans="1:16" ht="18" x14ac:dyDescent="0.4">
      <c r="A6" s="30" t="s">
        <v>22</v>
      </c>
      <c r="B6" s="31" cm="1">
        <f t="array" ref="B6">GEOMEAN(IF((A17:A85&lt;=B3), (1+H17:H85)))^12-1</f>
        <v>1.6064598434413657E-2</v>
      </c>
      <c r="G6" s="8"/>
      <c r="H6" s="32"/>
      <c r="I6" s="11"/>
      <c r="J6" s="11"/>
      <c r="K6" s="11"/>
      <c r="L6" s="11"/>
      <c r="M6" s="11"/>
    </row>
    <row r="7" spans="1:16" ht="18" x14ac:dyDescent="0.4">
      <c r="A7" s="8" t="s">
        <v>23</v>
      </c>
      <c r="B7" s="31" cm="1">
        <f t="array" ref="B7">_xlfn.STDEV.S(IF((A17:A85&lt;=B3),H17:H85))*SQRT(12)</f>
        <v>7.665440734632592E-2</v>
      </c>
      <c r="G7" s="33"/>
      <c r="I7" s="11"/>
      <c r="J7" s="11"/>
      <c r="K7" s="11"/>
      <c r="L7" s="11"/>
      <c r="M7" s="11"/>
    </row>
    <row r="8" spans="1:16" ht="18" x14ac:dyDescent="0.4">
      <c r="A8" s="8" t="s">
        <v>16</v>
      </c>
      <c r="B8" s="34">
        <v>2.35E-2</v>
      </c>
      <c r="I8" s="11"/>
      <c r="J8" s="11"/>
      <c r="K8" s="11"/>
      <c r="L8" s="11"/>
      <c r="M8" s="11"/>
    </row>
    <row r="9" spans="1:16" ht="18" x14ac:dyDescent="0.4">
      <c r="A9" s="8" t="s">
        <v>17</v>
      </c>
      <c r="B9" s="35">
        <f>(B5-B8)/B7</f>
        <v>-6.0525995855172439E-2</v>
      </c>
      <c r="J9" s="11"/>
      <c r="K9" s="11"/>
      <c r="L9" s="11"/>
      <c r="M9" s="11"/>
      <c r="O9" s="11"/>
      <c r="P9" s="11"/>
    </row>
    <row r="10" spans="1:16" ht="18" x14ac:dyDescent="0.4">
      <c r="A10" s="8"/>
      <c r="B10" s="35"/>
      <c r="J10" s="11"/>
      <c r="K10" s="11"/>
      <c r="L10" s="11"/>
      <c r="M10" s="11"/>
      <c r="O10" s="11"/>
      <c r="P10" s="11"/>
    </row>
    <row r="11" spans="1:16" ht="18" x14ac:dyDescent="0.4">
      <c r="A11" s="8" t="s">
        <v>24</v>
      </c>
      <c r="B11" s="36">
        <f>B8</f>
        <v>2.35E-2</v>
      </c>
      <c r="J11" s="11"/>
      <c r="K11" s="11"/>
      <c r="L11" s="11"/>
      <c r="M11" s="11"/>
      <c r="O11" s="11"/>
      <c r="P11" s="11"/>
    </row>
    <row r="12" spans="1:16" ht="18" x14ac:dyDescent="0.4">
      <c r="A12" s="8" t="s">
        <v>25</v>
      </c>
      <c r="B12" s="35">
        <f>SQRT(SUMIFS(I17:I85,A17:A85,"&lt;="&amp;B3)/COUNTIFS(A17:A85,"&lt;="&amp;B3,A17:A85,"&lt;="&amp;B3))</f>
        <v>3.0087472099246726E-2</v>
      </c>
      <c r="J12" s="11"/>
      <c r="K12" s="11"/>
      <c r="L12" s="11"/>
      <c r="M12" s="11"/>
      <c r="O12" s="11"/>
      <c r="P12" s="11"/>
    </row>
    <row r="13" spans="1:16" ht="18" x14ac:dyDescent="0.4">
      <c r="A13" s="8" t="s">
        <v>26</v>
      </c>
      <c r="B13" s="35">
        <f>(B5-B11)/B12</f>
        <v>-0.154203195470203</v>
      </c>
      <c r="J13" s="11"/>
      <c r="K13" s="11"/>
      <c r="L13" s="11"/>
      <c r="M13" s="11"/>
      <c r="O13" s="11"/>
      <c r="P13" s="11"/>
    </row>
    <row r="14" spans="1:16" ht="18" x14ac:dyDescent="0.4">
      <c r="A14" s="8"/>
      <c r="B14" s="35"/>
      <c r="J14" s="11"/>
      <c r="K14" s="11"/>
      <c r="L14" s="11"/>
      <c r="M14" s="11"/>
      <c r="O14" s="11"/>
      <c r="P14" s="11"/>
    </row>
    <row r="15" spans="1:16" ht="18" x14ac:dyDescent="0.4">
      <c r="I15" s="6" t="s">
        <v>26</v>
      </c>
    </row>
    <row r="16" spans="1:16" ht="18" x14ac:dyDescent="0.4">
      <c r="A16" s="37" t="s">
        <v>18</v>
      </c>
      <c r="B16" s="37" t="s">
        <v>2</v>
      </c>
      <c r="C16" s="37" t="s">
        <v>3</v>
      </c>
      <c r="D16" s="37" t="s">
        <v>4</v>
      </c>
      <c r="E16" s="37" t="s">
        <v>5</v>
      </c>
      <c r="F16" s="37" t="s">
        <v>6</v>
      </c>
      <c r="G16" s="37" t="s">
        <v>7</v>
      </c>
      <c r="H16" s="37" t="s">
        <v>27</v>
      </c>
      <c r="I16" s="37" t="s">
        <v>28</v>
      </c>
    </row>
    <row r="17" spans="1:9" ht="18" x14ac:dyDescent="0.35">
      <c r="A17" s="65">
        <v>43131</v>
      </c>
      <c r="B17" s="33">
        <f>IF(A17&gt;$B$3,"",'Index Returns'!B2*'SAA with CME'!C$17)</f>
        <v>1.4926628601605037E-2</v>
      </c>
      <c r="C17" s="33">
        <f>IF(B17&gt;$B$3,"",'Index Returns'!C2*'SAA with CME'!D$17)</f>
        <v>4.8460328911913361E-3</v>
      </c>
      <c r="D17" s="33">
        <f>IF(C17&gt;$B$3,"",'Index Returns'!D2*'SAA with CME'!E$17)</f>
        <v>8.283099348613954E-3</v>
      </c>
      <c r="E17" s="33">
        <f>IF(D17&gt;$B$3,"",'Index Returns'!E2*'SAA with CME'!F$17)</f>
        <v>1.4943163276727794E-2</v>
      </c>
      <c r="F17" s="33">
        <f>IF(E17&gt;$B$3,"",'Index Returns'!F2*'SAA with CME'!G$17)</f>
        <v>-2.387200985490543E-4</v>
      </c>
      <c r="G17" s="33">
        <f>IF(F17&gt;$B$3,"",'Index Returns'!G2*'SAA with CME'!H$17)</f>
        <v>-7.527980992320496E-4</v>
      </c>
      <c r="H17" s="33">
        <f t="shared" ref="H17:H29" si="0">IF(A17&gt;$B$3,"",SUM(B17:G17))</f>
        <v>4.2007405920357017E-2</v>
      </c>
      <c r="I17" s="38">
        <f t="shared" ref="I17:I29" si="1">IF(A17&gt;$B$3,"",(MIN(H17-$B$11,0)^2))</f>
        <v>0</v>
      </c>
    </row>
    <row r="18" spans="1:9" ht="18" x14ac:dyDescent="0.35">
      <c r="A18" s="65">
        <v>43159</v>
      </c>
      <c r="B18" s="33">
        <f>IF(A18&gt;$B$3,"",'Index Returns'!B3*'SAA with CME'!C$17)</f>
        <v>-1.0296659156791472E-2</v>
      </c>
      <c r="C18" s="33">
        <f>IF(B18&gt;$B$3,"",'Index Returns'!C3*'SAA with CME'!D$17)</f>
        <v>-3.7155503597122302E-3</v>
      </c>
      <c r="D18" s="33">
        <f>IF(C18&gt;$B$3,"",'Index Returns'!D3*'SAA with CME'!E$17)</f>
        <v>-6.3611126209803664E-3</v>
      </c>
      <c r="E18" s="33">
        <f>IF(D18&gt;$B$3,"",'Index Returns'!E3*'SAA with CME'!F$17)</f>
        <v>2.1121092841799992E-2</v>
      </c>
      <c r="F18" s="33">
        <f>IF(E18&gt;$B$3,"",'Index Returns'!F3*'SAA with CME'!G$17)</f>
        <v>-1.7245749636891499E-3</v>
      </c>
      <c r="G18" s="33">
        <f>IF(F18&gt;$B$3,"",'Index Returns'!G3*'SAA with CME'!H$17)</f>
        <v>-5.2868836144315239E-3</v>
      </c>
      <c r="H18" s="33">
        <f t="shared" si="0"/>
        <v>-6.2636878738047503E-3</v>
      </c>
      <c r="I18" s="38">
        <f t="shared" si="1"/>
        <v>8.8587711584927199E-4</v>
      </c>
    </row>
    <row r="19" spans="1:9" ht="18" x14ac:dyDescent="0.35">
      <c r="A19" s="65">
        <v>43189</v>
      </c>
      <c r="B19" s="33">
        <f>IF(A19&gt;$B$3,"",'Index Returns'!B4*'SAA with CME'!C$17)</f>
        <v>8.2074284424090262E-4</v>
      </c>
      <c r="C19" s="33">
        <f>IF(B19&gt;$B$3,"",'Index Returns'!C4*'SAA with CME'!D$17)</f>
        <v>-1.1658812300966157E-3</v>
      </c>
      <c r="D19" s="33">
        <f>IF(C19&gt;$B$3,"",'Index Returns'!D4*'SAA with CME'!E$17)</f>
        <v>-1.9824724397053697E-3</v>
      </c>
      <c r="E19" s="33">
        <f>IF(D19&gt;$B$3,"",'Index Returns'!E4*'SAA with CME'!F$17)</f>
        <v>-1.1519928467668811E-3</v>
      </c>
      <c r="F19" s="33">
        <f>IF(E19&gt;$B$3,"",'Index Returns'!F4*'SAA with CME'!G$17)</f>
        <v>-4.778198554641961E-4</v>
      </c>
      <c r="G19" s="33">
        <f>IF(F19&gt;$B$3,"",'Index Returns'!G4*'SAA with CME'!H$17)</f>
        <v>6.8646035241346024E-4</v>
      </c>
      <c r="H19" s="33">
        <f t="shared" si="0"/>
        <v>-3.2709631753787003E-3</v>
      </c>
      <c r="I19" s="38">
        <f t="shared" si="1"/>
        <v>7.1668446933748238E-4</v>
      </c>
    </row>
    <row r="20" spans="1:9" ht="18" x14ac:dyDescent="0.35">
      <c r="A20" s="65">
        <v>43220</v>
      </c>
      <c r="B20" s="33">
        <f>IF(A20&gt;$B$3,"",'Index Returns'!B5*'SAA with CME'!C$17)</f>
        <v>-5.6346549782799399E-3</v>
      </c>
      <c r="C20" s="33">
        <f>IF(B20&gt;$B$3,"",'Index Returns'!C5*'SAA with CME'!D$17)</f>
        <v>6.5936006118937974E-4</v>
      </c>
      <c r="D20" s="33">
        <f>IF(C20&gt;$B$3,"",'Index Returns'!D5*'SAA with CME'!E$17)</f>
        <v>1.1238747892949065E-3</v>
      </c>
      <c r="E20" s="33">
        <f>IF(D20&gt;$B$3,"",'Index Returns'!E5*'SAA with CME'!F$17)</f>
        <v>1.8774701156907109E-3</v>
      </c>
      <c r="F20" s="33">
        <f>IF(E20&gt;$B$3,"",'Index Returns'!F5*'SAA with CME'!G$17)</f>
        <v>5.5783421938290985E-5</v>
      </c>
      <c r="G20" s="33">
        <f>IF(F20&gt;$B$3,"",'Index Returns'!G5*'SAA with CME'!H$17)</f>
        <v>1.0842501694914668E-3</v>
      </c>
      <c r="H20" s="33">
        <f t="shared" si="0"/>
        <v>-8.3391642067518509E-4</v>
      </c>
      <c r="I20" s="38">
        <f t="shared" si="1"/>
        <v>5.9213948836840549E-4</v>
      </c>
    </row>
    <row r="21" spans="1:9" ht="18" x14ac:dyDescent="0.35">
      <c r="A21" s="65">
        <v>43251</v>
      </c>
      <c r="B21" s="33">
        <f>IF(A21&gt;$B$3,"",'Index Returns'!B6*'SAA with CME'!C$17)</f>
        <v>6.5678023120977263E-3</v>
      </c>
      <c r="C21" s="33">
        <f>IF(B21&gt;$B$3,"",'Index Returns'!C6*'SAA with CME'!D$17)</f>
        <v>6.6551801415288788E-4</v>
      </c>
      <c r="D21" s="33">
        <f>IF(C21&gt;$B$3,"",'Index Returns'!D6*'SAA with CME'!E$17)</f>
        <v>1.1245944607453007E-3</v>
      </c>
      <c r="E21" s="33">
        <f>IF(D21&gt;$B$3,"",'Index Returns'!E6*'SAA with CME'!F$17)</f>
        <v>7.5804864208010025E-3</v>
      </c>
      <c r="F21" s="33">
        <f>IF(E21&gt;$B$3,"",'Index Returns'!F6*'SAA with CME'!G$17)</f>
        <v>-7.68914709824932E-4</v>
      </c>
      <c r="G21" s="33">
        <f>IF(F21&gt;$B$3,"",'Index Returns'!G6*'SAA with CME'!H$17)</f>
        <v>2.1958016183356095E-3</v>
      </c>
      <c r="H21" s="33">
        <f t="shared" si="0"/>
        <v>1.7365288116307595E-2</v>
      </c>
      <c r="I21" s="38">
        <f t="shared" si="1"/>
        <v>3.7634689895916815E-5</v>
      </c>
    </row>
    <row r="22" spans="1:9" ht="18" x14ac:dyDescent="0.35">
      <c r="A22" s="65">
        <v>43280</v>
      </c>
      <c r="B22" s="33">
        <f>IF(A22&gt;$B$3,"",'Index Returns'!B7*'SAA with CME'!C$17)</f>
        <v>7.471744498048204E-3</v>
      </c>
      <c r="C22" s="33">
        <f>IF(B22&gt;$B$3,"",'Index Returns'!C7*'SAA with CME'!D$17)</f>
        <v>-2.1363402330665648E-3</v>
      </c>
      <c r="D22" s="33">
        <f>IF(C22&gt;$B$3,"",'Index Returns'!D7*'SAA with CME'!E$17)</f>
        <v>-3.6375456999787844E-3</v>
      </c>
      <c r="E22" s="33">
        <f>IF(D22&gt;$B$3,"",'Index Returns'!E7*'SAA with CME'!F$17)</f>
        <v>-4.3998961997828408E-3</v>
      </c>
      <c r="F22" s="33">
        <f>IF(E22&gt;$B$3,"",'Index Returns'!F7*'SAA with CME'!G$17)</f>
        <v>1.1626138669614992E-4</v>
      </c>
      <c r="G22" s="33">
        <f>IF(F22&gt;$B$3,"",'Index Returns'!G7*'SAA with CME'!H$17)</f>
        <v>2.579093099328304E-3</v>
      </c>
      <c r="H22" s="33">
        <f t="shared" si="0"/>
        <v>-6.6831487555321471E-6</v>
      </c>
      <c r="I22" s="38">
        <f t="shared" si="1"/>
        <v>5.5256415265598732E-4</v>
      </c>
    </row>
    <row r="23" spans="1:9" ht="18" x14ac:dyDescent="0.35">
      <c r="A23" s="65">
        <v>43312</v>
      </c>
      <c r="B23" s="33">
        <f>IF(A23&gt;$B$3,"",'Index Returns'!B8*'SAA with CME'!C$17)</f>
        <v>4.191492097835669E-3</v>
      </c>
      <c r="C23" s="33">
        <f>IF(B23&gt;$B$3,"",'Index Returns'!C8*'SAA with CME'!D$17)</f>
        <v>-1.5943986013986023E-3</v>
      </c>
      <c r="D23" s="33">
        <f>IF(C23&gt;$B$3,"",'Index Returns'!D8*'SAA with CME'!E$17)</f>
        <v>-2.7632609894392103E-3</v>
      </c>
      <c r="E23" s="33">
        <f>IF(D23&gt;$B$3,"",'Index Returns'!E8*'SAA with CME'!F$17)</f>
        <v>-1.6026638378101436E-3</v>
      </c>
      <c r="F23" s="33">
        <f>IF(E23&gt;$B$3,"",'Index Returns'!F8*'SAA with CME'!G$17)</f>
        <v>6.5594834696110747E-4</v>
      </c>
      <c r="G23" s="33">
        <f>IF(F23&gt;$B$3,"",'Index Returns'!G8*'SAA with CME'!H$17)</f>
        <v>1.6301113377244327E-3</v>
      </c>
      <c r="H23" s="33">
        <f t="shared" si="0"/>
        <v>5.1722835387325297E-4</v>
      </c>
      <c r="I23" s="38">
        <f t="shared" si="1"/>
        <v>5.282077925380076E-4</v>
      </c>
    </row>
    <row r="24" spans="1:9" ht="18" x14ac:dyDescent="0.35">
      <c r="A24" s="65">
        <v>43343</v>
      </c>
      <c r="B24" s="33">
        <f>IF(A24&gt;$B$3,"",'Index Returns'!B9*'SAA with CME'!C$17)</f>
        <v>7.0728601529258398E-3</v>
      </c>
      <c r="C24" s="33">
        <f>IF(B24&gt;$B$3,"",'Index Returns'!C9*'SAA with CME'!D$17)</f>
        <v>-5.9675164752774005E-4</v>
      </c>
      <c r="D24" s="33">
        <f>IF(C24&gt;$B$3,"",'Index Returns'!D9*'SAA with CME'!E$17)</f>
        <v>-1.0215458406442098E-3</v>
      </c>
      <c r="E24" s="33">
        <f>IF(D24&gt;$B$3,"",'Index Returns'!E9*'SAA with CME'!F$17)</f>
        <v>5.6708812523719317E-6</v>
      </c>
      <c r="F24" s="33">
        <f>IF(E24&gt;$B$3,"",'Index Returns'!F9*'SAA with CME'!G$17)</f>
        <v>6.4836119979054139E-4</v>
      </c>
      <c r="G24" s="33">
        <f>IF(F24&gt;$B$3,"",'Index Returns'!G9*'SAA with CME'!H$17)</f>
        <v>1.3213226837170372E-3</v>
      </c>
      <c r="H24" s="33">
        <f t="shared" si="0"/>
        <v>7.4299174295138406E-3</v>
      </c>
      <c r="I24" s="38">
        <f t="shared" si="1"/>
        <v>2.5824755382224297E-4</v>
      </c>
    </row>
    <row r="25" spans="1:9" ht="18" x14ac:dyDescent="0.35">
      <c r="A25" s="65">
        <v>43371</v>
      </c>
      <c r="B25" s="33">
        <f>IF(A25&gt;$B$3,"",'Index Returns'!B10*'SAA with CME'!C$17)</f>
        <v>4.7076171154710302E-3</v>
      </c>
      <c r="C25" s="33">
        <f>IF(B25&gt;$B$3,"",'Index Returns'!C10*'SAA with CME'!D$17)</f>
        <v>-3.186077500864567E-4</v>
      </c>
      <c r="D25" s="33">
        <f>IF(C25&gt;$B$3,"",'Index Returns'!D10*'SAA with CME'!E$17)</f>
        <v>-5.4617437547554689E-4</v>
      </c>
      <c r="E25" s="33">
        <f>IF(D25&gt;$B$3,"",'Index Returns'!E10*'SAA with CME'!F$17)</f>
        <v>7.9568599808212456E-3</v>
      </c>
      <c r="F25" s="33">
        <f>IF(E25&gt;$B$3,"",'Index Returns'!F10*'SAA with CME'!G$17)</f>
        <v>-3.2318034267610684E-4</v>
      </c>
      <c r="G25" s="33">
        <f>IF(F25&gt;$B$3,"",'Index Returns'!G10*'SAA with CME'!H$17)</f>
        <v>-5.8463042097383418E-4</v>
      </c>
      <c r="H25" s="33">
        <f t="shared" si="0"/>
        <v>1.089188420708033E-2</v>
      </c>
      <c r="I25" s="38">
        <f t="shared" si="1"/>
        <v>1.5896458384767042E-4</v>
      </c>
    </row>
    <row r="26" spans="1:9" ht="18" x14ac:dyDescent="0.35">
      <c r="A26" s="65">
        <v>43404</v>
      </c>
      <c r="B26" s="33">
        <f>IF(A26&gt;$B$3,"",'Index Returns'!B11*'SAA with CME'!C$17)</f>
        <v>-1.540912943785732E-2</v>
      </c>
      <c r="C26" s="33">
        <f>IF(B26&gt;$B$3,"",'Index Returns'!C11*'SAA with CME'!D$17)</f>
        <v>-5.0317545795630081E-3</v>
      </c>
      <c r="D26" s="33">
        <f>IF(C26&gt;$B$3,"",'Index Returns'!D11*'SAA with CME'!E$17)</f>
        <v>-8.5667173203909999E-3</v>
      </c>
      <c r="E26" s="33">
        <f>IF(D26&gt;$B$3,"",'Index Returns'!E11*'SAA with CME'!F$17)</f>
        <v>9.7588615867376903E-3</v>
      </c>
      <c r="F26" s="33">
        <f>IF(E26&gt;$B$3,"",'Index Returns'!F11*'SAA with CME'!G$17)</f>
        <v>-8.0948277797958748E-4</v>
      </c>
      <c r="G26" s="33">
        <f>IF(F26&gt;$B$3,"",'Index Returns'!G11*'SAA with CME'!H$17)</f>
        <v>-3.7030481474632109E-3</v>
      </c>
      <c r="H26" s="33">
        <f t="shared" si="0"/>
        <v>-2.3761270676516438E-2</v>
      </c>
      <c r="I26" s="38">
        <f t="shared" si="1"/>
        <v>2.2336277059589521E-3</v>
      </c>
    </row>
    <row r="27" spans="1:9" ht="18" x14ac:dyDescent="0.35">
      <c r="A27" s="65">
        <v>43434</v>
      </c>
      <c r="B27" s="33">
        <f>IF(A27&gt;$B$3,"",'Index Returns'!B12*'SAA with CME'!C$17)</f>
        <v>-7.6170774148298483E-3</v>
      </c>
      <c r="C27" s="33">
        <f>IF(B27&gt;$B$3,"",'Index Returns'!C12*'SAA with CME'!D$17)</f>
        <v>-2.4771692233434232E-3</v>
      </c>
      <c r="D27" s="33">
        <f>IF(C27&gt;$B$3,"",'Index Returns'!D12*'SAA with CME'!E$17)</f>
        <v>-4.2811271038604029E-3</v>
      </c>
      <c r="E27" s="33">
        <f>IF(D27&gt;$B$3,"",'Index Returns'!E12*'SAA with CME'!F$17)</f>
        <v>-2.2356840395207031E-3</v>
      </c>
      <c r="F27" s="33">
        <f>IF(E27&gt;$B$3,"",'Index Returns'!F12*'SAA with CME'!G$17)</f>
        <v>-5.4872829138057197E-4</v>
      </c>
      <c r="G27" s="33">
        <f>IF(F27&gt;$B$3,"",'Index Returns'!G12*'SAA with CME'!H$17)</f>
        <v>2.031523266677914E-3</v>
      </c>
      <c r="H27" s="33">
        <f t="shared" si="0"/>
        <v>-1.5128262806257035E-2</v>
      </c>
      <c r="I27" s="38">
        <f t="shared" si="1"/>
        <v>1.4921426874292608E-3</v>
      </c>
    </row>
    <row r="28" spans="1:9" ht="18" x14ac:dyDescent="0.35">
      <c r="A28" s="65">
        <v>43465</v>
      </c>
      <c r="B28" s="33">
        <f>IF(A28&gt;$B$3,"",'Index Returns'!B13*'SAA with CME'!C$17)</f>
        <v>-1.7577139521845316E-2</v>
      </c>
      <c r="C28" s="33">
        <f>IF(B28&gt;$B$3,"",'Index Returns'!C13*'SAA with CME'!D$17)</f>
        <v>-4.8228644620873853E-3</v>
      </c>
      <c r="D28" s="33">
        <f>IF(C28&gt;$B$3,"",'Index Returns'!D13*'SAA with CME'!E$17)</f>
        <v>-8.2692751507322144E-3</v>
      </c>
      <c r="E28" s="33">
        <f>IF(D28&gt;$B$3,"",'Index Returns'!E13*'SAA with CME'!F$17)</f>
        <v>-1.8108228177665699E-2</v>
      </c>
      <c r="F28" s="33">
        <f>IF(E28&gt;$B$3,"",'Index Returns'!F13*'SAA with CME'!G$17)</f>
        <v>8.777949998828383E-4</v>
      </c>
      <c r="G28" s="33">
        <f>IF(F28&gt;$B$3,"",'Index Returns'!G13*'SAA with CME'!H$17)</f>
        <v>-1.8912625191269195E-3</v>
      </c>
      <c r="H28" s="33">
        <f t="shared" si="0"/>
        <v>-4.97909748315747E-2</v>
      </c>
      <c r="I28" s="38">
        <f t="shared" si="1"/>
        <v>5.3715669917625171E-3</v>
      </c>
    </row>
    <row r="29" spans="1:9" ht="18" x14ac:dyDescent="0.35">
      <c r="A29" s="65">
        <v>43496</v>
      </c>
      <c r="B29" s="33">
        <f>IF(A29&gt;$B$3,"",'Index Returns'!B14*'SAA with CME'!C$17)</f>
        <v>3.5333586882724042E-3</v>
      </c>
      <c r="C29" s="33">
        <f>IF(B29&gt;$B$3,"",'Index Returns'!C14*'SAA with CME'!D$17)</f>
        <v>2.3572824937548643E-3</v>
      </c>
      <c r="D29" s="33">
        <f>IF(C29&gt;$B$3,"",'Index Returns'!D14*'SAA with CME'!E$17)</f>
        <v>4.0280696459449265E-3</v>
      </c>
      <c r="E29" s="33">
        <f>IF(D29&gt;$B$3,"",'Index Returns'!E14*'SAA with CME'!F$17)</f>
        <v>-8.3176914043314263E-3</v>
      </c>
      <c r="F29" s="33">
        <f>IF(E29&gt;$B$3,"",'Index Returns'!F14*'SAA with CME'!G$17)</f>
        <v>1.1654969086754828E-3</v>
      </c>
      <c r="G29" s="33">
        <f>IF(F29&gt;$B$3,"",'Index Returns'!G14*'SAA with CME'!H$17)</f>
        <v>1.8205844557513604E-3</v>
      </c>
      <c r="H29" s="33">
        <f t="shared" si="0"/>
        <v>4.5871007880676114E-3</v>
      </c>
      <c r="I29" s="38">
        <f t="shared" si="1"/>
        <v>3.5769775660071277E-4</v>
      </c>
    </row>
    <row r="30" spans="1:9" ht="18" x14ac:dyDescent="0.35">
      <c r="A30" s="65">
        <v>43524</v>
      </c>
      <c r="B30" s="33">
        <f>IF(A30&gt;$B$3,"",'Index Returns'!B15*'SAA with CME'!C$17)</f>
        <v>1.9917652986588798E-2</v>
      </c>
      <c r="C30" s="33">
        <f>IF(B30&gt;$B$3,"",'Index Returns'!C15*'SAA with CME'!D$17)</f>
        <v>3.9657916360968572E-3</v>
      </c>
      <c r="D30" s="33">
        <f>IF(C30&gt;$B$3,"",'Index Returns'!D15*'SAA with CME'!E$17)</f>
        <v>6.8731871712843853E-3</v>
      </c>
      <c r="E30" s="33">
        <f>IF(D30&gt;$B$3,"",'Index Returns'!E15*'SAA with CME'!F$17)</f>
        <v>-2.7579418267898639E-3</v>
      </c>
      <c r="F30" s="33">
        <f>IF(E30&gt;$B$3,"",'Index Returns'!F15*'SAA with CME'!G$17)</f>
        <v>1.7772019159698631E-3</v>
      </c>
      <c r="G30" s="33">
        <f>IF(F30&gt;$B$3,"",'Index Returns'!G15*'SAA with CME'!H$17)</f>
        <v>6.1916370528644861E-3</v>
      </c>
      <c r="H30" s="33">
        <f t="shared" ref="H30:H85" si="2">IF(A30&gt;$B$3,"",SUM(B30:G30))</f>
        <v>3.5967528936014521E-2</v>
      </c>
      <c r="I30" s="38">
        <f t="shared" ref="I30:I85" si="3">IF(A30&gt;$B$3,"",(MIN(H30-$B$11,0)^2))</f>
        <v>0</v>
      </c>
    </row>
    <row r="31" spans="1:9" ht="18" x14ac:dyDescent="0.35">
      <c r="A31" s="65">
        <v>43553</v>
      </c>
      <c r="B31" s="33">
        <f>IF(A31&gt;$B$3,"",'Index Returns'!B16*'SAA with CME'!C$17)</f>
        <v>5.1388255448801008E-3</v>
      </c>
      <c r="C31" s="33">
        <f>IF(B31&gt;$B$3,"",'Index Returns'!C16*'SAA with CME'!D$17)</f>
        <v>1.5250953079988232E-3</v>
      </c>
      <c r="D31" s="33">
        <f>IF(C31&gt;$B$3,"",'Index Returns'!D16*'SAA with CME'!E$17)</f>
        <v>2.646281726458543E-3</v>
      </c>
      <c r="E31" s="33">
        <f>IF(D31&gt;$B$3,"",'Index Returns'!E16*'SAA with CME'!F$17)</f>
        <v>-7.8776350824918441E-3</v>
      </c>
      <c r="F31" s="33">
        <f>IF(E31&gt;$B$3,"",'Index Returns'!F16*'SAA with CME'!G$17)</f>
        <v>1.1312778058509933E-3</v>
      </c>
      <c r="G31" s="33">
        <f>IF(F31&gt;$B$3,"",'Index Returns'!G16*'SAA with CME'!H$17)</f>
        <v>1.0997066337557623E-3</v>
      </c>
      <c r="H31" s="33">
        <f t="shared" si="2"/>
        <v>3.6635519364523784E-3</v>
      </c>
      <c r="I31" s="38">
        <f t="shared" si="3"/>
        <v>3.9348467177782216E-4</v>
      </c>
    </row>
    <row r="32" spans="1:9" ht="18" x14ac:dyDescent="0.35">
      <c r="A32" s="65">
        <v>43585</v>
      </c>
      <c r="B32" s="33" t="str">
        <f>IF(A32&gt;$B$3,"",'Index Returns'!B17*'SAA with CME'!C$17)</f>
        <v/>
      </c>
      <c r="C32" s="33" t="str">
        <f>IF(B32&gt;$B$3,"",'Index Returns'!C17*'SAA with CME'!D$17)</f>
        <v/>
      </c>
      <c r="D32" s="33" t="str">
        <f>IF(C32&gt;$B$3,"",'Index Returns'!D17*'SAA with CME'!E$17)</f>
        <v/>
      </c>
      <c r="E32" s="33" t="str">
        <f>IF(D32&gt;$B$3,"",'Index Returns'!E17*'SAA with CME'!F$17)</f>
        <v/>
      </c>
      <c r="F32" s="33" t="str">
        <f>IF(E32&gt;$B$3,"",'Index Returns'!F17*'SAA with CME'!G$17)</f>
        <v/>
      </c>
      <c r="G32" s="33" t="str">
        <f>IF(F32&gt;$B$3,"",'Index Returns'!G17*'SAA with CME'!H$17)</f>
        <v/>
      </c>
      <c r="H32" s="33" t="str">
        <f t="shared" si="2"/>
        <v/>
      </c>
      <c r="I32" s="38" t="str">
        <f t="shared" si="3"/>
        <v/>
      </c>
    </row>
    <row r="33" spans="1:9" ht="18" x14ac:dyDescent="0.35">
      <c r="A33" s="65">
        <v>43616</v>
      </c>
      <c r="B33" s="33" t="str">
        <f>IF(A33&gt;$B$3,"",'Index Returns'!B18*'SAA with CME'!C$17)</f>
        <v/>
      </c>
      <c r="C33" s="33" t="str">
        <f>IF(B33&gt;$B$3,"",'Index Returns'!C18*'SAA with CME'!D$17)</f>
        <v/>
      </c>
      <c r="D33" s="33" t="str">
        <f>IF(C33&gt;$B$3,"",'Index Returns'!D18*'SAA with CME'!E$17)</f>
        <v/>
      </c>
      <c r="E33" s="33" t="str">
        <f>IF(D33&gt;$B$3,"",'Index Returns'!E18*'SAA with CME'!F$17)</f>
        <v/>
      </c>
      <c r="F33" s="33" t="str">
        <f>IF(E33&gt;$B$3,"",'Index Returns'!F18*'SAA with CME'!G$17)</f>
        <v/>
      </c>
      <c r="G33" s="33" t="str">
        <f>IF(F33&gt;$B$3,"",'Index Returns'!G18*'SAA with CME'!H$17)</f>
        <v/>
      </c>
      <c r="H33" s="33" t="str">
        <f t="shared" si="2"/>
        <v/>
      </c>
      <c r="I33" s="38" t="str">
        <f t="shared" si="3"/>
        <v/>
      </c>
    </row>
    <row r="34" spans="1:9" ht="18" x14ac:dyDescent="0.35">
      <c r="A34" s="65">
        <v>43644</v>
      </c>
      <c r="B34" s="33" t="str">
        <f>IF(A34&gt;$B$3,"",'Index Returns'!B19*'SAA with CME'!C$17)</f>
        <v/>
      </c>
      <c r="C34" s="33" t="str">
        <f>IF(B34&gt;$B$3,"",'Index Returns'!C19*'SAA with CME'!D$17)</f>
        <v/>
      </c>
      <c r="D34" s="33" t="str">
        <f>IF(C34&gt;$B$3,"",'Index Returns'!D19*'SAA with CME'!E$17)</f>
        <v/>
      </c>
      <c r="E34" s="33" t="str">
        <f>IF(D34&gt;$B$3,"",'Index Returns'!E19*'SAA with CME'!F$17)</f>
        <v/>
      </c>
      <c r="F34" s="33" t="str">
        <f>IF(E34&gt;$B$3,"",'Index Returns'!F19*'SAA with CME'!G$17)</f>
        <v/>
      </c>
      <c r="G34" s="33" t="str">
        <f>IF(F34&gt;$B$3,"",'Index Returns'!G19*'SAA with CME'!H$17)</f>
        <v/>
      </c>
      <c r="H34" s="33" t="str">
        <f t="shared" si="2"/>
        <v/>
      </c>
      <c r="I34" s="38" t="str">
        <f t="shared" si="3"/>
        <v/>
      </c>
    </row>
    <row r="35" spans="1:9" ht="18" x14ac:dyDescent="0.35">
      <c r="A35" s="65">
        <v>43677</v>
      </c>
      <c r="B35" s="33" t="str">
        <f>IF(A35&gt;$B$3,"",'Index Returns'!B20*'SAA with CME'!C$17)</f>
        <v/>
      </c>
      <c r="C35" s="33" t="str">
        <f>IF(B35&gt;$B$3,"",'Index Returns'!C20*'SAA with CME'!D$17)</f>
        <v/>
      </c>
      <c r="D35" s="33" t="str">
        <f>IF(C35&gt;$B$3,"",'Index Returns'!D20*'SAA with CME'!E$17)</f>
        <v/>
      </c>
      <c r="E35" s="33" t="str">
        <f>IF(D35&gt;$B$3,"",'Index Returns'!E20*'SAA with CME'!F$17)</f>
        <v/>
      </c>
      <c r="F35" s="33" t="str">
        <f>IF(E35&gt;$B$3,"",'Index Returns'!F20*'SAA with CME'!G$17)</f>
        <v/>
      </c>
      <c r="G35" s="33" t="str">
        <f>IF(F35&gt;$B$3,"",'Index Returns'!G20*'SAA with CME'!H$17)</f>
        <v/>
      </c>
      <c r="H35" s="33" t="str">
        <f t="shared" si="2"/>
        <v/>
      </c>
      <c r="I35" s="38" t="str">
        <f t="shared" si="3"/>
        <v/>
      </c>
    </row>
    <row r="36" spans="1:9" ht="18" x14ac:dyDescent="0.35">
      <c r="A36" s="65">
        <v>43707</v>
      </c>
      <c r="B36" s="33" t="str">
        <f>IF(A36&gt;$B$3,"",'Index Returns'!B21*'SAA with CME'!C$17)</f>
        <v/>
      </c>
      <c r="C36" s="33" t="str">
        <f>IF(B36&gt;$B$3,"",'Index Returns'!C21*'SAA with CME'!D$17)</f>
        <v/>
      </c>
      <c r="D36" s="33" t="str">
        <f>IF(C36&gt;$B$3,"",'Index Returns'!D21*'SAA with CME'!E$17)</f>
        <v/>
      </c>
      <c r="E36" s="33" t="str">
        <f>IF(D36&gt;$B$3,"",'Index Returns'!E21*'SAA with CME'!F$17)</f>
        <v/>
      </c>
      <c r="F36" s="33" t="str">
        <f>IF(E36&gt;$B$3,"",'Index Returns'!F21*'SAA with CME'!G$17)</f>
        <v/>
      </c>
      <c r="G36" s="33" t="str">
        <f>IF(F36&gt;$B$3,"",'Index Returns'!G21*'SAA with CME'!H$17)</f>
        <v/>
      </c>
      <c r="H36" s="33" t="str">
        <f t="shared" si="2"/>
        <v/>
      </c>
      <c r="I36" s="38" t="str">
        <f t="shared" si="3"/>
        <v/>
      </c>
    </row>
    <row r="37" spans="1:9" ht="18" x14ac:dyDescent="0.35">
      <c r="A37" s="65">
        <v>43738</v>
      </c>
      <c r="B37" s="33" t="str">
        <f>IF(A37&gt;$B$3,"",'Index Returns'!B22*'SAA with CME'!C$17)</f>
        <v/>
      </c>
      <c r="C37" s="33" t="str">
        <f>IF(B37&gt;$B$3,"",'Index Returns'!C22*'SAA with CME'!D$17)</f>
        <v/>
      </c>
      <c r="D37" s="33" t="str">
        <f>IF(C37&gt;$B$3,"",'Index Returns'!D22*'SAA with CME'!E$17)</f>
        <v/>
      </c>
      <c r="E37" s="33" t="str">
        <f>IF(D37&gt;$B$3,"",'Index Returns'!E22*'SAA with CME'!F$17)</f>
        <v/>
      </c>
      <c r="F37" s="33" t="str">
        <f>IF(E37&gt;$B$3,"",'Index Returns'!F22*'SAA with CME'!G$17)</f>
        <v/>
      </c>
      <c r="G37" s="33" t="str">
        <f>IF(F37&gt;$B$3,"",'Index Returns'!G22*'SAA with CME'!H$17)</f>
        <v/>
      </c>
      <c r="H37" s="33" t="str">
        <f t="shared" si="2"/>
        <v/>
      </c>
      <c r="I37" s="38" t="str">
        <f t="shared" si="3"/>
        <v/>
      </c>
    </row>
    <row r="38" spans="1:9" ht="18" x14ac:dyDescent="0.35">
      <c r="A38" s="65">
        <v>43769</v>
      </c>
      <c r="B38" s="33" t="str">
        <f>IF(A38&gt;$B$3,"",'Index Returns'!B23*'SAA with CME'!C$17)</f>
        <v/>
      </c>
      <c r="C38" s="33" t="str">
        <f>IF(B38&gt;$B$3,"",'Index Returns'!C23*'SAA with CME'!D$17)</f>
        <v/>
      </c>
      <c r="D38" s="33" t="str">
        <f>IF(C38&gt;$B$3,"",'Index Returns'!D23*'SAA with CME'!E$17)</f>
        <v/>
      </c>
      <c r="E38" s="33" t="str">
        <f>IF(D38&gt;$B$3,"",'Index Returns'!E23*'SAA with CME'!F$17)</f>
        <v/>
      </c>
      <c r="F38" s="33" t="str">
        <f>IF(E38&gt;$B$3,"",'Index Returns'!F23*'SAA with CME'!G$17)</f>
        <v/>
      </c>
      <c r="G38" s="33" t="str">
        <f>IF(F38&gt;$B$3,"",'Index Returns'!G23*'SAA with CME'!H$17)</f>
        <v/>
      </c>
      <c r="H38" s="33" t="str">
        <f t="shared" si="2"/>
        <v/>
      </c>
      <c r="I38" s="38" t="str">
        <f t="shared" si="3"/>
        <v/>
      </c>
    </row>
    <row r="39" spans="1:9" ht="18" x14ac:dyDescent="0.35">
      <c r="A39" s="65">
        <v>43798</v>
      </c>
      <c r="B39" s="33" t="str">
        <f>IF(A39&gt;$B$3,"",'Index Returns'!B24*'SAA with CME'!C$17)</f>
        <v/>
      </c>
      <c r="C39" s="33" t="str">
        <f>IF(B39&gt;$B$3,"",'Index Returns'!C24*'SAA with CME'!D$17)</f>
        <v/>
      </c>
      <c r="D39" s="33" t="str">
        <f>IF(C39&gt;$B$3,"",'Index Returns'!D24*'SAA with CME'!E$17)</f>
        <v/>
      </c>
      <c r="E39" s="33" t="str">
        <f>IF(D39&gt;$B$3,"",'Index Returns'!E24*'SAA with CME'!F$17)</f>
        <v/>
      </c>
      <c r="F39" s="33" t="str">
        <f>IF(E39&gt;$B$3,"",'Index Returns'!F24*'SAA with CME'!G$17)</f>
        <v/>
      </c>
      <c r="G39" s="33" t="str">
        <f>IF(F39&gt;$B$3,"",'Index Returns'!G24*'SAA with CME'!H$17)</f>
        <v/>
      </c>
      <c r="H39" s="33" t="str">
        <f t="shared" si="2"/>
        <v/>
      </c>
      <c r="I39" s="38" t="str">
        <f t="shared" si="3"/>
        <v/>
      </c>
    </row>
    <row r="40" spans="1:9" ht="18" x14ac:dyDescent="0.35">
      <c r="A40" s="65">
        <v>43830</v>
      </c>
      <c r="B40" s="33" t="str">
        <f>IF(A40&gt;$B$3,"",'Index Returns'!B25*'SAA with CME'!C$17)</f>
        <v/>
      </c>
      <c r="C40" s="33" t="str">
        <f>IF(B40&gt;$B$3,"",'Index Returns'!C25*'SAA with CME'!D$17)</f>
        <v/>
      </c>
      <c r="D40" s="33" t="str">
        <f>IF(C40&gt;$B$3,"",'Index Returns'!D25*'SAA with CME'!E$17)</f>
        <v/>
      </c>
      <c r="E40" s="33" t="str">
        <f>IF(D40&gt;$B$3,"",'Index Returns'!E25*'SAA with CME'!F$17)</f>
        <v/>
      </c>
      <c r="F40" s="33" t="str">
        <f>IF(E40&gt;$B$3,"",'Index Returns'!F25*'SAA with CME'!G$17)</f>
        <v/>
      </c>
      <c r="G40" s="33" t="str">
        <f>IF(F40&gt;$B$3,"",'Index Returns'!G25*'SAA with CME'!H$17)</f>
        <v/>
      </c>
      <c r="H40" s="33" t="str">
        <f t="shared" si="2"/>
        <v/>
      </c>
      <c r="I40" s="38" t="str">
        <f t="shared" si="3"/>
        <v/>
      </c>
    </row>
    <row r="41" spans="1:9" ht="18" x14ac:dyDescent="0.35">
      <c r="A41" s="65">
        <v>43861</v>
      </c>
      <c r="B41" s="33" t="str">
        <f>IF(A41&gt;$B$3,"",'Index Returns'!B26*'SAA with CME'!C$17)</f>
        <v/>
      </c>
      <c r="C41" s="33" t="str">
        <f>IF(B41&gt;$B$3,"",'Index Returns'!C26*'SAA with CME'!D$17)</f>
        <v/>
      </c>
      <c r="D41" s="33" t="str">
        <f>IF(C41&gt;$B$3,"",'Index Returns'!D26*'SAA with CME'!E$17)</f>
        <v/>
      </c>
      <c r="E41" s="33" t="str">
        <f>IF(D41&gt;$B$3,"",'Index Returns'!E26*'SAA with CME'!F$17)</f>
        <v/>
      </c>
      <c r="F41" s="33" t="str">
        <f>IF(E41&gt;$B$3,"",'Index Returns'!F26*'SAA with CME'!G$17)</f>
        <v/>
      </c>
      <c r="G41" s="33" t="str">
        <f>IF(F41&gt;$B$3,"",'Index Returns'!G26*'SAA with CME'!H$17)</f>
        <v/>
      </c>
      <c r="H41" s="33" t="str">
        <f t="shared" si="2"/>
        <v/>
      </c>
      <c r="I41" s="38" t="str">
        <f t="shared" si="3"/>
        <v/>
      </c>
    </row>
    <row r="42" spans="1:9" ht="18" x14ac:dyDescent="0.35">
      <c r="A42" s="65">
        <v>43889</v>
      </c>
      <c r="B42" s="33" t="str">
        <f>IF(A42&gt;$B$3,"",'Index Returns'!B27*'SAA with CME'!C$17)</f>
        <v/>
      </c>
      <c r="C42" s="33" t="str">
        <f>IF(B42&gt;$B$3,"",'Index Returns'!C27*'SAA with CME'!D$17)</f>
        <v/>
      </c>
      <c r="D42" s="33" t="str">
        <f>IF(C42&gt;$B$3,"",'Index Returns'!D27*'SAA with CME'!E$17)</f>
        <v/>
      </c>
      <c r="E42" s="33" t="str">
        <f>IF(D42&gt;$B$3,"",'Index Returns'!E27*'SAA with CME'!F$17)</f>
        <v/>
      </c>
      <c r="F42" s="33" t="str">
        <f>IF(E42&gt;$B$3,"",'Index Returns'!F27*'SAA with CME'!G$17)</f>
        <v/>
      </c>
      <c r="G42" s="33" t="str">
        <f>IF(F42&gt;$B$3,"",'Index Returns'!G27*'SAA with CME'!H$17)</f>
        <v/>
      </c>
      <c r="H42" s="33" t="str">
        <f t="shared" si="2"/>
        <v/>
      </c>
      <c r="I42" s="38" t="str">
        <f t="shared" si="3"/>
        <v/>
      </c>
    </row>
    <row r="43" spans="1:9" ht="18" x14ac:dyDescent="0.35">
      <c r="A43" s="65">
        <v>43921</v>
      </c>
      <c r="B43" s="33" t="str">
        <f>IF(A43&gt;$B$3,"",'Index Returns'!B28*'SAA with CME'!C$17)</f>
        <v/>
      </c>
      <c r="C43" s="33" t="str">
        <f>IF(B43&gt;$B$3,"",'Index Returns'!C28*'SAA with CME'!D$17)</f>
        <v/>
      </c>
      <c r="D43" s="33" t="str">
        <f>IF(C43&gt;$B$3,"",'Index Returns'!D28*'SAA with CME'!E$17)</f>
        <v/>
      </c>
      <c r="E43" s="33" t="str">
        <f>IF(D43&gt;$B$3,"",'Index Returns'!E28*'SAA with CME'!F$17)</f>
        <v/>
      </c>
      <c r="F43" s="33" t="str">
        <f>IF(E43&gt;$B$3,"",'Index Returns'!F28*'SAA with CME'!G$17)</f>
        <v/>
      </c>
      <c r="G43" s="33" t="str">
        <f>IF(F43&gt;$B$3,"",'Index Returns'!G28*'SAA with CME'!H$17)</f>
        <v/>
      </c>
      <c r="H43" s="33" t="str">
        <f t="shared" si="2"/>
        <v/>
      </c>
      <c r="I43" s="38" t="str">
        <f t="shared" si="3"/>
        <v/>
      </c>
    </row>
    <row r="44" spans="1:9" ht="18" x14ac:dyDescent="0.35">
      <c r="A44" s="65">
        <v>43951</v>
      </c>
      <c r="B44" s="33" t="str">
        <f>IF(A44&gt;$B$3,"",'Index Returns'!B29*'SAA with CME'!C$17)</f>
        <v/>
      </c>
      <c r="C44" s="33" t="str">
        <f>IF(B44&gt;$B$3,"",'Index Returns'!C29*'SAA with CME'!D$17)</f>
        <v/>
      </c>
      <c r="D44" s="33" t="str">
        <f>IF(C44&gt;$B$3,"",'Index Returns'!D29*'SAA with CME'!E$17)</f>
        <v/>
      </c>
      <c r="E44" s="33" t="str">
        <f>IF(D44&gt;$B$3,"",'Index Returns'!E29*'SAA with CME'!F$17)</f>
        <v/>
      </c>
      <c r="F44" s="33" t="str">
        <f>IF(E44&gt;$B$3,"",'Index Returns'!F29*'SAA with CME'!G$17)</f>
        <v/>
      </c>
      <c r="G44" s="33" t="str">
        <f>IF(F44&gt;$B$3,"",'Index Returns'!G29*'SAA with CME'!H$17)</f>
        <v/>
      </c>
      <c r="H44" s="33" t="str">
        <f t="shared" si="2"/>
        <v/>
      </c>
      <c r="I44" s="38" t="str">
        <f t="shared" si="3"/>
        <v/>
      </c>
    </row>
    <row r="45" spans="1:9" ht="18" x14ac:dyDescent="0.35">
      <c r="A45" s="65">
        <v>43980</v>
      </c>
      <c r="B45" s="33" t="str">
        <f>IF(A45&gt;$B$3,"",'Index Returns'!B30*'SAA with CME'!C$17)</f>
        <v/>
      </c>
      <c r="C45" s="33" t="str">
        <f>IF(B45&gt;$B$3,"",'Index Returns'!C30*'SAA with CME'!D$17)</f>
        <v/>
      </c>
      <c r="D45" s="33" t="str">
        <f>IF(C45&gt;$B$3,"",'Index Returns'!D30*'SAA with CME'!E$17)</f>
        <v/>
      </c>
      <c r="E45" s="33" t="str">
        <f>IF(D45&gt;$B$3,"",'Index Returns'!E30*'SAA with CME'!F$17)</f>
        <v/>
      </c>
      <c r="F45" s="33" t="str">
        <f>IF(E45&gt;$B$3,"",'Index Returns'!F30*'SAA with CME'!G$17)</f>
        <v/>
      </c>
      <c r="G45" s="33" t="str">
        <f>IF(F45&gt;$B$3,"",'Index Returns'!G30*'SAA with CME'!H$17)</f>
        <v/>
      </c>
      <c r="H45" s="33" t="str">
        <f t="shared" si="2"/>
        <v/>
      </c>
      <c r="I45" s="38" t="str">
        <f t="shared" si="3"/>
        <v/>
      </c>
    </row>
    <row r="46" spans="1:9" ht="18" x14ac:dyDescent="0.35">
      <c r="A46" s="65">
        <v>44012</v>
      </c>
      <c r="B46" s="33" t="str">
        <f>IF(A46&gt;$B$3,"",'Index Returns'!B31*'SAA with CME'!C$17)</f>
        <v/>
      </c>
      <c r="C46" s="33" t="str">
        <f>IF(B46&gt;$B$3,"",'Index Returns'!C31*'SAA with CME'!D$17)</f>
        <v/>
      </c>
      <c r="D46" s="33" t="str">
        <f>IF(C46&gt;$B$3,"",'Index Returns'!D31*'SAA with CME'!E$17)</f>
        <v/>
      </c>
      <c r="E46" s="33" t="str">
        <f>IF(D46&gt;$B$3,"",'Index Returns'!E31*'SAA with CME'!F$17)</f>
        <v/>
      </c>
      <c r="F46" s="33" t="str">
        <f>IF(E46&gt;$B$3,"",'Index Returns'!F31*'SAA with CME'!G$17)</f>
        <v/>
      </c>
      <c r="G46" s="33" t="str">
        <f>IF(F46&gt;$B$3,"",'Index Returns'!G31*'SAA with CME'!H$17)</f>
        <v/>
      </c>
      <c r="H46" s="33" t="str">
        <f t="shared" si="2"/>
        <v/>
      </c>
      <c r="I46" s="38" t="str">
        <f t="shared" si="3"/>
        <v/>
      </c>
    </row>
    <row r="47" spans="1:9" ht="18" x14ac:dyDescent="0.35">
      <c r="A47" s="65">
        <v>44043</v>
      </c>
      <c r="B47" s="33" t="str">
        <f>IF(A47&gt;$B$3,"",'Index Returns'!B32*'SAA with CME'!C$17)</f>
        <v/>
      </c>
      <c r="C47" s="33" t="str">
        <f>IF(B47&gt;$B$3,"",'Index Returns'!C32*'SAA with CME'!D$17)</f>
        <v/>
      </c>
      <c r="D47" s="33" t="str">
        <f>IF(C47&gt;$B$3,"",'Index Returns'!D32*'SAA with CME'!E$17)</f>
        <v/>
      </c>
      <c r="E47" s="33" t="str">
        <f>IF(D47&gt;$B$3,"",'Index Returns'!E32*'SAA with CME'!F$17)</f>
        <v/>
      </c>
      <c r="F47" s="33" t="str">
        <f>IF(E47&gt;$B$3,"",'Index Returns'!F32*'SAA with CME'!G$17)</f>
        <v/>
      </c>
      <c r="G47" s="33" t="str">
        <f>IF(F47&gt;$B$3,"",'Index Returns'!G32*'SAA with CME'!H$17)</f>
        <v/>
      </c>
      <c r="H47" s="33" t="str">
        <f t="shared" si="2"/>
        <v/>
      </c>
      <c r="I47" s="38" t="str">
        <f t="shared" si="3"/>
        <v/>
      </c>
    </row>
    <row r="48" spans="1:9" ht="18" x14ac:dyDescent="0.35">
      <c r="A48" s="65">
        <v>44074</v>
      </c>
      <c r="B48" s="33" t="str">
        <f>IF(A48&gt;$B$3,"",'Index Returns'!B33*'SAA with CME'!C$17)</f>
        <v/>
      </c>
      <c r="C48" s="33" t="str">
        <f>IF(B48&gt;$B$3,"",'Index Returns'!C33*'SAA with CME'!D$17)</f>
        <v/>
      </c>
      <c r="D48" s="33" t="str">
        <f>IF(C48&gt;$B$3,"",'Index Returns'!D33*'SAA with CME'!E$17)</f>
        <v/>
      </c>
      <c r="E48" s="33" t="str">
        <f>IF(D48&gt;$B$3,"",'Index Returns'!E33*'SAA with CME'!F$17)</f>
        <v/>
      </c>
      <c r="F48" s="33" t="str">
        <f>IF(E48&gt;$B$3,"",'Index Returns'!F33*'SAA with CME'!G$17)</f>
        <v/>
      </c>
      <c r="G48" s="33" t="str">
        <f>IF(F48&gt;$B$3,"",'Index Returns'!G33*'SAA with CME'!H$17)</f>
        <v/>
      </c>
      <c r="H48" s="33" t="str">
        <f t="shared" si="2"/>
        <v/>
      </c>
      <c r="I48" s="38" t="str">
        <f t="shared" si="3"/>
        <v/>
      </c>
    </row>
    <row r="49" spans="1:9" ht="18" x14ac:dyDescent="0.35">
      <c r="A49" s="65">
        <v>44104</v>
      </c>
      <c r="B49" s="33" t="str">
        <f>IF(A49&gt;$B$3,"",'Index Returns'!B34*'SAA with CME'!C$17)</f>
        <v/>
      </c>
      <c r="C49" s="33" t="str">
        <f>IF(B49&gt;$B$3,"",'Index Returns'!C34*'SAA with CME'!D$17)</f>
        <v/>
      </c>
      <c r="D49" s="33" t="str">
        <f>IF(C49&gt;$B$3,"",'Index Returns'!D34*'SAA with CME'!E$17)</f>
        <v/>
      </c>
      <c r="E49" s="33" t="str">
        <f>IF(D49&gt;$B$3,"",'Index Returns'!E34*'SAA with CME'!F$17)</f>
        <v/>
      </c>
      <c r="F49" s="33" t="str">
        <f>IF(E49&gt;$B$3,"",'Index Returns'!F34*'SAA with CME'!G$17)</f>
        <v/>
      </c>
      <c r="G49" s="33" t="str">
        <f>IF(F49&gt;$B$3,"",'Index Returns'!G34*'SAA with CME'!H$17)</f>
        <v/>
      </c>
      <c r="H49" s="33" t="str">
        <f t="shared" si="2"/>
        <v/>
      </c>
      <c r="I49" s="38" t="str">
        <f t="shared" si="3"/>
        <v/>
      </c>
    </row>
    <row r="50" spans="1:9" ht="18" x14ac:dyDescent="0.35">
      <c r="A50" s="65">
        <v>44134</v>
      </c>
      <c r="B50" s="33" t="str">
        <f>IF(A50&gt;$B$3,"",'Index Returns'!B35*'SAA with CME'!C$17)</f>
        <v/>
      </c>
      <c r="C50" s="33" t="str">
        <f>IF(B50&gt;$B$3,"",'Index Returns'!C35*'SAA with CME'!D$17)</f>
        <v/>
      </c>
      <c r="D50" s="33" t="str">
        <f>IF(C50&gt;$B$3,"",'Index Returns'!D35*'SAA with CME'!E$17)</f>
        <v/>
      </c>
      <c r="E50" s="33" t="str">
        <f>IF(D50&gt;$B$3,"",'Index Returns'!E35*'SAA with CME'!F$17)</f>
        <v/>
      </c>
      <c r="F50" s="33" t="str">
        <f>IF(E50&gt;$B$3,"",'Index Returns'!F35*'SAA with CME'!G$17)</f>
        <v/>
      </c>
      <c r="G50" s="33" t="str">
        <f>IF(F50&gt;$B$3,"",'Index Returns'!G35*'SAA with CME'!H$17)</f>
        <v/>
      </c>
      <c r="H50" s="33" t="str">
        <f t="shared" si="2"/>
        <v/>
      </c>
      <c r="I50" s="38" t="str">
        <f t="shared" si="3"/>
        <v/>
      </c>
    </row>
    <row r="51" spans="1:9" ht="18" x14ac:dyDescent="0.35">
      <c r="A51" s="65">
        <v>44165</v>
      </c>
      <c r="B51" s="33" t="str">
        <f>IF(A51&gt;$B$3,"",'Index Returns'!B36*'SAA with CME'!C$17)</f>
        <v/>
      </c>
      <c r="C51" s="33" t="str">
        <f>IF(B51&gt;$B$3,"",'Index Returns'!C36*'SAA with CME'!D$17)</f>
        <v/>
      </c>
      <c r="D51" s="33" t="str">
        <f>IF(C51&gt;$B$3,"",'Index Returns'!D36*'SAA with CME'!E$17)</f>
        <v/>
      </c>
      <c r="E51" s="33" t="str">
        <f>IF(D51&gt;$B$3,"",'Index Returns'!E36*'SAA with CME'!F$17)</f>
        <v/>
      </c>
      <c r="F51" s="33" t="str">
        <f>IF(E51&gt;$B$3,"",'Index Returns'!F36*'SAA with CME'!G$17)</f>
        <v/>
      </c>
      <c r="G51" s="33" t="str">
        <f>IF(F51&gt;$B$3,"",'Index Returns'!G36*'SAA with CME'!H$17)</f>
        <v/>
      </c>
      <c r="H51" s="33" t="str">
        <f t="shared" si="2"/>
        <v/>
      </c>
      <c r="I51" s="38" t="str">
        <f t="shared" si="3"/>
        <v/>
      </c>
    </row>
    <row r="52" spans="1:9" ht="18" x14ac:dyDescent="0.35">
      <c r="A52" s="65">
        <v>44196</v>
      </c>
      <c r="B52" s="33" t="str">
        <f>IF(A52&gt;$B$3,"",'Index Returns'!B37*'SAA with CME'!C$17)</f>
        <v/>
      </c>
      <c r="C52" s="33" t="str">
        <f>IF(B52&gt;$B$3,"",'Index Returns'!C37*'SAA with CME'!D$17)</f>
        <v/>
      </c>
      <c r="D52" s="33" t="str">
        <f>IF(C52&gt;$B$3,"",'Index Returns'!D37*'SAA with CME'!E$17)</f>
        <v/>
      </c>
      <c r="E52" s="33" t="str">
        <f>IF(D52&gt;$B$3,"",'Index Returns'!E37*'SAA with CME'!F$17)</f>
        <v/>
      </c>
      <c r="F52" s="33" t="str">
        <f>IF(E52&gt;$B$3,"",'Index Returns'!F37*'SAA with CME'!G$17)</f>
        <v/>
      </c>
      <c r="G52" s="33" t="str">
        <f>IF(F52&gt;$B$3,"",'Index Returns'!G37*'SAA with CME'!H$17)</f>
        <v/>
      </c>
      <c r="H52" s="33" t="str">
        <f t="shared" si="2"/>
        <v/>
      </c>
      <c r="I52" s="38" t="str">
        <f t="shared" si="3"/>
        <v/>
      </c>
    </row>
    <row r="53" spans="1:9" ht="18" x14ac:dyDescent="0.35">
      <c r="A53" s="65">
        <v>44225</v>
      </c>
      <c r="B53" s="33" t="str">
        <f>IF(A53&gt;$B$3,"",'Index Returns'!B38*'SAA with CME'!C$17)</f>
        <v/>
      </c>
      <c r="C53" s="33" t="str">
        <f>IF(B53&gt;$B$3,"",'Index Returns'!C38*'SAA with CME'!D$17)</f>
        <v/>
      </c>
      <c r="D53" s="33" t="str">
        <f>IF(C53&gt;$B$3,"",'Index Returns'!D38*'SAA with CME'!E$17)</f>
        <v/>
      </c>
      <c r="E53" s="33" t="str">
        <f>IF(D53&gt;$B$3,"",'Index Returns'!E38*'SAA with CME'!F$17)</f>
        <v/>
      </c>
      <c r="F53" s="33" t="str">
        <f>IF(E53&gt;$B$3,"",'Index Returns'!F38*'SAA with CME'!G$17)</f>
        <v/>
      </c>
      <c r="G53" s="33" t="str">
        <f>IF(F53&gt;$B$3,"",'Index Returns'!G38*'SAA with CME'!H$17)</f>
        <v/>
      </c>
      <c r="H53" s="33" t="str">
        <f t="shared" si="2"/>
        <v/>
      </c>
      <c r="I53" s="38" t="str">
        <f t="shared" si="3"/>
        <v/>
      </c>
    </row>
    <row r="54" spans="1:9" ht="18" x14ac:dyDescent="0.35">
      <c r="A54" s="65">
        <v>44253</v>
      </c>
      <c r="B54" s="33" t="str">
        <f>IF(A54&gt;$B$3,"",'Index Returns'!B39*'SAA with CME'!C$17)</f>
        <v/>
      </c>
      <c r="C54" s="33" t="str">
        <f>IF(B54&gt;$B$3,"",'Index Returns'!C39*'SAA with CME'!D$17)</f>
        <v/>
      </c>
      <c r="D54" s="33" t="str">
        <f>IF(C54&gt;$B$3,"",'Index Returns'!D39*'SAA with CME'!E$17)</f>
        <v/>
      </c>
      <c r="E54" s="33" t="str">
        <f>IF(D54&gt;$B$3,"",'Index Returns'!E39*'SAA with CME'!F$17)</f>
        <v/>
      </c>
      <c r="F54" s="33" t="str">
        <f>IF(E54&gt;$B$3,"",'Index Returns'!F39*'SAA with CME'!G$17)</f>
        <v/>
      </c>
      <c r="G54" s="33" t="str">
        <f>IF(F54&gt;$B$3,"",'Index Returns'!G39*'SAA with CME'!H$17)</f>
        <v/>
      </c>
      <c r="H54" s="33" t="str">
        <f t="shared" si="2"/>
        <v/>
      </c>
      <c r="I54" s="38" t="str">
        <f t="shared" si="3"/>
        <v/>
      </c>
    </row>
    <row r="55" spans="1:9" ht="18" x14ac:dyDescent="0.35">
      <c r="A55" s="65">
        <v>44286</v>
      </c>
      <c r="B55" s="33" t="str">
        <f>IF(A55&gt;$B$3,"",'Index Returns'!B40*'SAA with CME'!C$17)</f>
        <v/>
      </c>
      <c r="C55" s="33" t="str">
        <f>IF(B55&gt;$B$3,"",'Index Returns'!C40*'SAA with CME'!D$17)</f>
        <v/>
      </c>
      <c r="D55" s="33" t="str">
        <f>IF(C55&gt;$B$3,"",'Index Returns'!D40*'SAA with CME'!E$17)</f>
        <v/>
      </c>
      <c r="E55" s="33" t="str">
        <f>IF(D55&gt;$B$3,"",'Index Returns'!E40*'SAA with CME'!F$17)</f>
        <v/>
      </c>
      <c r="F55" s="33" t="str">
        <f>IF(E55&gt;$B$3,"",'Index Returns'!F40*'SAA with CME'!G$17)</f>
        <v/>
      </c>
      <c r="G55" s="33" t="str">
        <f>IF(F55&gt;$B$3,"",'Index Returns'!G40*'SAA with CME'!H$17)</f>
        <v/>
      </c>
      <c r="H55" s="33" t="str">
        <f t="shared" si="2"/>
        <v/>
      </c>
      <c r="I55" s="38" t="str">
        <f t="shared" si="3"/>
        <v/>
      </c>
    </row>
    <row r="56" spans="1:9" ht="18" x14ac:dyDescent="0.35">
      <c r="A56" s="65">
        <v>44316</v>
      </c>
      <c r="B56" s="33" t="str">
        <f>IF(A56&gt;$B$3,"",'Index Returns'!B41*'SAA with CME'!C$17)</f>
        <v/>
      </c>
      <c r="C56" s="33" t="str">
        <f>IF(B56&gt;$B$3,"",'Index Returns'!C41*'SAA with CME'!D$17)</f>
        <v/>
      </c>
      <c r="D56" s="33" t="str">
        <f>IF(C56&gt;$B$3,"",'Index Returns'!D41*'SAA with CME'!E$17)</f>
        <v/>
      </c>
      <c r="E56" s="33" t="str">
        <f>IF(D56&gt;$B$3,"",'Index Returns'!E41*'SAA with CME'!F$17)</f>
        <v/>
      </c>
      <c r="F56" s="33" t="str">
        <f>IF(E56&gt;$B$3,"",'Index Returns'!F41*'SAA with CME'!G$17)</f>
        <v/>
      </c>
      <c r="G56" s="33" t="str">
        <f>IF(F56&gt;$B$3,"",'Index Returns'!G41*'SAA with CME'!H$17)</f>
        <v/>
      </c>
      <c r="H56" s="33" t="str">
        <f t="shared" si="2"/>
        <v/>
      </c>
      <c r="I56" s="38" t="str">
        <f t="shared" si="3"/>
        <v/>
      </c>
    </row>
    <row r="57" spans="1:9" ht="18" x14ac:dyDescent="0.35">
      <c r="A57" s="65">
        <v>44347</v>
      </c>
      <c r="B57" s="33" t="str">
        <f>IF(A57&gt;$B$3,"",'Index Returns'!B42*'SAA with CME'!C$17)</f>
        <v/>
      </c>
      <c r="C57" s="33" t="str">
        <f>IF(B57&gt;$B$3,"",'Index Returns'!C42*'SAA with CME'!D$17)</f>
        <v/>
      </c>
      <c r="D57" s="33" t="str">
        <f>IF(C57&gt;$B$3,"",'Index Returns'!D42*'SAA with CME'!E$17)</f>
        <v/>
      </c>
      <c r="E57" s="33" t="str">
        <f>IF(D57&gt;$B$3,"",'Index Returns'!E42*'SAA with CME'!F$17)</f>
        <v/>
      </c>
      <c r="F57" s="33" t="str">
        <f>IF(E57&gt;$B$3,"",'Index Returns'!F42*'SAA with CME'!G$17)</f>
        <v/>
      </c>
      <c r="G57" s="33" t="str">
        <f>IF(F57&gt;$B$3,"",'Index Returns'!G42*'SAA with CME'!H$17)</f>
        <v/>
      </c>
      <c r="H57" s="33" t="str">
        <f t="shared" si="2"/>
        <v/>
      </c>
      <c r="I57" s="38" t="str">
        <f t="shared" si="3"/>
        <v/>
      </c>
    </row>
    <row r="58" spans="1:9" ht="18" x14ac:dyDescent="0.35">
      <c r="A58" s="65">
        <v>44377</v>
      </c>
      <c r="B58" s="33" t="str">
        <f>IF(A58&gt;$B$3,"",'Index Returns'!B43*'SAA with CME'!C$17)</f>
        <v/>
      </c>
      <c r="C58" s="33" t="str">
        <f>IF(B58&gt;$B$3,"",'Index Returns'!C43*'SAA with CME'!D$17)</f>
        <v/>
      </c>
      <c r="D58" s="33" t="str">
        <f>IF(C58&gt;$B$3,"",'Index Returns'!D43*'SAA with CME'!E$17)</f>
        <v/>
      </c>
      <c r="E58" s="33" t="str">
        <f>IF(D58&gt;$B$3,"",'Index Returns'!E43*'SAA with CME'!F$17)</f>
        <v/>
      </c>
      <c r="F58" s="33" t="str">
        <f>IF(E58&gt;$B$3,"",'Index Returns'!F43*'SAA with CME'!G$17)</f>
        <v/>
      </c>
      <c r="G58" s="33" t="str">
        <f>IF(F58&gt;$B$3,"",'Index Returns'!G43*'SAA with CME'!H$17)</f>
        <v/>
      </c>
      <c r="H58" s="33" t="str">
        <f t="shared" si="2"/>
        <v/>
      </c>
      <c r="I58" s="38" t="str">
        <f t="shared" si="3"/>
        <v/>
      </c>
    </row>
    <row r="59" spans="1:9" ht="18" x14ac:dyDescent="0.35">
      <c r="A59" s="65">
        <v>44407</v>
      </c>
      <c r="B59" s="33" t="str">
        <f>IF(A59&gt;$B$3,"",'Index Returns'!B44*'SAA with CME'!C$17)</f>
        <v/>
      </c>
      <c r="C59" s="33" t="str">
        <f>IF(B59&gt;$B$3,"",'Index Returns'!C44*'SAA with CME'!D$17)</f>
        <v/>
      </c>
      <c r="D59" s="33" t="str">
        <f>IF(C59&gt;$B$3,"",'Index Returns'!D44*'SAA with CME'!E$17)</f>
        <v/>
      </c>
      <c r="E59" s="33" t="str">
        <f>IF(D59&gt;$B$3,"",'Index Returns'!E44*'SAA with CME'!F$17)</f>
        <v/>
      </c>
      <c r="F59" s="33" t="str">
        <f>IF(E59&gt;$B$3,"",'Index Returns'!F44*'SAA with CME'!G$17)</f>
        <v/>
      </c>
      <c r="G59" s="33" t="str">
        <f>IF(F59&gt;$B$3,"",'Index Returns'!G44*'SAA with CME'!H$17)</f>
        <v/>
      </c>
      <c r="H59" s="33" t="str">
        <f t="shared" si="2"/>
        <v/>
      </c>
      <c r="I59" s="38" t="str">
        <f t="shared" si="3"/>
        <v/>
      </c>
    </row>
    <row r="60" spans="1:9" ht="18" x14ac:dyDescent="0.35">
      <c r="A60" s="65">
        <v>44439</v>
      </c>
      <c r="B60" s="33" t="str">
        <f>IF(A60&gt;$B$3,"",'Index Returns'!B45*'SAA with CME'!C$17)</f>
        <v/>
      </c>
      <c r="C60" s="33" t="str">
        <f>IF(B60&gt;$B$3,"",'Index Returns'!C45*'SAA with CME'!D$17)</f>
        <v/>
      </c>
      <c r="D60" s="33" t="str">
        <f>IF(C60&gt;$B$3,"",'Index Returns'!D45*'SAA with CME'!E$17)</f>
        <v/>
      </c>
      <c r="E60" s="33" t="str">
        <f>IF(D60&gt;$B$3,"",'Index Returns'!E45*'SAA with CME'!F$17)</f>
        <v/>
      </c>
      <c r="F60" s="33" t="str">
        <f>IF(E60&gt;$B$3,"",'Index Returns'!F45*'SAA with CME'!G$17)</f>
        <v/>
      </c>
      <c r="G60" s="33" t="str">
        <f>IF(F60&gt;$B$3,"",'Index Returns'!G45*'SAA with CME'!H$17)</f>
        <v/>
      </c>
      <c r="H60" s="33" t="str">
        <f t="shared" si="2"/>
        <v/>
      </c>
      <c r="I60" s="38" t="str">
        <f t="shared" si="3"/>
        <v/>
      </c>
    </row>
    <row r="61" spans="1:9" ht="18" x14ac:dyDescent="0.35">
      <c r="A61" s="65">
        <v>44469</v>
      </c>
      <c r="B61" s="33" t="str">
        <f>IF(A61&gt;$B$3,"",'Index Returns'!B46*'SAA with CME'!C$17)</f>
        <v/>
      </c>
      <c r="C61" s="33" t="str">
        <f>IF(B61&gt;$B$3,"",'Index Returns'!C46*'SAA with CME'!D$17)</f>
        <v/>
      </c>
      <c r="D61" s="33" t="str">
        <f>IF(C61&gt;$B$3,"",'Index Returns'!D46*'SAA with CME'!E$17)</f>
        <v/>
      </c>
      <c r="E61" s="33" t="str">
        <f>IF(D61&gt;$B$3,"",'Index Returns'!E46*'SAA with CME'!F$17)</f>
        <v/>
      </c>
      <c r="F61" s="33" t="str">
        <f>IF(E61&gt;$B$3,"",'Index Returns'!F46*'SAA with CME'!G$17)</f>
        <v/>
      </c>
      <c r="G61" s="33" t="str">
        <f>IF(F61&gt;$B$3,"",'Index Returns'!G46*'SAA with CME'!H$17)</f>
        <v/>
      </c>
      <c r="H61" s="33" t="str">
        <f t="shared" si="2"/>
        <v/>
      </c>
      <c r="I61" s="38" t="str">
        <f t="shared" si="3"/>
        <v/>
      </c>
    </row>
    <row r="62" spans="1:9" ht="18" x14ac:dyDescent="0.35">
      <c r="A62" s="65">
        <v>44498</v>
      </c>
      <c r="B62" s="33" t="str">
        <f>IF(A62&gt;$B$3,"",'Index Returns'!B47*'SAA with CME'!C$17)</f>
        <v/>
      </c>
      <c r="C62" s="33" t="str">
        <f>IF(B62&gt;$B$3,"",'Index Returns'!C47*'SAA with CME'!D$17)</f>
        <v/>
      </c>
      <c r="D62" s="33" t="str">
        <f>IF(C62&gt;$B$3,"",'Index Returns'!D47*'SAA with CME'!E$17)</f>
        <v/>
      </c>
      <c r="E62" s="33" t="str">
        <f>IF(D62&gt;$B$3,"",'Index Returns'!E47*'SAA with CME'!F$17)</f>
        <v/>
      </c>
      <c r="F62" s="33" t="str">
        <f>IF(E62&gt;$B$3,"",'Index Returns'!F47*'SAA with CME'!G$17)</f>
        <v/>
      </c>
      <c r="G62" s="33" t="str">
        <f>IF(F62&gt;$B$3,"",'Index Returns'!G47*'SAA with CME'!H$17)</f>
        <v/>
      </c>
      <c r="H62" s="33" t="str">
        <f t="shared" si="2"/>
        <v/>
      </c>
      <c r="I62" s="38" t="str">
        <f t="shared" si="3"/>
        <v/>
      </c>
    </row>
    <row r="63" spans="1:9" ht="18" x14ac:dyDescent="0.35">
      <c r="A63" s="65">
        <v>44530</v>
      </c>
      <c r="B63" s="33" t="str">
        <f>IF(A63&gt;$B$3,"",'Index Returns'!B48*'SAA with CME'!C$17)</f>
        <v/>
      </c>
      <c r="C63" s="33" t="str">
        <f>IF(B63&gt;$B$3,"",'Index Returns'!C48*'SAA with CME'!D$17)</f>
        <v/>
      </c>
      <c r="D63" s="33" t="str">
        <f>IF(C63&gt;$B$3,"",'Index Returns'!D48*'SAA with CME'!E$17)</f>
        <v/>
      </c>
      <c r="E63" s="33" t="str">
        <f>IF(D63&gt;$B$3,"",'Index Returns'!E48*'SAA with CME'!F$17)</f>
        <v/>
      </c>
      <c r="F63" s="33" t="str">
        <f>IF(E63&gt;$B$3,"",'Index Returns'!F48*'SAA with CME'!G$17)</f>
        <v/>
      </c>
      <c r="G63" s="33" t="str">
        <f>IF(F63&gt;$B$3,"",'Index Returns'!G48*'SAA with CME'!H$17)</f>
        <v/>
      </c>
      <c r="H63" s="33" t="str">
        <f t="shared" si="2"/>
        <v/>
      </c>
      <c r="I63" s="38" t="str">
        <f t="shared" si="3"/>
        <v/>
      </c>
    </row>
    <row r="64" spans="1:9" ht="18" x14ac:dyDescent="0.35">
      <c r="A64" s="65">
        <v>44561</v>
      </c>
      <c r="B64" s="33" t="str">
        <f>IF(A64&gt;$B$3,"",'Index Returns'!B49*'SAA with CME'!C$17)</f>
        <v/>
      </c>
      <c r="C64" s="33" t="str">
        <f>IF(B64&gt;$B$3,"",'Index Returns'!C49*'SAA with CME'!D$17)</f>
        <v/>
      </c>
      <c r="D64" s="33" t="str">
        <f>IF(C64&gt;$B$3,"",'Index Returns'!D49*'SAA with CME'!E$17)</f>
        <v/>
      </c>
      <c r="E64" s="33" t="str">
        <f>IF(D64&gt;$B$3,"",'Index Returns'!E49*'SAA with CME'!F$17)</f>
        <v/>
      </c>
      <c r="F64" s="33" t="str">
        <f>IF(E64&gt;$B$3,"",'Index Returns'!F49*'SAA with CME'!G$17)</f>
        <v/>
      </c>
      <c r="G64" s="33" t="str">
        <f>IF(F64&gt;$B$3,"",'Index Returns'!G49*'SAA with CME'!H$17)</f>
        <v/>
      </c>
      <c r="H64" s="33" t="str">
        <f t="shared" si="2"/>
        <v/>
      </c>
      <c r="I64" s="38" t="str">
        <f t="shared" si="3"/>
        <v/>
      </c>
    </row>
    <row r="65" spans="1:9" ht="18" x14ac:dyDescent="0.35">
      <c r="A65" s="65">
        <v>44592</v>
      </c>
      <c r="B65" s="33" t="str">
        <f>IF(A65&gt;$B$3,"",'Index Returns'!B50*'SAA with CME'!C$17)</f>
        <v/>
      </c>
      <c r="C65" s="33" t="str">
        <f>IF(B65&gt;$B$3,"",'Index Returns'!C50*'SAA with CME'!D$17)</f>
        <v/>
      </c>
      <c r="D65" s="33" t="str">
        <f>IF(C65&gt;$B$3,"",'Index Returns'!D50*'SAA with CME'!E$17)</f>
        <v/>
      </c>
      <c r="E65" s="33" t="str">
        <f>IF(D65&gt;$B$3,"",'Index Returns'!E50*'SAA with CME'!F$17)</f>
        <v/>
      </c>
      <c r="F65" s="33" t="str">
        <f>IF(E65&gt;$B$3,"",'Index Returns'!F50*'SAA with CME'!G$17)</f>
        <v/>
      </c>
      <c r="G65" s="33" t="str">
        <f>IF(F65&gt;$B$3,"",'Index Returns'!G50*'SAA with CME'!H$17)</f>
        <v/>
      </c>
      <c r="H65" s="33" t="str">
        <f t="shared" si="2"/>
        <v/>
      </c>
      <c r="I65" s="38" t="str">
        <f t="shared" si="3"/>
        <v/>
      </c>
    </row>
    <row r="66" spans="1:9" ht="18" x14ac:dyDescent="0.35">
      <c r="A66" s="65">
        <v>44620</v>
      </c>
      <c r="B66" s="33" t="str">
        <f>IF(A66&gt;$B$3,"",'Index Returns'!B51*'SAA with CME'!C$17)</f>
        <v/>
      </c>
      <c r="C66" s="33" t="str">
        <f>IF(B66&gt;$B$3,"",'Index Returns'!C51*'SAA with CME'!D$17)</f>
        <v/>
      </c>
      <c r="D66" s="33" t="str">
        <f>IF(C66&gt;$B$3,"",'Index Returns'!D51*'SAA with CME'!E$17)</f>
        <v/>
      </c>
      <c r="E66" s="33" t="str">
        <f>IF(D66&gt;$B$3,"",'Index Returns'!E51*'SAA with CME'!F$17)</f>
        <v/>
      </c>
      <c r="F66" s="33" t="str">
        <f>IF(E66&gt;$B$3,"",'Index Returns'!F51*'SAA with CME'!G$17)</f>
        <v/>
      </c>
      <c r="G66" s="33" t="str">
        <f>IF(F66&gt;$B$3,"",'Index Returns'!G51*'SAA with CME'!H$17)</f>
        <v/>
      </c>
      <c r="H66" s="33" t="str">
        <f t="shared" si="2"/>
        <v/>
      </c>
      <c r="I66" s="38" t="str">
        <f t="shared" si="3"/>
        <v/>
      </c>
    </row>
    <row r="67" spans="1:9" ht="18" x14ac:dyDescent="0.35">
      <c r="A67" s="65">
        <v>44651</v>
      </c>
      <c r="B67" s="33" t="str">
        <f>IF(A67&gt;$B$3,"",'Index Returns'!B52*'SAA with CME'!C$17)</f>
        <v/>
      </c>
      <c r="C67" s="33" t="str">
        <f>IF(B67&gt;$B$3,"",'Index Returns'!C52*'SAA with CME'!D$17)</f>
        <v/>
      </c>
      <c r="D67" s="33" t="str">
        <f>IF(C67&gt;$B$3,"",'Index Returns'!D52*'SAA with CME'!E$17)</f>
        <v/>
      </c>
      <c r="E67" s="33" t="str">
        <f>IF(D67&gt;$B$3,"",'Index Returns'!E52*'SAA with CME'!F$17)</f>
        <v/>
      </c>
      <c r="F67" s="33" t="str">
        <f>IF(E67&gt;$B$3,"",'Index Returns'!F52*'SAA with CME'!G$17)</f>
        <v/>
      </c>
      <c r="G67" s="33" t="str">
        <f>IF(F67&gt;$B$3,"",'Index Returns'!G52*'SAA with CME'!H$17)</f>
        <v/>
      </c>
      <c r="H67" s="33" t="str">
        <f t="shared" si="2"/>
        <v/>
      </c>
      <c r="I67" s="38" t="str">
        <f t="shared" si="3"/>
        <v/>
      </c>
    </row>
    <row r="68" spans="1:9" ht="18" x14ac:dyDescent="0.35">
      <c r="A68" s="65">
        <v>44680</v>
      </c>
      <c r="B68" s="33" t="str">
        <f>IF(A68&gt;$B$3,"",'Index Returns'!B53*'SAA with CME'!C$17)</f>
        <v/>
      </c>
      <c r="C68" s="33" t="str">
        <f>IF(B68&gt;$B$3,"",'Index Returns'!C53*'SAA with CME'!D$17)</f>
        <v/>
      </c>
      <c r="D68" s="33" t="str">
        <f>IF(C68&gt;$B$3,"",'Index Returns'!D53*'SAA with CME'!E$17)</f>
        <v/>
      </c>
      <c r="E68" s="33" t="str">
        <f>IF(D68&gt;$B$3,"",'Index Returns'!E53*'SAA with CME'!F$17)</f>
        <v/>
      </c>
      <c r="F68" s="33" t="str">
        <f>IF(E68&gt;$B$3,"",'Index Returns'!F53*'SAA with CME'!G$17)</f>
        <v/>
      </c>
      <c r="G68" s="33" t="str">
        <f>IF(F68&gt;$B$3,"",'Index Returns'!G53*'SAA with CME'!H$17)</f>
        <v/>
      </c>
      <c r="H68" s="33" t="str">
        <f t="shared" si="2"/>
        <v/>
      </c>
      <c r="I68" s="38" t="str">
        <f t="shared" si="3"/>
        <v/>
      </c>
    </row>
    <row r="69" spans="1:9" ht="18" x14ac:dyDescent="0.35">
      <c r="A69" s="65">
        <v>44712</v>
      </c>
      <c r="B69" s="33" t="str">
        <f>IF(A69&gt;$B$3,"",'Index Returns'!B54*'SAA with CME'!C$17)</f>
        <v/>
      </c>
      <c r="C69" s="33" t="str">
        <f>IF(B69&gt;$B$3,"",'Index Returns'!C54*'SAA with CME'!D$17)</f>
        <v/>
      </c>
      <c r="D69" s="33" t="str">
        <f>IF(C69&gt;$B$3,"",'Index Returns'!D54*'SAA with CME'!E$17)</f>
        <v/>
      </c>
      <c r="E69" s="33" t="str">
        <f>IF(D69&gt;$B$3,"",'Index Returns'!E54*'SAA with CME'!F$17)</f>
        <v/>
      </c>
      <c r="F69" s="33" t="str">
        <f>IF(E69&gt;$B$3,"",'Index Returns'!F54*'SAA with CME'!G$17)</f>
        <v/>
      </c>
      <c r="G69" s="33" t="str">
        <f>IF(F69&gt;$B$3,"",'Index Returns'!G54*'SAA with CME'!H$17)</f>
        <v/>
      </c>
      <c r="H69" s="33" t="str">
        <f t="shared" si="2"/>
        <v/>
      </c>
      <c r="I69" s="38" t="str">
        <f t="shared" si="3"/>
        <v/>
      </c>
    </row>
    <row r="70" spans="1:9" ht="18" x14ac:dyDescent="0.35">
      <c r="A70" s="65">
        <v>44742</v>
      </c>
      <c r="B70" s="33" t="str">
        <f>IF(A70&gt;$B$3,"",'Index Returns'!B55*'SAA with CME'!C$17)</f>
        <v/>
      </c>
      <c r="C70" s="33" t="str">
        <f>IF(B70&gt;$B$3,"",'Index Returns'!C55*'SAA with CME'!D$17)</f>
        <v/>
      </c>
      <c r="D70" s="33" t="str">
        <f>IF(C70&gt;$B$3,"",'Index Returns'!D55*'SAA with CME'!E$17)</f>
        <v/>
      </c>
      <c r="E70" s="33" t="str">
        <f>IF(D70&gt;$B$3,"",'Index Returns'!E55*'SAA with CME'!F$17)</f>
        <v/>
      </c>
      <c r="F70" s="33" t="str">
        <f>IF(E70&gt;$B$3,"",'Index Returns'!F55*'SAA with CME'!G$17)</f>
        <v/>
      </c>
      <c r="G70" s="33" t="str">
        <f>IF(F70&gt;$B$3,"",'Index Returns'!G55*'SAA with CME'!H$17)</f>
        <v/>
      </c>
      <c r="H70" s="33" t="str">
        <f t="shared" si="2"/>
        <v/>
      </c>
      <c r="I70" s="38" t="str">
        <f t="shared" si="3"/>
        <v/>
      </c>
    </row>
    <row r="71" spans="1:9" ht="18" x14ac:dyDescent="0.35">
      <c r="A71" s="65">
        <v>44771</v>
      </c>
      <c r="B71" s="33" t="str">
        <f>IF(A71&gt;$B$3,"",'Index Returns'!B56*'SAA with CME'!C$17)</f>
        <v/>
      </c>
      <c r="C71" s="33" t="str">
        <f>IF(B71&gt;$B$3,"",'Index Returns'!C56*'SAA with CME'!D$17)</f>
        <v/>
      </c>
      <c r="D71" s="33" t="str">
        <f>IF(C71&gt;$B$3,"",'Index Returns'!D56*'SAA with CME'!E$17)</f>
        <v/>
      </c>
      <c r="E71" s="33" t="str">
        <f>IF(D71&gt;$B$3,"",'Index Returns'!E56*'SAA with CME'!F$17)</f>
        <v/>
      </c>
      <c r="F71" s="33" t="str">
        <f>IF(E71&gt;$B$3,"",'Index Returns'!F56*'SAA with CME'!G$17)</f>
        <v/>
      </c>
      <c r="G71" s="33" t="str">
        <f>IF(F71&gt;$B$3,"",'Index Returns'!G56*'SAA with CME'!H$17)</f>
        <v/>
      </c>
      <c r="H71" s="33" t="str">
        <f t="shared" si="2"/>
        <v/>
      </c>
      <c r="I71" s="38" t="str">
        <f t="shared" si="3"/>
        <v/>
      </c>
    </row>
    <row r="72" spans="1:9" ht="18" x14ac:dyDescent="0.35">
      <c r="A72" s="65">
        <v>44804</v>
      </c>
      <c r="B72" s="33" t="str">
        <f>IF(A72&gt;$B$3,"",'Index Returns'!B57*'SAA with CME'!C$17)</f>
        <v/>
      </c>
      <c r="C72" s="33" t="str">
        <f>IF(B72&gt;$B$3,"",'Index Returns'!C57*'SAA with CME'!D$17)</f>
        <v/>
      </c>
      <c r="D72" s="33" t="str">
        <f>IF(C72&gt;$B$3,"",'Index Returns'!D57*'SAA with CME'!E$17)</f>
        <v/>
      </c>
      <c r="E72" s="33" t="str">
        <f>IF(D72&gt;$B$3,"",'Index Returns'!E57*'SAA with CME'!F$17)</f>
        <v/>
      </c>
      <c r="F72" s="33" t="str">
        <f>IF(E72&gt;$B$3,"",'Index Returns'!F57*'SAA with CME'!G$17)</f>
        <v/>
      </c>
      <c r="G72" s="33" t="str">
        <f>IF(F72&gt;$B$3,"",'Index Returns'!G57*'SAA with CME'!H$17)</f>
        <v/>
      </c>
      <c r="H72" s="33" t="str">
        <f t="shared" si="2"/>
        <v/>
      </c>
      <c r="I72" s="38" t="str">
        <f t="shared" si="3"/>
        <v/>
      </c>
    </row>
    <row r="73" spans="1:9" ht="18" x14ac:dyDescent="0.35">
      <c r="A73" s="65">
        <v>44834</v>
      </c>
      <c r="B73" s="33" t="str">
        <f>IF(A73&gt;$B$3,"",'Index Returns'!B58*'SAA with CME'!C$17)</f>
        <v/>
      </c>
      <c r="C73" s="33" t="str">
        <f>IF(B73&gt;$B$3,"",'Index Returns'!C58*'SAA with CME'!D$17)</f>
        <v/>
      </c>
      <c r="D73" s="33" t="str">
        <f>IF(C73&gt;$B$3,"",'Index Returns'!D58*'SAA with CME'!E$17)</f>
        <v/>
      </c>
      <c r="E73" s="33" t="str">
        <f>IF(D73&gt;$B$3,"",'Index Returns'!E58*'SAA with CME'!F$17)</f>
        <v/>
      </c>
      <c r="F73" s="33" t="str">
        <f>IF(E73&gt;$B$3,"",'Index Returns'!F58*'SAA with CME'!G$17)</f>
        <v/>
      </c>
      <c r="G73" s="33" t="str">
        <f>IF(F73&gt;$B$3,"",'Index Returns'!G58*'SAA with CME'!H$17)</f>
        <v/>
      </c>
      <c r="H73" s="33" t="str">
        <f t="shared" si="2"/>
        <v/>
      </c>
      <c r="I73" s="38" t="str">
        <f t="shared" si="3"/>
        <v/>
      </c>
    </row>
    <row r="74" spans="1:9" ht="18" x14ac:dyDescent="0.35">
      <c r="A74" s="65">
        <v>44865</v>
      </c>
      <c r="B74" s="33" t="str">
        <f>IF(A74&gt;$B$3,"",'Index Returns'!B59*'SAA with CME'!C$17)</f>
        <v/>
      </c>
      <c r="C74" s="33" t="str">
        <f>IF(B74&gt;$B$3,"",'Index Returns'!C59*'SAA with CME'!D$17)</f>
        <v/>
      </c>
      <c r="D74" s="33" t="str">
        <f>IF(C74&gt;$B$3,"",'Index Returns'!D59*'SAA with CME'!E$17)</f>
        <v/>
      </c>
      <c r="E74" s="33" t="str">
        <f>IF(D74&gt;$B$3,"",'Index Returns'!E59*'SAA with CME'!F$17)</f>
        <v/>
      </c>
      <c r="F74" s="33" t="str">
        <f>IF(E74&gt;$B$3,"",'Index Returns'!F59*'SAA with CME'!G$17)</f>
        <v/>
      </c>
      <c r="G74" s="33" t="str">
        <f>IF(F74&gt;$B$3,"",'Index Returns'!G59*'SAA with CME'!H$17)</f>
        <v/>
      </c>
      <c r="H74" s="33" t="str">
        <f t="shared" si="2"/>
        <v/>
      </c>
      <c r="I74" s="38" t="str">
        <f t="shared" si="3"/>
        <v/>
      </c>
    </row>
    <row r="75" spans="1:9" ht="18" x14ac:dyDescent="0.35">
      <c r="A75" s="65">
        <v>44895</v>
      </c>
      <c r="B75" s="33" t="str">
        <f>IF(A75&gt;$B$3,"",'Index Returns'!B60*'SAA with CME'!C$17)</f>
        <v/>
      </c>
      <c r="C75" s="33" t="str">
        <f>IF(B75&gt;$B$3,"",'Index Returns'!C60*'SAA with CME'!D$17)</f>
        <v/>
      </c>
      <c r="D75" s="33" t="str">
        <f>IF(C75&gt;$B$3,"",'Index Returns'!D60*'SAA with CME'!E$17)</f>
        <v/>
      </c>
      <c r="E75" s="33" t="str">
        <f>IF(D75&gt;$B$3,"",'Index Returns'!E60*'SAA with CME'!F$17)</f>
        <v/>
      </c>
      <c r="F75" s="33" t="str">
        <f>IF(E75&gt;$B$3,"",'Index Returns'!F60*'SAA with CME'!G$17)</f>
        <v/>
      </c>
      <c r="G75" s="33" t="str">
        <f>IF(F75&gt;$B$3,"",'Index Returns'!G60*'SAA with CME'!H$17)</f>
        <v/>
      </c>
      <c r="H75" s="33" t="str">
        <f t="shared" si="2"/>
        <v/>
      </c>
      <c r="I75" s="38" t="str">
        <f t="shared" si="3"/>
        <v/>
      </c>
    </row>
    <row r="76" spans="1:9" ht="18" x14ac:dyDescent="0.35">
      <c r="A76" s="65">
        <v>44925</v>
      </c>
      <c r="B76" s="33" t="str">
        <f>IF(A76&gt;$B$3,"",'Index Returns'!B61*'SAA with CME'!C$17)</f>
        <v/>
      </c>
      <c r="C76" s="33" t="str">
        <f>IF(B76&gt;$B$3,"",'Index Returns'!C61*'SAA with CME'!D$17)</f>
        <v/>
      </c>
      <c r="D76" s="33" t="str">
        <f>IF(C76&gt;$B$3,"",'Index Returns'!D61*'SAA with CME'!E$17)</f>
        <v/>
      </c>
      <c r="E76" s="33" t="str">
        <f>IF(D76&gt;$B$3,"",'Index Returns'!E61*'SAA with CME'!F$17)</f>
        <v/>
      </c>
      <c r="F76" s="33" t="str">
        <f>IF(E76&gt;$B$3,"",'Index Returns'!F61*'SAA with CME'!G$17)</f>
        <v/>
      </c>
      <c r="G76" s="33" t="str">
        <f>IF(F76&gt;$B$3,"",'Index Returns'!G61*'SAA with CME'!H$17)</f>
        <v/>
      </c>
      <c r="H76" s="33" t="str">
        <f t="shared" si="2"/>
        <v/>
      </c>
      <c r="I76" s="38" t="str">
        <f t="shared" si="3"/>
        <v/>
      </c>
    </row>
    <row r="77" spans="1:9" ht="18" x14ac:dyDescent="0.35">
      <c r="A77" s="65">
        <v>44957</v>
      </c>
      <c r="B77" s="33" t="str">
        <f>IF(A77&gt;$B$3,"",'Index Returns'!B62*'SAA with CME'!C$17)</f>
        <v/>
      </c>
      <c r="C77" s="33" t="str">
        <f>IF(B77&gt;$B$3,"",'Index Returns'!C62*'SAA with CME'!D$17)</f>
        <v/>
      </c>
      <c r="D77" s="33" t="str">
        <f>IF(C77&gt;$B$3,"",'Index Returns'!D62*'SAA with CME'!E$17)</f>
        <v/>
      </c>
      <c r="E77" s="33" t="str">
        <f>IF(D77&gt;$B$3,"",'Index Returns'!E62*'SAA with CME'!F$17)</f>
        <v/>
      </c>
      <c r="F77" s="33" t="str">
        <f>IF(E77&gt;$B$3,"",'Index Returns'!F62*'SAA with CME'!G$17)</f>
        <v/>
      </c>
      <c r="G77" s="33" t="str">
        <f>IF(F77&gt;$B$3,"",'Index Returns'!G62*'SAA with CME'!H$17)</f>
        <v/>
      </c>
      <c r="H77" s="33" t="str">
        <f t="shared" si="2"/>
        <v/>
      </c>
      <c r="I77" s="38" t="str">
        <f t="shared" si="3"/>
        <v/>
      </c>
    </row>
    <row r="78" spans="1:9" ht="18" x14ac:dyDescent="0.35">
      <c r="A78" s="65">
        <v>44985</v>
      </c>
      <c r="B78" s="33" t="str">
        <f>IF(A78&gt;$B$3,"",'Index Returns'!B63*'SAA with CME'!C$17)</f>
        <v/>
      </c>
      <c r="C78" s="33" t="str">
        <f>IF(B78&gt;$B$3,"",'Index Returns'!C63*'SAA with CME'!D$17)</f>
        <v/>
      </c>
      <c r="D78" s="33" t="str">
        <f>IF(C78&gt;$B$3,"",'Index Returns'!D63*'SAA with CME'!E$17)</f>
        <v/>
      </c>
      <c r="E78" s="33" t="str">
        <f>IF(D78&gt;$B$3,"",'Index Returns'!E63*'SAA with CME'!F$17)</f>
        <v/>
      </c>
      <c r="F78" s="33" t="str">
        <f>IF(E78&gt;$B$3,"",'Index Returns'!F63*'SAA with CME'!G$17)</f>
        <v/>
      </c>
      <c r="G78" s="33" t="str">
        <f>IF(F78&gt;$B$3,"",'Index Returns'!G63*'SAA with CME'!H$17)</f>
        <v/>
      </c>
      <c r="H78" s="33" t="str">
        <f t="shared" si="2"/>
        <v/>
      </c>
      <c r="I78" s="38" t="str">
        <f t="shared" si="3"/>
        <v/>
      </c>
    </row>
    <row r="79" spans="1:9" ht="18" x14ac:dyDescent="0.35">
      <c r="A79" s="65">
        <v>45016</v>
      </c>
      <c r="B79" s="33" t="str">
        <f>IF(A79&gt;$B$3,"",'Index Returns'!B64*'SAA with CME'!C$17)</f>
        <v/>
      </c>
      <c r="C79" s="33" t="str">
        <f>IF(B79&gt;$B$3,"",'Index Returns'!C64*'SAA with CME'!D$17)</f>
        <v/>
      </c>
      <c r="D79" s="33" t="str">
        <f>IF(C79&gt;$B$3,"",'Index Returns'!D64*'SAA with CME'!E$17)</f>
        <v/>
      </c>
      <c r="E79" s="33" t="str">
        <f>IF(D79&gt;$B$3,"",'Index Returns'!E64*'SAA with CME'!F$17)</f>
        <v/>
      </c>
      <c r="F79" s="33" t="str">
        <f>IF(E79&gt;$B$3,"",'Index Returns'!F64*'SAA with CME'!G$17)</f>
        <v/>
      </c>
      <c r="G79" s="33" t="str">
        <f>IF(F79&gt;$B$3,"",'Index Returns'!G64*'SAA with CME'!H$17)</f>
        <v/>
      </c>
      <c r="H79" s="33" t="str">
        <f t="shared" si="2"/>
        <v/>
      </c>
      <c r="I79" s="38" t="str">
        <f t="shared" si="3"/>
        <v/>
      </c>
    </row>
    <row r="80" spans="1:9" ht="18" x14ac:dyDescent="0.35">
      <c r="A80" s="65">
        <v>45044</v>
      </c>
      <c r="B80" s="33" t="str">
        <f>IF(A80&gt;$B$3,"",'Index Returns'!B65*'SAA with CME'!C$17)</f>
        <v/>
      </c>
      <c r="C80" s="33" t="str">
        <f>IF(B80&gt;$B$3,"",'Index Returns'!C65*'SAA with CME'!D$17)</f>
        <v/>
      </c>
      <c r="D80" s="33" t="str">
        <f>IF(C80&gt;$B$3,"",'Index Returns'!D65*'SAA with CME'!E$17)</f>
        <v/>
      </c>
      <c r="E80" s="33" t="str">
        <f>IF(D80&gt;$B$3,"",'Index Returns'!E65*'SAA with CME'!F$17)</f>
        <v/>
      </c>
      <c r="F80" s="33" t="str">
        <f>IF(E80&gt;$B$3,"",'Index Returns'!F65*'SAA with CME'!G$17)</f>
        <v/>
      </c>
      <c r="G80" s="33" t="str">
        <f>IF(F80&gt;$B$3,"",'Index Returns'!G65*'SAA with CME'!H$17)</f>
        <v/>
      </c>
      <c r="H80" s="33" t="str">
        <f t="shared" si="2"/>
        <v/>
      </c>
      <c r="I80" s="38" t="str">
        <f t="shared" si="3"/>
        <v/>
      </c>
    </row>
    <row r="81" spans="1:9" ht="18" x14ac:dyDescent="0.35">
      <c r="A81" s="65">
        <v>45077</v>
      </c>
      <c r="B81" s="33" t="str">
        <f>IF(A81&gt;$B$3,"",'Index Returns'!B66*'SAA with CME'!C$17)</f>
        <v/>
      </c>
      <c r="C81" s="33" t="str">
        <f>IF(B81&gt;$B$3,"",'Index Returns'!C66*'SAA with CME'!D$17)</f>
        <v/>
      </c>
      <c r="D81" s="33" t="str">
        <f>IF(C81&gt;$B$3,"",'Index Returns'!D66*'SAA with CME'!E$17)</f>
        <v/>
      </c>
      <c r="E81" s="33" t="str">
        <f>IF(D81&gt;$B$3,"",'Index Returns'!E66*'SAA with CME'!F$17)</f>
        <v/>
      </c>
      <c r="F81" s="33" t="str">
        <f>IF(E81&gt;$B$3,"",'Index Returns'!F66*'SAA with CME'!G$17)</f>
        <v/>
      </c>
      <c r="G81" s="33" t="str">
        <f>IF(F81&gt;$B$3,"",'Index Returns'!G66*'SAA with CME'!H$17)</f>
        <v/>
      </c>
      <c r="H81" s="33" t="str">
        <f t="shared" si="2"/>
        <v/>
      </c>
      <c r="I81" s="38" t="str">
        <f t="shared" si="3"/>
        <v/>
      </c>
    </row>
    <row r="82" spans="1:9" ht="18" x14ac:dyDescent="0.35">
      <c r="A82" s="65">
        <v>45107</v>
      </c>
      <c r="B82" s="33" t="str">
        <f>IF(A82&gt;$B$3,"",'Index Returns'!B67*'SAA with CME'!C$17)</f>
        <v/>
      </c>
      <c r="C82" s="33" t="str">
        <f>IF(B82&gt;$B$3,"",'Index Returns'!C67*'SAA with CME'!D$17)</f>
        <v/>
      </c>
      <c r="D82" s="33" t="str">
        <f>IF(C82&gt;$B$3,"",'Index Returns'!D67*'SAA with CME'!E$17)</f>
        <v/>
      </c>
      <c r="E82" s="33" t="str">
        <f>IF(D82&gt;$B$3,"",'Index Returns'!E67*'SAA with CME'!F$17)</f>
        <v/>
      </c>
      <c r="F82" s="33" t="str">
        <f>IF(E82&gt;$B$3,"",'Index Returns'!F67*'SAA with CME'!G$17)</f>
        <v/>
      </c>
      <c r="G82" s="33" t="str">
        <f>IF(F82&gt;$B$3,"",'Index Returns'!G67*'SAA with CME'!H$17)</f>
        <v/>
      </c>
      <c r="H82" s="33" t="str">
        <f t="shared" si="2"/>
        <v/>
      </c>
      <c r="I82" s="38" t="str">
        <f t="shared" si="3"/>
        <v/>
      </c>
    </row>
    <row r="83" spans="1:9" ht="18" x14ac:dyDescent="0.35">
      <c r="A83" s="65">
        <v>45138</v>
      </c>
      <c r="B83" s="33" t="str">
        <f>IF(A83&gt;$B$3,"",'Index Returns'!B68*'SAA with CME'!C$17)</f>
        <v/>
      </c>
      <c r="C83" s="33" t="str">
        <f>IF(B83&gt;$B$3,"",'Index Returns'!C68*'SAA with CME'!D$17)</f>
        <v/>
      </c>
      <c r="D83" s="33" t="str">
        <f>IF(C83&gt;$B$3,"",'Index Returns'!D68*'SAA with CME'!E$17)</f>
        <v/>
      </c>
      <c r="E83" s="33" t="str">
        <f>IF(D83&gt;$B$3,"",'Index Returns'!E68*'SAA with CME'!F$17)</f>
        <v/>
      </c>
      <c r="F83" s="33" t="str">
        <f>IF(E83&gt;$B$3,"",'Index Returns'!F68*'SAA with CME'!G$17)</f>
        <v/>
      </c>
      <c r="G83" s="33" t="str">
        <f>IF(F83&gt;$B$3,"",'Index Returns'!G68*'SAA with CME'!H$17)</f>
        <v/>
      </c>
      <c r="H83" s="33" t="str">
        <f t="shared" si="2"/>
        <v/>
      </c>
      <c r="I83" s="38" t="str">
        <f t="shared" si="3"/>
        <v/>
      </c>
    </row>
    <row r="84" spans="1:9" ht="18" x14ac:dyDescent="0.35">
      <c r="A84" s="65">
        <v>45169</v>
      </c>
      <c r="B84" s="33" t="str">
        <f>IF(A84&gt;$B$3,"",'Index Returns'!B69*'SAA with CME'!C$17)</f>
        <v/>
      </c>
      <c r="C84" s="33" t="str">
        <f>IF(B84&gt;$B$3,"",'Index Returns'!C69*'SAA with CME'!D$17)</f>
        <v/>
      </c>
      <c r="D84" s="33" t="str">
        <f>IF(C84&gt;$B$3,"",'Index Returns'!D69*'SAA with CME'!E$17)</f>
        <v/>
      </c>
      <c r="E84" s="33" t="str">
        <f>IF(D84&gt;$B$3,"",'Index Returns'!E69*'SAA with CME'!F$17)</f>
        <v/>
      </c>
      <c r="F84" s="33" t="str">
        <f>IF(E84&gt;$B$3,"",'Index Returns'!F69*'SAA with CME'!G$17)</f>
        <v/>
      </c>
      <c r="G84" s="33" t="str">
        <f>IF(F84&gt;$B$3,"",'Index Returns'!G69*'SAA with CME'!H$17)</f>
        <v/>
      </c>
      <c r="H84" s="33" t="str">
        <f t="shared" si="2"/>
        <v/>
      </c>
      <c r="I84" s="38" t="str">
        <f t="shared" si="3"/>
        <v/>
      </c>
    </row>
    <row r="85" spans="1:9" ht="18" x14ac:dyDescent="0.35">
      <c r="A85" s="65">
        <v>45198</v>
      </c>
      <c r="B85" s="33" t="str">
        <f>IF(A85&gt;$B$3,"",'Index Returns'!B70*'SAA with CME'!C$17)</f>
        <v/>
      </c>
      <c r="C85" s="33" t="str">
        <f>IF(B85&gt;$B$3,"",'Index Returns'!C70*'SAA with CME'!D$17)</f>
        <v/>
      </c>
      <c r="D85" s="33" t="str">
        <f>IF(C85&gt;$B$3,"",'Index Returns'!D70*'SAA with CME'!E$17)</f>
        <v/>
      </c>
      <c r="E85" s="33" t="str">
        <f>IF(D85&gt;$B$3,"",'Index Returns'!E70*'SAA with CME'!F$17)</f>
        <v/>
      </c>
      <c r="F85" s="33" t="str">
        <f>IF(E85&gt;$B$3,"",'Index Returns'!F70*'SAA with CME'!G$17)</f>
        <v/>
      </c>
      <c r="G85" s="33" t="str">
        <f>IF(F85&gt;$B$3,"",'Index Returns'!G70*'SAA with CME'!H$17)</f>
        <v/>
      </c>
      <c r="H85" s="33" t="str">
        <f t="shared" si="2"/>
        <v/>
      </c>
      <c r="I85" s="38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E31D-C429-48A0-BE45-6B296A3D292A}">
  <sheetPr>
    <tabColor rgb="FF06005A"/>
  </sheetPr>
  <dimension ref="A1:T32"/>
  <sheetViews>
    <sheetView zoomScaleNormal="100" workbookViewId="0"/>
  </sheetViews>
  <sheetFormatPr defaultColWidth="8.7265625" defaultRowHeight="17.5" x14ac:dyDescent="0.35"/>
  <cols>
    <col min="1" max="1" width="38.81640625" style="2" bestFit="1" customWidth="1"/>
    <col min="2" max="2" width="24" style="2" bestFit="1" customWidth="1"/>
    <col min="3" max="3" width="19.81640625" style="2" bestFit="1" customWidth="1"/>
    <col min="4" max="4" width="15" style="2" bestFit="1" customWidth="1"/>
    <col min="5" max="5" width="14.7265625" style="2" bestFit="1" customWidth="1"/>
    <col min="6" max="6" width="14.81640625" style="2" bestFit="1" customWidth="1"/>
    <col min="7" max="7" width="24.26953125" style="2" bestFit="1" customWidth="1"/>
    <col min="8" max="8" width="20.81640625" style="2" bestFit="1" customWidth="1"/>
    <col min="9" max="9" width="14.1796875" style="2" bestFit="1" customWidth="1"/>
    <col min="10" max="10" width="59" style="2" bestFit="1" customWidth="1"/>
    <col min="11" max="11" width="7" style="2" bestFit="1" customWidth="1"/>
    <col min="12" max="12" width="12.54296875" style="2" bestFit="1" customWidth="1"/>
    <col min="13" max="14" width="9.7265625" style="2" bestFit="1" customWidth="1"/>
    <col min="15" max="15" width="14.81640625" style="2" bestFit="1" customWidth="1"/>
    <col min="16" max="16" width="9.7265625" style="2" bestFit="1" customWidth="1"/>
    <col min="17" max="17" width="9.81640625" style="2" bestFit="1" customWidth="1"/>
    <col min="18" max="18" width="22.54296875" style="2" customWidth="1"/>
    <col min="19" max="16384" width="8.7265625" style="2"/>
  </cols>
  <sheetData>
    <row r="1" spans="1:12" ht="18" x14ac:dyDescent="0.35">
      <c r="A1" s="1" t="s">
        <v>29</v>
      </c>
      <c r="B1" s="1"/>
      <c r="C1" s="1"/>
      <c r="D1" s="1"/>
      <c r="E1" s="1"/>
    </row>
    <row r="2" spans="1:12" x14ac:dyDescent="0.35">
      <c r="C2" s="29" t="s">
        <v>30</v>
      </c>
    </row>
    <row r="3" spans="1:12" x14ac:dyDescent="0.35">
      <c r="A3" s="2" t="s">
        <v>31</v>
      </c>
      <c r="B3" s="66">
        <v>43371</v>
      </c>
      <c r="C3" s="2">
        <f>MATCH(B3,'Index Returns'!A:A,1)</f>
        <v>10</v>
      </c>
    </row>
    <row r="4" spans="1:12" x14ac:dyDescent="0.35">
      <c r="A4" s="2" t="s">
        <v>32</v>
      </c>
      <c r="B4" s="66">
        <v>43465</v>
      </c>
      <c r="C4" s="2">
        <f>MATCH(B4,'Index Returns'!A:A,1)</f>
        <v>13</v>
      </c>
    </row>
    <row r="6" spans="1:12" ht="18" x14ac:dyDescent="0.4"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 spans="1:12" ht="18" x14ac:dyDescent="0.4">
      <c r="B7" s="39" t="s">
        <v>1</v>
      </c>
      <c r="C7" s="9">
        <f>MATCH(C6,'Index Returns'!$B$1:$G$1,0)</f>
        <v>1</v>
      </c>
      <c r="D7" s="9">
        <f>MATCH(D6,'Index Returns'!$B$1:$G$1,0)</f>
        <v>2</v>
      </c>
      <c r="E7" s="9">
        <f>MATCH(E6,'Index Returns'!$B$1:$G$1,0)</f>
        <v>3</v>
      </c>
      <c r="F7" s="9">
        <f>MATCH(F6,'Index Returns'!$B$1:$G$1,0)</f>
        <v>4</v>
      </c>
      <c r="G7" s="9">
        <f>MATCH(G6,'Index Returns'!$B$1:$G$1,0)</f>
        <v>5</v>
      </c>
      <c r="H7" s="9">
        <f>MATCH(H6,'Index Returns'!$B$1:$G$1,0)</f>
        <v>6</v>
      </c>
    </row>
    <row r="8" spans="1:12" ht="18" x14ac:dyDescent="0.4">
      <c r="A8" s="40" t="s">
        <v>2</v>
      </c>
      <c r="B8" s="9">
        <f>MATCH(A8,'Index Returns'!$B$1:$G$1,0)</f>
        <v>1</v>
      </c>
      <c r="C8" s="7">
        <f ca="1">CORREL(OFFSET(INDIRECT("'Index Returns'!$A$"&amp;TAA!$C$3&amp;":$A$"&amp;TAA!$C$4),0,TAA!C$7),OFFSET(INDIRECT("'Index Returns'!$A$"&amp;TAA!$C$3&amp;":$A$"&amp;TAA!$C$4),0,TAA!$B8))</f>
        <v>0.99999999999999989</v>
      </c>
      <c r="D8" s="7">
        <f ca="1">CORREL(OFFSET(INDIRECT("'Index Returns'!$A$"&amp;TAA!$C$3&amp;":$A$"&amp;TAA!$C$4),0,TAA!D$7),OFFSET(INDIRECT("'Index Returns'!$A$"&amp;TAA!$C$3&amp;":$A$"&amp;TAA!$C$4),0,TAA!$B8))</f>
        <v>0.98521619576052144</v>
      </c>
      <c r="E8" s="7">
        <f ca="1">CORREL(OFFSET(INDIRECT("'Index Returns'!$A$"&amp;TAA!$C$3&amp;":$A$"&amp;TAA!$C$4),0,TAA!E$7),OFFSET(INDIRECT("'Index Returns'!$A$"&amp;TAA!$C$3&amp;":$A$"&amp;TAA!$C$4),0,TAA!$B8))</f>
        <v>0.98669661053457336</v>
      </c>
      <c r="F8" s="7">
        <f ca="1">CORREL(OFFSET(INDIRECT("'Index Returns'!$A$"&amp;TAA!$C$3&amp;":$A$"&amp;TAA!$C$4),0,TAA!F$7),OFFSET(INDIRECT("'Index Returns'!$A$"&amp;TAA!$C$3&amp;":$A$"&amp;TAA!$C$4),0,TAA!$B8))</f>
        <v>0.51489359135850465</v>
      </c>
      <c r="G8" s="7">
        <f ca="1">CORREL(OFFSET(INDIRECT("'Index Returns'!$A$"&amp;TAA!$C$3&amp;":$A$"&amp;TAA!$C$4),0,TAA!G$7),OFFSET(INDIRECT("'Index Returns'!$A$"&amp;TAA!$C$3&amp;":$A$"&amp;TAA!$C$4),0,TAA!$B8))</f>
        <v>-0.33301792603513902</v>
      </c>
      <c r="H8" s="7">
        <f ca="1">CORREL(OFFSET(INDIRECT("'Index Returns'!$A$"&amp;TAA!$C$3&amp;":$A$"&amp;TAA!$C$4),0,TAA!H$7),OFFSET(INDIRECT("'Index Returns'!$A$"&amp;TAA!$C$3&amp;":$A$"&amp;TAA!$C$4),0,TAA!$B8))</f>
        <v>0.47813672061002477</v>
      </c>
    </row>
    <row r="9" spans="1:12" ht="18" x14ac:dyDescent="0.4">
      <c r="A9" s="40" t="s">
        <v>3</v>
      </c>
      <c r="B9" s="9">
        <f>MATCH(A9,'Index Returns'!$B$1:$G$1,0)</f>
        <v>2</v>
      </c>
      <c r="C9" s="7">
        <f ca="1">CORREL(OFFSET(INDIRECT("'Index Returns'!$A$"&amp;TAA!$C$3&amp;":$A$"&amp;TAA!$C$4),0,TAA!C$7),OFFSET(INDIRECT("'Index Returns'!$A$"&amp;TAA!$C$3&amp;":$A$"&amp;TAA!$C$4),0,TAA!$B9))</f>
        <v>0.98521619576052144</v>
      </c>
      <c r="D9" s="7">
        <f ca="1">CORREL(OFFSET(INDIRECT("'Index Returns'!$A$"&amp;TAA!$C$3&amp;":$A$"&amp;TAA!$C$4),0,TAA!D$7),OFFSET(INDIRECT("'Index Returns'!$A$"&amp;TAA!$C$3&amp;":$A$"&amp;TAA!$C$4),0,TAA!$B9))</f>
        <v>1.0000000000000002</v>
      </c>
      <c r="E9" s="7">
        <f ca="1">CORREL(OFFSET(INDIRECT("'Index Returns'!$A$"&amp;TAA!$C$3&amp;":$A$"&amp;TAA!$C$4),0,TAA!E$7),OFFSET(INDIRECT("'Index Returns'!$A$"&amp;TAA!$C$3&amp;":$A$"&amp;TAA!$C$4),0,TAA!$B9))</f>
        <v>0.99996064926747075</v>
      </c>
      <c r="F9" s="7">
        <f ca="1">CORREL(OFFSET(INDIRECT("'Index Returns'!$A$"&amp;TAA!$C$3&amp;":$A$"&amp;TAA!$C$4),0,TAA!F$7),OFFSET(INDIRECT("'Index Returns'!$A$"&amp;TAA!$C$3&amp;":$A$"&amp;TAA!$C$4),0,TAA!$B9))</f>
        <v>0.38657729289039444</v>
      </c>
      <c r="G9" s="7">
        <f ca="1">CORREL(OFFSET(INDIRECT("'Index Returns'!$A$"&amp;TAA!$C$3&amp;":$A$"&amp;TAA!$C$4),0,TAA!G$7),OFFSET(INDIRECT("'Index Returns'!$A$"&amp;TAA!$C$3&amp;":$A$"&amp;TAA!$C$4),0,TAA!$B9))</f>
        <v>-0.24927020714576351</v>
      </c>
      <c r="H9" s="7">
        <f ca="1">CORREL(OFFSET(INDIRECT("'Index Returns'!$A$"&amp;TAA!$C$3&amp;":$A$"&amp;TAA!$C$4),0,TAA!H$7),OFFSET(INDIRECT("'Index Returns'!$A$"&amp;TAA!$C$3&amp;":$A$"&amp;TAA!$C$4),0,TAA!$B9))</f>
        <v>0.60896440744433189</v>
      </c>
    </row>
    <row r="10" spans="1:12" ht="18" x14ac:dyDescent="0.4">
      <c r="A10" s="40" t="s">
        <v>4</v>
      </c>
      <c r="B10" s="9">
        <f>MATCH(A10,'Index Returns'!$B$1:$G$1,0)</f>
        <v>3</v>
      </c>
      <c r="C10" s="7">
        <f ca="1">CORREL(OFFSET(INDIRECT("'Index Returns'!$A$"&amp;TAA!$C$3&amp;":$A$"&amp;TAA!$C$4),0,TAA!C$7),OFFSET(INDIRECT("'Index Returns'!$A$"&amp;TAA!$C$3&amp;":$A$"&amp;TAA!$C$4),0,TAA!$B10))</f>
        <v>0.98669661053457336</v>
      </c>
      <c r="D10" s="7">
        <f ca="1">CORREL(OFFSET(INDIRECT("'Index Returns'!$A$"&amp;TAA!$C$3&amp;":$A$"&amp;TAA!$C$4),0,TAA!D$7),OFFSET(INDIRECT("'Index Returns'!$A$"&amp;TAA!$C$3&amp;":$A$"&amp;TAA!$C$4),0,TAA!$B10))</f>
        <v>0.99996064926747075</v>
      </c>
      <c r="E10" s="7">
        <f ca="1">CORREL(OFFSET(INDIRECT("'Index Returns'!$A$"&amp;TAA!$C$3&amp;":$A$"&amp;TAA!$C$4),0,TAA!E$7),OFFSET(INDIRECT("'Index Returns'!$A$"&amp;TAA!$C$3&amp;":$A$"&amp;TAA!$C$4),0,TAA!$B10))</f>
        <v>0.99999999999999989</v>
      </c>
      <c r="F10" s="7">
        <f ca="1">CORREL(OFFSET(INDIRECT("'Index Returns'!$A$"&amp;TAA!$C$3&amp;":$A$"&amp;TAA!$C$4),0,TAA!F$7),OFFSET(INDIRECT("'Index Returns'!$A$"&amp;TAA!$C$3&amp;":$A$"&amp;TAA!$C$4),0,TAA!$B10))</f>
        <v>0.39337735008408725</v>
      </c>
      <c r="G10" s="7">
        <f ca="1">CORREL(OFFSET(INDIRECT("'Index Returns'!$A$"&amp;TAA!$C$3&amp;":$A$"&amp;TAA!$C$4),0,TAA!G$7),OFFSET(INDIRECT("'Index Returns'!$A$"&amp;TAA!$C$3&amp;":$A$"&amp;TAA!$C$4),0,TAA!$B10))</f>
        <v>-0.25357960936018459</v>
      </c>
      <c r="H10" s="7">
        <f ca="1">CORREL(OFFSET(INDIRECT("'Index Returns'!$A$"&amp;TAA!$C$3&amp;":$A$"&amp;TAA!$C$4),0,TAA!H$7),OFFSET(INDIRECT("'Index Returns'!$A$"&amp;TAA!$C$3&amp;":$A$"&amp;TAA!$C$4),0,TAA!$B10))</f>
        <v>0.60254628480239369</v>
      </c>
    </row>
    <row r="11" spans="1:12" ht="18" x14ac:dyDescent="0.4">
      <c r="A11" s="40" t="s">
        <v>5</v>
      </c>
      <c r="B11" s="9">
        <f>MATCH(A11,'Index Returns'!$B$1:$G$1,0)</f>
        <v>4</v>
      </c>
      <c r="C11" s="7">
        <f ca="1">CORREL(OFFSET(INDIRECT("'Index Returns'!$A$"&amp;TAA!$C$3&amp;":$A$"&amp;TAA!$C$4),0,TAA!C$7),OFFSET(INDIRECT("'Index Returns'!$A$"&amp;TAA!$C$3&amp;":$A$"&amp;TAA!$C$4),0,TAA!$B11))</f>
        <v>0.51489359135850465</v>
      </c>
      <c r="D11" s="7">
        <f ca="1">CORREL(OFFSET(INDIRECT("'Index Returns'!$A$"&amp;TAA!$C$3&amp;":$A$"&amp;TAA!$C$4),0,TAA!D$7),OFFSET(INDIRECT("'Index Returns'!$A$"&amp;TAA!$C$3&amp;":$A$"&amp;TAA!$C$4),0,TAA!$B11))</f>
        <v>0.38657729289039444</v>
      </c>
      <c r="E11" s="7">
        <f ca="1">CORREL(OFFSET(INDIRECT("'Index Returns'!$A$"&amp;TAA!$C$3&amp;":$A$"&amp;TAA!$C$4),0,TAA!E$7),OFFSET(INDIRECT("'Index Returns'!$A$"&amp;TAA!$C$3&amp;":$A$"&amp;TAA!$C$4),0,TAA!$B11))</f>
        <v>0.39337735008408725</v>
      </c>
      <c r="F11" s="7">
        <f ca="1">CORREL(OFFSET(INDIRECT("'Index Returns'!$A$"&amp;TAA!$C$3&amp;":$A$"&amp;TAA!$C$4),0,TAA!F$7),OFFSET(INDIRECT("'Index Returns'!$A$"&amp;TAA!$C$3&amp;":$A$"&amp;TAA!$C$4),0,TAA!$B11))</f>
        <v>0.99999999999999989</v>
      </c>
      <c r="G11" s="7">
        <f ca="1">CORREL(OFFSET(INDIRECT("'Index Returns'!$A$"&amp;TAA!$C$3&amp;":$A$"&amp;TAA!$C$4),0,TAA!G$7),OFFSET(INDIRECT("'Index Returns'!$A$"&amp;TAA!$C$3&amp;":$A$"&amp;TAA!$C$4),0,TAA!$B11))</f>
        <v>-0.89756363449878529</v>
      </c>
      <c r="H11" s="7">
        <f ca="1">CORREL(OFFSET(INDIRECT("'Index Returns'!$A$"&amp;TAA!$C$3&amp;":$A$"&amp;TAA!$C$4),0,TAA!H$7),OFFSET(INDIRECT("'Index Returns'!$A$"&amp;TAA!$C$3&amp;":$A$"&amp;TAA!$C$4),0,TAA!$B11))</f>
        <v>-0.14934220060920478</v>
      </c>
    </row>
    <row r="12" spans="1:12" ht="18" x14ac:dyDescent="0.4">
      <c r="A12" s="40" t="s">
        <v>6</v>
      </c>
      <c r="B12" s="9">
        <f>MATCH(A12,'Index Returns'!$B$1:$G$1,0)</f>
        <v>5</v>
      </c>
      <c r="C12" s="7">
        <f ca="1">CORREL(OFFSET(INDIRECT("'Index Returns'!$A$"&amp;TAA!$C$3&amp;":$A$"&amp;TAA!$C$4),0,TAA!C$7),OFFSET(INDIRECT("'Index Returns'!$A$"&amp;TAA!$C$3&amp;":$A$"&amp;TAA!$C$4),0,TAA!$B12))</f>
        <v>-0.33301792603513902</v>
      </c>
      <c r="D12" s="7">
        <f ca="1">CORREL(OFFSET(INDIRECT("'Index Returns'!$A$"&amp;TAA!$C$3&amp;":$A$"&amp;TAA!$C$4),0,TAA!D$7),OFFSET(INDIRECT("'Index Returns'!$A$"&amp;TAA!$C$3&amp;":$A$"&amp;TAA!$C$4),0,TAA!$B12))</f>
        <v>-0.24927020714576351</v>
      </c>
      <c r="E12" s="7">
        <f ca="1">CORREL(OFFSET(INDIRECT("'Index Returns'!$A$"&amp;TAA!$C$3&amp;":$A$"&amp;TAA!$C$4),0,TAA!E$7),OFFSET(INDIRECT("'Index Returns'!$A$"&amp;TAA!$C$3&amp;":$A$"&amp;TAA!$C$4),0,TAA!$B12))</f>
        <v>-0.25357960936018459</v>
      </c>
      <c r="F12" s="7">
        <f ca="1">CORREL(OFFSET(INDIRECT("'Index Returns'!$A$"&amp;TAA!$C$3&amp;":$A$"&amp;TAA!$C$4),0,TAA!F$7),OFFSET(INDIRECT("'Index Returns'!$A$"&amp;TAA!$C$3&amp;":$A$"&amp;TAA!$C$4),0,TAA!$B12))</f>
        <v>-0.89756363449878529</v>
      </c>
      <c r="G12" s="7">
        <f ca="1">CORREL(OFFSET(INDIRECT("'Index Returns'!$A$"&amp;TAA!$C$3&amp;":$A$"&amp;TAA!$C$4),0,TAA!G$7),OFFSET(INDIRECT("'Index Returns'!$A$"&amp;TAA!$C$3&amp;":$A$"&amp;TAA!$C$4),0,TAA!$B12))</f>
        <v>0.99999999999999989</v>
      </c>
      <c r="H12" s="7">
        <f ca="1">CORREL(OFFSET(INDIRECT("'Index Returns'!$A$"&amp;TAA!$C$3&amp;":$A$"&amp;TAA!$C$4),0,TAA!H$7),OFFSET(INDIRECT("'Index Returns'!$A$"&amp;TAA!$C$3&amp;":$A$"&amp;TAA!$C$4),0,TAA!$B12))</f>
        <v>-7.8085723864313561E-2</v>
      </c>
    </row>
    <row r="13" spans="1:12" ht="18" x14ac:dyDescent="0.4">
      <c r="A13" s="40" t="s">
        <v>7</v>
      </c>
      <c r="B13" s="9">
        <f>MATCH(A13,'Index Returns'!$B$1:$G$1,0)</f>
        <v>6</v>
      </c>
      <c r="C13" s="7">
        <f ca="1">CORREL(OFFSET(INDIRECT("'Index Returns'!$A$"&amp;TAA!$C$3&amp;":$A$"&amp;TAA!$C$4),0,TAA!C$7),OFFSET(INDIRECT("'Index Returns'!$A$"&amp;TAA!$C$3&amp;":$A$"&amp;TAA!$C$4),0,TAA!$B13))</f>
        <v>0.47813672061002477</v>
      </c>
      <c r="D13" s="7">
        <f ca="1">CORREL(OFFSET(INDIRECT("'Index Returns'!$A$"&amp;TAA!$C$3&amp;":$A$"&amp;TAA!$C$4),0,TAA!D$7),OFFSET(INDIRECT("'Index Returns'!$A$"&amp;TAA!$C$3&amp;":$A$"&amp;TAA!$C$4),0,TAA!$B13))</f>
        <v>0.60896440744433189</v>
      </c>
      <c r="E13" s="7">
        <f ca="1">CORREL(OFFSET(INDIRECT("'Index Returns'!$A$"&amp;TAA!$C$3&amp;":$A$"&amp;TAA!$C$4),0,TAA!E$7),OFFSET(INDIRECT("'Index Returns'!$A$"&amp;TAA!$C$3&amp;":$A$"&amp;TAA!$C$4),0,TAA!$B13))</f>
        <v>0.60254628480239369</v>
      </c>
      <c r="F13" s="7">
        <f ca="1">CORREL(OFFSET(INDIRECT("'Index Returns'!$A$"&amp;TAA!$C$3&amp;":$A$"&amp;TAA!$C$4),0,TAA!F$7),OFFSET(INDIRECT("'Index Returns'!$A$"&amp;TAA!$C$3&amp;":$A$"&amp;TAA!$C$4),0,TAA!$B13))</f>
        <v>-0.14934220060920478</v>
      </c>
      <c r="G13" s="7">
        <f ca="1">CORREL(OFFSET(INDIRECT("'Index Returns'!$A$"&amp;TAA!$C$3&amp;":$A$"&amp;TAA!$C$4),0,TAA!G$7),OFFSET(INDIRECT("'Index Returns'!$A$"&amp;TAA!$C$3&amp;":$A$"&amp;TAA!$C$4),0,TAA!$B13))</f>
        <v>-7.8085723864313561E-2</v>
      </c>
      <c r="H13" s="7">
        <f ca="1">CORREL(OFFSET(INDIRECT("'Index Returns'!$A$"&amp;TAA!$C$3&amp;":$A$"&amp;TAA!$C$4),0,TAA!H$7),OFFSET(INDIRECT("'Index Returns'!$A$"&amp;TAA!$C$3&amp;":$A$"&amp;TAA!$C$4),0,TAA!$B13))</f>
        <v>1</v>
      </c>
    </row>
    <row r="15" spans="1:12" ht="18" x14ac:dyDescent="0.4">
      <c r="B15" s="8" t="s">
        <v>8</v>
      </c>
      <c r="C15" s="10">
        <f>(1+AVERAGEIFS('Index Returns'!B2:B70,'Index Returns'!$A$2:$A$70,"&gt;="&amp;$B$3,'Index Returns'!$A$2:$A$70,"&lt;="&amp;$B$4))^12-1</f>
        <v>-0.28199268282483503</v>
      </c>
      <c r="D15" s="10">
        <f>(1+AVERAGEIFS('Index Returns'!C2:C70,'Index Returns'!$A$2:$A$70,"&gt;="&amp;$B$3,'Index Returns'!$A$2:$A$70,"&lt;="&amp;$B$4))^12-1</f>
        <v>-0.3199865549050529</v>
      </c>
      <c r="E15" s="10">
        <f>(1+AVERAGEIFS('Index Returns'!D2:D70,'Index Returns'!$A$2:$A$70,"&gt;="&amp;$B$3,'Index Returns'!$A$2:$A$70,"&lt;="&amp;$B$4))^12-1</f>
        <v>-0.31965408493616443</v>
      </c>
      <c r="F15" s="10">
        <f>(1+AVERAGEIFS('Index Returns'!E2:E70,'Index Returns'!$A$2:$A$70,"&gt;="&amp;$B$3,'Index Returns'!$A$2:$A$70,"&lt;="&amp;$B$4))^12-1</f>
        <v>-3.8916196711131334E-2</v>
      </c>
      <c r="G15" s="10">
        <f>(1+AVERAGEIFS('Index Returns'!F2:F70,'Index Returns'!$A$2:$A$70,"&gt;="&amp;$B$3,'Index Returns'!$A$2:$A$70,"&lt;="&amp;$B$4))^12-1</f>
        <v>-2.3843289202896023E-2</v>
      </c>
      <c r="H15" s="10">
        <f>(1+AVERAGEIFS('Index Returns'!G2:G70,'Index Returns'!$A$2:$A$70,"&gt;="&amp;$B$3,'Index Returns'!$A$2:$A$70,"&lt;="&amp;$B$4))^12-1</f>
        <v>-0.11756669547459342</v>
      </c>
      <c r="I15" s="8"/>
      <c r="J15" s="11"/>
      <c r="K15" s="11"/>
      <c r="L15" s="11"/>
    </row>
    <row r="16" spans="1:12" ht="18" x14ac:dyDescent="0.4">
      <c r="B16" s="8" t="s">
        <v>9</v>
      </c>
      <c r="C16" s="10" cm="1">
        <f t="array" ref="C16">_xlfn.STDEV.S(IF(('Index Returns'!$A$2:$A$70&gt;=$B$3)*('Index Returns'!$A$2:$A70&lt;=$B$4),'Index Returns'!B2:B70))*SQRT(12)</f>
        <v>0.10588499971721183</v>
      </c>
      <c r="D16" s="10" cm="1">
        <f t="array" ref="D16">_xlfn.STDEV.S(IF(('Index Returns'!$A$2:$A$70&gt;=$B$3)*('Index Returns'!$A$2:$A70&lt;=$B$4),'Index Returns'!C2:C70))*SQRT(12)</f>
        <v>7.6963170915767307E-2</v>
      </c>
      <c r="E16" s="10" cm="1">
        <f t="array" ref="E16">_xlfn.STDEV.S(IF(('Index Returns'!$A$2:$A$70&gt;=$B$3)*('Index Returns'!$A$2:$A70&lt;=$B$4),'Index Returns'!D2:D70))*SQRT(12)</f>
        <v>7.6552924235716621E-2</v>
      </c>
      <c r="F16" s="10" cm="1">
        <f t="array" ref="F16">_xlfn.STDEV.S(IF(('Index Returns'!$A$2:$A$70&gt;=$B$3)*('Index Returns'!$A$2:$A70&lt;=$B$4),'Index Returns'!E2:E70))*SQRT(12)</f>
        <v>0.22244967964573931</v>
      </c>
      <c r="G16" s="10" cm="1">
        <f t="array" ref="G16">_xlfn.STDEV.S(IF(('Index Returns'!$A$2:$A$70&gt;=$B$3)*('Index Returns'!$A$2:$A70&lt;=$B$4),'Index Returns'!F2:F70))*SQRT(12)</f>
        <v>2.5844867211205279E-2</v>
      </c>
      <c r="H16" s="10" cm="1">
        <f t="array" ref="H16">_xlfn.STDEV.S(IF(('Index Returns'!$A$2:$A$70&gt;=$B$3)*('Index Returns'!$A$2:$A70&lt;=$B$4),'Index Returns'!G2:G70))*SQRT(12)</f>
        <v>8.3565663679805627E-2</v>
      </c>
      <c r="I16" s="8"/>
      <c r="J16" s="11"/>
      <c r="K16" s="11"/>
      <c r="L16" s="11"/>
    </row>
    <row r="17" spans="1:20" x14ac:dyDescent="0.35">
      <c r="B17" s="10"/>
      <c r="C17" s="10"/>
      <c r="D17" s="10"/>
    </row>
    <row r="18" spans="1:20" ht="18" x14ac:dyDescent="0.4">
      <c r="B18" s="10"/>
      <c r="C18" s="41" t="s">
        <v>33</v>
      </c>
      <c r="D18" s="41"/>
      <c r="E18" s="42"/>
      <c r="F18" s="42"/>
      <c r="G18" s="42"/>
      <c r="H18" s="42"/>
    </row>
    <row r="19" spans="1:20" ht="18" x14ac:dyDescent="0.4">
      <c r="B19" s="13"/>
      <c r="C19" s="14" t="str">
        <f>C6</f>
        <v>US Large Cap</v>
      </c>
      <c r="D19" s="14" t="str">
        <f t="shared" ref="D19:H19" si="0">D6</f>
        <v>Dev ex US</v>
      </c>
      <c r="E19" s="14" t="str">
        <f t="shared" si="0"/>
        <v>EM</v>
      </c>
      <c r="F19" s="14" t="str">
        <f t="shared" si="0"/>
        <v>UST</v>
      </c>
      <c r="G19" s="14" t="str">
        <f t="shared" si="0"/>
        <v>US IG Corp Bond</v>
      </c>
      <c r="H19" s="14" t="str">
        <f t="shared" si="0"/>
        <v>REITs</v>
      </c>
    </row>
    <row r="20" spans="1:20" ht="18" x14ac:dyDescent="0.4">
      <c r="B20" s="6" t="s">
        <v>11</v>
      </c>
      <c r="C20" s="15">
        <f>'SAA with CME'!C17</f>
        <v>0.32957596499828701</v>
      </c>
      <c r="D20" s="15">
        <f>'SAA with CME'!D17</f>
        <v>0.1</v>
      </c>
      <c r="E20" s="15">
        <f>'SAA with CME'!E17</f>
        <v>0.17145982881619667</v>
      </c>
      <c r="F20" s="15">
        <f>'SAA with CME'!F17</f>
        <v>0.19896420618551627</v>
      </c>
      <c r="G20" s="15">
        <f>'SAA with CME'!G17</f>
        <v>0.1</v>
      </c>
      <c r="H20" s="15">
        <f>'SAA with CME'!H17</f>
        <v>0.1</v>
      </c>
    </row>
    <row r="21" spans="1:20" x14ac:dyDescent="0.35">
      <c r="B21" s="10"/>
      <c r="C21" s="10"/>
      <c r="D21" s="10"/>
    </row>
    <row r="22" spans="1:20" ht="18" x14ac:dyDescent="0.4">
      <c r="B22" s="10"/>
      <c r="C22" s="41" t="s">
        <v>34</v>
      </c>
      <c r="D22" s="41"/>
      <c r="E22" s="42"/>
      <c r="F22" s="42"/>
      <c r="G22" s="42"/>
      <c r="H22" s="42"/>
      <c r="J22" s="12" t="s">
        <v>10</v>
      </c>
    </row>
    <row r="23" spans="1:20" ht="18" x14ac:dyDescent="0.4">
      <c r="B23" s="13"/>
      <c r="C23" s="14" t="str">
        <f t="shared" ref="C23:H23" si="1">C6</f>
        <v>US Large Cap</v>
      </c>
      <c r="D23" s="14" t="str">
        <f t="shared" si="1"/>
        <v>Dev ex US</v>
      </c>
      <c r="E23" s="14" t="str">
        <f t="shared" si="1"/>
        <v>EM</v>
      </c>
      <c r="F23" s="14" t="str">
        <f t="shared" si="1"/>
        <v>UST</v>
      </c>
      <c r="G23" s="14" t="str">
        <f t="shared" si="1"/>
        <v>US IG Corp Bond</v>
      </c>
      <c r="H23" s="14" t="str">
        <f t="shared" si="1"/>
        <v>REITs</v>
      </c>
    </row>
    <row r="24" spans="1:20" ht="18" x14ac:dyDescent="0.4">
      <c r="B24" s="6" t="s">
        <v>11</v>
      </c>
      <c r="C24" s="15">
        <v>0.12957596499828697</v>
      </c>
      <c r="D24" s="15">
        <v>0.1</v>
      </c>
      <c r="E24" s="15">
        <v>0.1</v>
      </c>
      <c r="F24" s="15">
        <v>0.27042402357179623</v>
      </c>
      <c r="G24" s="15">
        <v>0.3</v>
      </c>
      <c r="H24" s="15">
        <v>0.1</v>
      </c>
      <c r="I24" s="16">
        <f>SUM(C24:H24)</f>
        <v>0.99999998857008332</v>
      </c>
      <c r="J24" s="17" t="s">
        <v>39</v>
      </c>
      <c r="K24" s="82">
        <v>0.1</v>
      </c>
      <c r="L24" s="17" t="s">
        <v>12</v>
      </c>
      <c r="M24" s="11"/>
      <c r="N24" s="11"/>
      <c r="O24" s="11"/>
      <c r="P24" s="11"/>
      <c r="R24" s="11"/>
      <c r="S24" s="11"/>
      <c r="T24" s="11"/>
    </row>
    <row r="25" spans="1:20" ht="18" x14ac:dyDescent="0.4">
      <c r="B25" s="6" t="s">
        <v>8</v>
      </c>
      <c r="C25" s="10">
        <f>C15*C24</f>
        <v>-3.653947399948386E-2</v>
      </c>
      <c r="D25" s="10">
        <f t="shared" ref="D25:H25" si="2">D15*D24</f>
        <v>-3.199865549050529E-2</v>
      </c>
      <c r="E25" s="10">
        <f t="shared" si="2"/>
        <v>-3.1965408493616447E-2</v>
      </c>
      <c r="F25" s="10">
        <f t="shared" si="2"/>
        <v>-1.052387449673564E-2</v>
      </c>
      <c r="G25" s="10">
        <f t="shared" si="2"/>
        <v>-7.1529867608688064E-3</v>
      </c>
      <c r="H25" s="10">
        <f t="shared" si="2"/>
        <v>-1.1756669547459343E-2</v>
      </c>
      <c r="I25" s="18">
        <f>SUM(C25:H25)</f>
        <v>-0.1299370687886694</v>
      </c>
      <c r="J25" s="19" t="s">
        <v>13</v>
      </c>
      <c r="M25" s="11"/>
      <c r="N25" s="11"/>
      <c r="O25" s="11"/>
      <c r="P25" s="11"/>
      <c r="R25" s="11"/>
      <c r="S25" s="11"/>
      <c r="T25" s="11"/>
    </row>
    <row r="26" spans="1:20" x14ac:dyDescent="0.35">
      <c r="H26" s="67" t="s">
        <v>14</v>
      </c>
      <c r="I26" s="69">
        <f t="array" aca="1" ref="I26" ca="1">MMULT(MMULT(C24:H24*$C$16:$H$16,$C$8:$H$13),TRANSPOSE(C24:H24*$C$16:$H$16))</f>
        <v>5.2949175677738554E-3</v>
      </c>
      <c r="M26" s="11"/>
      <c r="N26" s="11"/>
      <c r="O26" s="11"/>
      <c r="P26" s="11"/>
      <c r="R26" s="11"/>
      <c r="S26" s="11"/>
      <c r="T26" s="11"/>
    </row>
    <row r="27" spans="1:20" ht="18" x14ac:dyDescent="0.4">
      <c r="H27" s="68" t="s">
        <v>9</v>
      </c>
      <c r="I27" s="23">
        <f ca="1">SQRT(I26)</f>
        <v>7.2766184232608042E-2</v>
      </c>
      <c r="J27" s="24" t="s">
        <v>15</v>
      </c>
      <c r="K27" s="25">
        <v>0.15</v>
      </c>
      <c r="M27" s="11"/>
      <c r="N27" s="11"/>
      <c r="O27" s="11"/>
      <c r="P27" s="11"/>
      <c r="R27" s="11"/>
      <c r="S27" s="11"/>
      <c r="T27" s="11"/>
    </row>
    <row r="28" spans="1:20" ht="18" x14ac:dyDescent="0.4">
      <c r="H28" s="26" t="s">
        <v>16</v>
      </c>
      <c r="I28" s="27">
        <v>1.6500000000000001E-2</v>
      </c>
      <c r="M28" s="11"/>
      <c r="N28" s="11"/>
      <c r="O28" s="11"/>
      <c r="P28" s="11"/>
      <c r="R28" s="11"/>
      <c r="S28" s="11"/>
      <c r="T28" s="11"/>
    </row>
    <row r="29" spans="1:20" ht="18" x14ac:dyDescent="0.4">
      <c r="H29" s="26" t="s">
        <v>17</v>
      </c>
      <c r="I29" s="28">
        <f ca="1">(I25-I28)/I27</f>
        <v>-2.0124329773918244</v>
      </c>
      <c r="M29" s="11"/>
      <c r="N29" s="11"/>
      <c r="O29" s="11"/>
      <c r="P29" s="11"/>
      <c r="R29" s="11"/>
      <c r="S29" s="11"/>
      <c r="T29" s="11"/>
    </row>
    <row r="30" spans="1:20" ht="18" x14ac:dyDescent="0.4">
      <c r="A30" s="30"/>
      <c r="B30" s="30"/>
      <c r="C30" s="30"/>
      <c r="D30" s="30"/>
      <c r="E30" s="30"/>
      <c r="F30" s="30"/>
      <c r="G30" s="30"/>
      <c r="H30" s="30"/>
      <c r="J30" s="11"/>
      <c r="K30" s="11"/>
      <c r="L30" s="11"/>
      <c r="M30" s="11"/>
      <c r="N30" s="11"/>
      <c r="O30" s="11"/>
      <c r="P30" s="11"/>
      <c r="R30" s="11"/>
      <c r="S30" s="11"/>
      <c r="T30" s="11"/>
    </row>
    <row r="31" spans="1:20" ht="18" x14ac:dyDescent="0.4">
      <c r="A31" s="30"/>
      <c r="B31" s="30" t="s">
        <v>35</v>
      </c>
      <c r="C31" s="43">
        <f t="shared" ref="C31:H31" si="3">C24-C20</f>
        <v>-0.20000000000000004</v>
      </c>
      <c r="D31" s="43">
        <f t="shared" si="3"/>
        <v>0</v>
      </c>
      <c r="E31" s="43">
        <f t="shared" si="3"/>
        <v>-7.1459828816196669E-2</v>
      </c>
      <c r="F31" s="43">
        <f t="shared" si="3"/>
        <v>7.1459817386279961E-2</v>
      </c>
      <c r="G31" s="43">
        <f t="shared" si="3"/>
        <v>0.19999999999999998</v>
      </c>
      <c r="H31" s="43">
        <f t="shared" si="3"/>
        <v>0</v>
      </c>
      <c r="J31" s="11"/>
      <c r="K31" s="11"/>
      <c r="L31" s="11"/>
      <c r="M31" s="11"/>
      <c r="N31" s="11"/>
      <c r="O31" s="11"/>
      <c r="P31" s="11"/>
      <c r="R31" s="11"/>
      <c r="S31" s="11"/>
      <c r="T31" s="11"/>
    </row>
    <row r="32" spans="1:20" ht="18" x14ac:dyDescent="0.4">
      <c r="A32" s="30"/>
      <c r="B32" s="30"/>
      <c r="C32" s="30"/>
      <c r="D32" s="30"/>
      <c r="E32" s="30"/>
      <c r="F32" s="30"/>
      <c r="G32" s="30"/>
      <c r="H32" s="30"/>
      <c r="J32" s="11"/>
      <c r="K32" s="11"/>
      <c r="L32" s="11"/>
      <c r="M32" s="11"/>
      <c r="N32" s="11"/>
      <c r="O32" s="11"/>
      <c r="P32" s="11"/>
      <c r="R32" s="11"/>
      <c r="S32" s="11"/>
      <c r="T32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C6C8A3-F02B-4B2F-A380-42F14E782522}">
          <x14:formula1>
            <xm:f>'Index Returns'!$A$2:$A$70</xm:f>
          </x14:formula1>
          <xm:sqref>B3:B4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1220-565D-4359-B83E-42EC211F71E7}">
  <sheetPr>
    <tabColor rgb="FF06005A"/>
  </sheetPr>
  <dimension ref="A1:P86"/>
  <sheetViews>
    <sheetView tabSelected="1" topLeftCell="A105" zoomScaleNormal="100" workbookViewId="0"/>
  </sheetViews>
  <sheetFormatPr defaultColWidth="8.7265625" defaultRowHeight="17.5" x14ac:dyDescent="0.35"/>
  <cols>
    <col min="1" max="1" width="77.7265625" style="2" bestFit="1" customWidth="1"/>
    <col min="2" max="2" width="19.81640625" style="2" bestFit="1" customWidth="1"/>
    <col min="3" max="3" width="15" style="2" bestFit="1" customWidth="1"/>
    <col min="4" max="5" width="10" style="2" bestFit="1" customWidth="1"/>
    <col min="6" max="6" width="24.1796875" style="2" bestFit="1" customWidth="1"/>
    <col min="7" max="7" width="10" style="2" bestFit="1" customWidth="1"/>
    <col min="8" max="8" width="22.54296875" style="2" bestFit="1" customWidth="1"/>
    <col min="9" max="9" width="21" style="2" bestFit="1" customWidth="1"/>
    <col min="10" max="11" width="9.7265625" style="2" bestFit="1" customWidth="1"/>
    <col min="12" max="12" width="12.1796875" style="2" bestFit="1" customWidth="1"/>
    <col min="13" max="13" width="9.7265625" style="2" bestFit="1" customWidth="1"/>
    <col min="14" max="15" width="8.7265625" style="2"/>
    <col min="16" max="16" width="9.81640625" style="2" bestFit="1" customWidth="1"/>
    <col min="17" max="17" width="19" style="2" bestFit="1" customWidth="1"/>
    <col min="18" max="16384" width="8.7265625" style="2"/>
  </cols>
  <sheetData>
    <row r="1" spans="1:16" ht="18" x14ac:dyDescent="0.35">
      <c r="A1" s="1" t="s">
        <v>36</v>
      </c>
      <c r="B1" s="1"/>
      <c r="C1" s="1"/>
      <c r="D1" s="1"/>
      <c r="E1" s="1"/>
      <c r="I1" s="11"/>
      <c r="J1" s="11"/>
      <c r="K1" s="11"/>
      <c r="L1" s="11"/>
      <c r="M1" s="11"/>
    </row>
    <row r="2" spans="1:16" x14ac:dyDescent="0.35">
      <c r="C2" s="29"/>
      <c r="I2" s="11"/>
      <c r="J2" s="11"/>
      <c r="K2" s="11"/>
      <c r="L2" s="11"/>
      <c r="M2" s="11"/>
    </row>
    <row r="3" spans="1:16" ht="18" x14ac:dyDescent="0.4">
      <c r="A3" s="8" t="s">
        <v>37</v>
      </c>
      <c r="B3" s="83">
        <f>TAA!B4</f>
        <v>43465</v>
      </c>
      <c r="C3" s="29"/>
      <c r="I3" s="11"/>
      <c r="J3" s="11"/>
      <c r="K3" s="11"/>
      <c r="L3" s="11"/>
      <c r="M3" s="11"/>
    </row>
    <row r="4" spans="1:16" ht="18" x14ac:dyDescent="0.4">
      <c r="A4" s="8" t="s">
        <v>38</v>
      </c>
      <c r="B4" s="83">
        <f>EOMONTH(B3,3)</f>
        <v>43555</v>
      </c>
      <c r="C4" s="29"/>
      <c r="I4" s="11"/>
      <c r="J4" s="11"/>
      <c r="K4" s="11"/>
      <c r="L4" s="11"/>
      <c r="M4" s="11"/>
    </row>
    <row r="5" spans="1:16" x14ac:dyDescent="0.35">
      <c r="C5" s="29"/>
      <c r="I5" s="11"/>
      <c r="J5" s="11"/>
      <c r="K5" s="11"/>
      <c r="L5" s="11"/>
      <c r="M5" s="11"/>
    </row>
    <row r="6" spans="1:16" ht="18" x14ac:dyDescent="0.4">
      <c r="A6" s="30" t="s">
        <v>21</v>
      </c>
      <c r="B6" s="31">
        <f>(1+AVERAGEIFS(H18:H86,A18:A86,"&lt;="&amp;B4))^12-1</f>
        <v>4.8304048416061285E-3</v>
      </c>
      <c r="G6" s="8"/>
      <c r="H6" s="32"/>
      <c r="I6" s="11"/>
      <c r="J6" s="11"/>
      <c r="K6" s="11"/>
      <c r="L6" s="11"/>
      <c r="M6" s="11"/>
    </row>
    <row r="7" spans="1:16" ht="18" x14ac:dyDescent="0.4">
      <c r="A7" s="30" t="s">
        <v>22</v>
      </c>
      <c r="B7" s="31" cm="1">
        <f t="array" ref="B7">GEOMEAN(IF((A18:A86&lt;=B4), (1+H18:H86)))^12-1</f>
        <v>2.3521964448065535E-3</v>
      </c>
      <c r="G7" s="8"/>
      <c r="H7" s="32"/>
      <c r="I7" s="11"/>
      <c r="J7" s="11"/>
      <c r="K7" s="11"/>
      <c r="L7" s="11"/>
      <c r="M7" s="11"/>
    </row>
    <row r="8" spans="1:16" ht="18" x14ac:dyDescent="0.4">
      <c r="A8" s="8" t="s">
        <v>23</v>
      </c>
      <c r="B8" s="31" cm="1">
        <f t="array" ref="B8">_xlfn.STDEV.S(IF((A18:A86&lt;=B4),H18:H86))*SQRT(12)</f>
        <v>7.2531634637756678E-2</v>
      </c>
      <c r="G8" s="33"/>
      <c r="I8" s="11"/>
      <c r="J8" s="11"/>
      <c r="K8" s="11"/>
      <c r="L8" s="11"/>
      <c r="M8" s="11"/>
    </row>
    <row r="9" spans="1:16" ht="18" x14ac:dyDescent="0.4">
      <c r="A9" s="8" t="s">
        <v>16</v>
      </c>
      <c r="B9" s="34">
        <v>2.35E-2</v>
      </c>
      <c r="I9" s="11"/>
      <c r="J9" s="11"/>
      <c r="K9" s="11"/>
      <c r="L9" s="11"/>
      <c r="M9" s="11"/>
    </row>
    <row r="10" spans="1:16" ht="18" x14ac:dyDescent="0.4">
      <c r="A10" s="8" t="s">
        <v>17</v>
      </c>
      <c r="B10" s="35">
        <f>(B6-B9)/B8</f>
        <v>-0.25739934377096374</v>
      </c>
      <c r="J10" s="11"/>
      <c r="K10" s="11"/>
      <c r="L10" s="11"/>
      <c r="M10" s="11"/>
      <c r="O10" s="11"/>
      <c r="P10" s="11"/>
    </row>
    <row r="11" spans="1:16" ht="18" x14ac:dyDescent="0.4">
      <c r="A11" s="8"/>
      <c r="B11" s="35"/>
      <c r="J11" s="11"/>
      <c r="K11" s="11"/>
      <c r="L11" s="11"/>
      <c r="M11" s="11"/>
      <c r="O11" s="11"/>
      <c r="P11" s="11"/>
    </row>
    <row r="12" spans="1:16" ht="18" x14ac:dyDescent="0.4">
      <c r="A12" s="8" t="s">
        <v>24</v>
      </c>
      <c r="B12" s="36">
        <f>B9</f>
        <v>2.35E-2</v>
      </c>
      <c r="J12" s="11"/>
      <c r="K12" s="11"/>
      <c r="L12" s="11"/>
      <c r="M12" s="11"/>
      <c r="O12" s="11"/>
      <c r="P12" s="11"/>
    </row>
    <row r="13" spans="1:16" ht="18" x14ac:dyDescent="0.4">
      <c r="A13" s="8" t="s">
        <v>25</v>
      </c>
      <c r="B13" s="35">
        <f>SQRT(SUMIFS(I18:I86,A18:A86,"&lt;="&amp;B4)/COUNTIFS(A18:A86,"&lt;="&amp;B4))</f>
        <v>3.0329287508292956E-2</v>
      </c>
      <c r="J13" s="11"/>
      <c r="K13" s="11"/>
      <c r="L13" s="11"/>
      <c r="M13" s="11"/>
      <c r="O13" s="11"/>
      <c r="P13" s="11"/>
    </row>
    <row r="14" spans="1:16" ht="18" x14ac:dyDescent="0.4">
      <c r="A14" s="8" t="s">
        <v>26</v>
      </c>
      <c r="B14" s="35">
        <f>(B6-B12)/B13</f>
        <v>-0.61556326218639434</v>
      </c>
      <c r="J14" s="11"/>
      <c r="K14" s="11"/>
      <c r="L14" s="11"/>
      <c r="M14" s="11"/>
      <c r="O14" s="11"/>
      <c r="P14" s="11"/>
    </row>
    <row r="15" spans="1:16" ht="18" x14ac:dyDescent="0.4">
      <c r="A15" s="8"/>
      <c r="B15" s="44"/>
    </row>
    <row r="16" spans="1:16" ht="18" x14ac:dyDescent="0.4">
      <c r="I16" s="6" t="s">
        <v>26</v>
      </c>
    </row>
    <row r="17" spans="1:9" ht="18" x14ac:dyDescent="0.4">
      <c r="A17" s="37" t="s">
        <v>18</v>
      </c>
      <c r="B17" s="37" t="s">
        <v>2</v>
      </c>
      <c r="C17" s="37" t="s">
        <v>3</v>
      </c>
      <c r="D17" s="37" t="s">
        <v>4</v>
      </c>
      <c r="E17" s="37" t="s">
        <v>5</v>
      </c>
      <c r="F17" s="37" t="s">
        <v>6</v>
      </c>
      <c r="G17" s="37" t="s">
        <v>7</v>
      </c>
      <c r="H17" s="37" t="s">
        <v>27</v>
      </c>
      <c r="I17" s="37" t="s">
        <v>28</v>
      </c>
    </row>
    <row r="18" spans="1:9" ht="18" x14ac:dyDescent="0.35">
      <c r="A18" s="65">
        <v>43131</v>
      </c>
      <c r="B18" s="33">
        <f>IF(A18&lt;=$B$3,'Index Returns'!B2*'SAA with CME'!C$17,IF(TAAPortfolioPerformance!A18&gt;TAAPortfolioPerformance!$B$4,"",'Index Returns'!B2*TAA!C$24))</f>
        <v>1.4926628601605037E-2</v>
      </c>
      <c r="C18" s="33">
        <f>IF(B18&lt;=$B$3,'Index Returns'!C2*'SAA with CME'!D$17,IF(TAAPortfolioPerformance!B18&gt;TAAPortfolioPerformance!$B$4,"",'Index Returns'!C2*TAA!D$24))</f>
        <v>4.8460328911913361E-3</v>
      </c>
      <c r="D18" s="33">
        <f>IF(C18&lt;=$B$3,'Index Returns'!D2*'SAA with CME'!E$17,IF(TAAPortfolioPerformance!C18&gt;TAAPortfolioPerformance!$B$4,"",'Index Returns'!D2*TAA!E$24))</f>
        <v>8.283099348613954E-3</v>
      </c>
      <c r="E18" s="33">
        <f>IF(D18&lt;=$B$3,'Index Returns'!E2*'SAA with CME'!F$17,IF(TAAPortfolioPerformance!D18&gt;TAAPortfolioPerformance!$B$4,"",'Index Returns'!E2*TAA!F$24))</f>
        <v>1.4943163276727794E-2</v>
      </c>
      <c r="F18" s="33">
        <f>IF(E18&lt;=$B$3,'Index Returns'!F2*'SAA with CME'!G$17,IF(TAAPortfolioPerformance!E18&gt;TAAPortfolioPerformance!$B$4,"",'Index Returns'!F2*TAA!G$24))</f>
        <v>-2.387200985490543E-4</v>
      </c>
      <c r="G18" s="33">
        <f>IF(F18&lt;=$B$3,'Index Returns'!G2*'SAA with CME'!H$17,IF(TAAPortfolioPerformance!F18&gt;TAAPortfolioPerformance!$B$4,"",'Index Returns'!G2*TAA!H$24))</f>
        <v>-7.527980992320496E-4</v>
      </c>
      <c r="H18" s="33">
        <f t="shared" ref="H18:H30" si="0">IF(G18="","",SUM(B18:G18))</f>
        <v>4.2007405920357017E-2</v>
      </c>
      <c r="I18" s="38">
        <f t="shared" ref="I18:I30" si="1">IF(G18="","",(MIN(H18-$B$12,0)^2))</f>
        <v>0</v>
      </c>
    </row>
    <row r="19" spans="1:9" ht="18" x14ac:dyDescent="0.35">
      <c r="A19" s="65">
        <v>43159</v>
      </c>
      <c r="B19" s="33">
        <f>IF(A19&lt;=$B$3,'Index Returns'!B3*'SAA with CME'!C$17,IF(TAAPortfolioPerformance!A19&gt;TAAPortfolioPerformance!$B$4,"",'Index Returns'!B3*TAA!C$24))</f>
        <v>-1.0296659156791472E-2</v>
      </c>
      <c r="C19" s="33">
        <f>IF(B19&lt;=$B$3,'Index Returns'!C3*'SAA with CME'!D$17,IF(TAAPortfolioPerformance!B19&gt;TAAPortfolioPerformance!$B$4,"",'Index Returns'!C3*TAA!D$24))</f>
        <v>-3.7155503597122302E-3</v>
      </c>
      <c r="D19" s="33">
        <f>IF(C19&lt;=$B$3,'Index Returns'!D3*'SAA with CME'!E$17,IF(TAAPortfolioPerformance!C19&gt;TAAPortfolioPerformance!$B$4,"",'Index Returns'!D3*TAA!E$24))</f>
        <v>-6.3611126209803664E-3</v>
      </c>
      <c r="E19" s="33">
        <f>IF(D19&lt;=$B$3,'Index Returns'!E3*'SAA with CME'!F$17,IF(TAAPortfolioPerformance!D19&gt;TAAPortfolioPerformance!$B$4,"",'Index Returns'!E3*TAA!F$24))</f>
        <v>2.1121092841799992E-2</v>
      </c>
      <c r="F19" s="33">
        <f>IF(E19&lt;=$B$3,'Index Returns'!F3*'SAA with CME'!G$17,IF(TAAPortfolioPerformance!E19&gt;TAAPortfolioPerformance!$B$4,"",'Index Returns'!F3*TAA!G$24))</f>
        <v>-1.7245749636891499E-3</v>
      </c>
      <c r="G19" s="33">
        <f>IF(F19&lt;=$B$3,'Index Returns'!G3*'SAA with CME'!H$17,IF(TAAPortfolioPerformance!F19&gt;TAAPortfolioPerformance!$B$4,"",'Index Returns'!G3*TAA!H$24))</f>
        <v>-5.2868836144315239E-3</v>
      </c>
      <c r="H19" s="33">
        <f t="shared" si="0"/>
        <v>-6.2636878738047503E-3</v>
      </c>
      <c r="I19" s="38">
        <f t="shared" si="1"/>
        <v>8.8587711584927199E-4</v>
      </c>
    </row>
    <row r="20" spans="1:9" ht="18" x14ac:dyDescent="0.35">
      <c r="A20" s="65">
        <v>43189</v>
      </c>
      <c r="B20" s="33">
        <f>IF(A20&lt;=$B$3,'Index Returns'!B4*'SAA with CME'!C$17,IF(TAAPortfolioPerformance!A20&gt;TAAPortfolioPerformance!$B$4,"",'Index Returns'!B4*TAA!C$24))</f>
        <v>8.2074284424090262E-4</v>
      </c>
      <c r="C20" s="33">
        <f>IF(B20&lt;=$B$3,'Index Returns'!C4*'SAA with CME'!D$17,IF(TAAPortfolioPerformance!B20&gt;TAAPortfolioPerformance!$B$4,"",'Index Returns'!C4*TAA!D$24))</f>
        <v>-1.1658812300966157E-3</v>
      </c>
      <c r="D20" s="33">
        <f>IF(C20&lt;=$B$3,'Index Returns'!D4*'SAA with CME'!E$17,IF(TAAPortfolioPerformance!C20&gt;TAAPortfolioPerformance!$B$4,"",'Index Returns'!D4*TAA!E$24))</f>
        <v>-1.9824724397053697E-3</v>
      </c>
      <c r="E20" s="33">
        <f>IF(D20&lt;=$B$3,'Index Returns'!E4*'SAA with CME'!F$17,IF(TAAPortfolioPerformance!D20&gt;TAAPortfolioPerformance!$B$4,"",'Index Returns'!E4*TAA!F$24))</f>
        <v>-1.1519928467668811E-3</v>
      </c>
      <c r="F20" s="33">
        <f>IF(E20&lt;=$B$3,'Index Returns'!F4*'SAA with CME'!G$17,IF(TAAPortfolioPerformance!E20&gt;TAAPortfolioPerformance!$B$4,"",'Index Returns'!F4*TAA!G$24))</f>
        <v>-4.778198554641961E-4</v>
      </c>
      <c r="G20" s="33">
        <f>IF(F20&lt;=$B$3,'Index Returns'!G4*'SAA with CME'!H$17,IF(TAAPortfolioPerformance!F20&gt;TAAPortfolioPerformance!$B$4,"",'Index Returns'!G4*TAA!H$24))</f>
        <v>6.8646035241346024E-4</v>
      </c>
      <c r="H20" s="33">
        <f t="shared" si="0"/>
        <v>-3.2709631753787003E-3</v>
      </c>
      <c r="I20" s="38">
        <f t="shared" si="1"/>
        <v>7.1668446933748238E-4</v>
      </c>
    </row>
    <row r="21" spans="1:9" ht="18" x14ac:dyDescent="0.35">
      <c r="A21" s="65">
        <v>43220</v>
      </c>
      <c r="B21" s="33">
        <f>IF(A21&lt;=$B$3,'Index Returns'!B5*'SAA with CME'!C$17,IF(TAAPortfolioPerformance!A21&gt;TAAPortfolioPerformance!$B$4,"",'Index Returns'!B5*TAA!C$24))</f>
        <v>-5.6346549782799399E-3</v>
      </c>
      <c r="C21" s="33">
        <f>IF(B21&lt;=$B$3,'Index Returns'!C5*'SAA with CME'!D$17,IF(TAAPortfolioPerformance!B21&gt;TAAPortfolioPerformance!$B$4,"",'Index Returns'!C5*TAA!D$24))</f>
        <v>6.5936006118937974E-4</v>
      </c>
      <c r="D21" s="33">
        <f>IF(C21&lt;=$B$3,'Index Returns'!D5*'SAA with CME'!E$17,IF(TAAPortfolioPerformance!C21&gt;TAAPortfolioPerformance!$B$4,"",'Index Returns'!D5*TAA!E$24))</f>
        <v>1.1238747892949065E-3</v>
      </c>
      <c r="E21" s="33">
        <f>IF(D21&lt;=$B$3,'Index Returns'!E5*'SAA with CME'!F$17,IF(TAAPortfolioPerformance!D21&gt;TAAPortfolioPerformance!$B$4,"",'Index Returns'!E5*TAA!F$24))</f>
        <v>1.8774701156907109E-3</v>
      </c>
      <c r="F21" s="33">
        <f>IF(E21&lt;=$B$3,'Index Returns'!F5*'SAA with CME'!G$17,IF(TAAPortfolioPerformance!E21&gt;TAAPortfolioPerformance!$B$4,"",'Index Returns'!F5*TAA!G$24))</f>
        <v>5.5783421938290985E-5</v>
      </c>
      <c r="G21" s="33">
        <f>IF(F21&lt;=$B$3,'Index Returns'!G5*'SAA with CME'!H$17,IF(TAAPortfolioPerformance!F21&gt;TAAPortfolioPerformance!$B$4,"",'Index Returns'!G5*TAA!H$24))</f>
        <v>1.0842501694914668E-3</v>
      </c>
      <c r="H21" s="33">
        <f t="shared" si="0"/>
        <v>-8.3391642067518509E-4</v>
      </c>
      <c r="I21" s="38">
        <f t="shared" si="1"/>
        <v>5.9213948836840549E-4</v>
      </c>
    </row>
    <row r="22" spans="1:9" ht="18" x14ac:dyDescent="0.35">
      <c r="A22" s="65">
        <v>43251</v>
      </c>
      <c r="B22" s="33">
        <f>IF(A22&lt;=$B$3,'Index Returns'!B6*'SAA with CME'!C$17,IF(TAAPortfolioPerformance!A22&gt;TAAPortfolioPerformance!$B$4,"",'Index Returns'!B6*TAA!C$24))</f>
        <v>6.5678023120977263E-3</v>
      </c>
      <c r="C22" s="33">
        <f>IF(B22&lt;=$B$3,'Index Returns'!C6*'SAA with CME'!D$17,IF(TAAPortfolioPerformance!B22&gt;TAAPortfolioPerformance!$B$4,"",'Index Returns'!C6*TAA!D$24))</f>
        <v>6.6551801415288788E-4</v>
      </c>
      <c r="D22" s="33">
        <f>IF(C22&lt;=$B$3,'Index Returns'!D6*'SAA with CME'!E$17,IF(TAAPortfolioPerformance!C22&gt;TAAPortfolioPerformance!$B$4,"",'Index Returns'!D6*TAA!E$24))</f>
        <v>1.1245944607453007E-3</v>
      </c>
      <c r="E22" s="33">
        <f>IF(D22&lt;=$B$3,'Index Returns'!E6*'SAA with CME'!F$17,IF(TAAPortfolioPerformance!D22&gt;TAAPortfolioPerformance!$B$4,"",'Index Returns'!E6*TAA!F$24))</f>
        <v>7.5804864208010025E-3</v>
      </c>
      <c r="F22" s="33">
        <f>IF(E22&lt;=$B$3,'Index Returns'!F6*'SAA with CME'!G$17,IF(TAAPortfolioPerformance!E22&gt;TAAPortfolioPerformance!$B$4,"",'Index Returns'!F6*TAA!G$24))</f>
        <v>-7.68914709824932E-4</v>
      </c>
      <c r="G22" s="33">
        <f>IF(F22&lt;=$B$3,'Index Returns'!G6*'SAA with CME'!H$17,IF(TAAPortfolioPerformance!F22&gt;TAAPortfolioPerformance!$B$4,"",'Index Returns'!G6*TAA!H$24))</f>
        <v>2.1958016183356095E-3</v>
      </c>
      <c r="H22" s="33">
        <f t="shared" si="0"/>
        <v>1.7365288116307595E-2</v>
      </c>
      <c r="I22" s="38">
        <f t="shared" si="1"/>
        <v>3.7634689895916815E-5</v>
      </c>
    </row>
    <row r="23" spans="1:9" ht="18" x14ac:dyDescent="0.35">
      <c r="A23" s="65">
        <v>43280</v>
      </c>
      <c r="B23" s="33">
        <f>IF(A23&lt;=$B$3,'Index Returns'!B7*'SAA with CME'!C$17,IF(TAAPortfolioPerformance!A23&gt;TAAPortfolioPerformance!$B$4,"",'Index Returns'!B7*TAA!C$24))</f>
        <v>7.471744498048204E-3</v>
      </c>
      <c r="C23" s="33">
        <f>IF(B23&lt;=$B$3,'Index Returns'!C7*'SAA with CME'!D$17,IF(TAAPortfolioPerformance!B23&gt;TAAPortfolioPerformance!$B$4,"",'Index Returns'!C7*TAA!D$24))</f>
        <v>-2.1363402330665648E-3</v>
      </c>
      <c r="D23" s="33">
        <f>IF(C23&lt;=$B$3,'Index Returns'!D7*'SAA with CME'!E$17,IF(TAAPortfolioPerformance!C23&gt;TAAPortfolioPerformance!$B$4,"",'Index Returns'!D7*TAA!E$24))</f>
        <v>-3.6375456999787844E-3</v>
      </c>
      <c r="E23" s="33">
        <f>IF(D23&lt;=$B$3,'Index Returns'!E7*'SAA with CME'!F$17,IF(TAAPortfolioPerformance!D23&gt;TAAPortfolioPerformance!$B$4,"",'Index Returns'!E7*TAA!F$24))</f>
        <v>-4.3998961997828408E-3</v>
      </c>
      <c r="F23" s="33">
        <f>IF(E23&lt;=$B$3,'Index Returns'!F7*'SAA with CME'!G$17,IF(TAAPortfolioPerformance!E23&gt;TAAPortfolioPerformance!$B$4,"",'Index Returns'!F7*TAA!G$24))</f>
        <v>1.1626138669614992E-4</v>
      </c>
      <c r="G23" s="33">
        <f>IF(F23&lt;=$B$3,'Index Returns'!G7*'SAA with CME'!H$17,IF(TAAPortfolioPerformance!F23&gt;TAAPortfolioPerformance!$B$4,"",'Index Returns'!G7*TAA!H$24))</f>
        <v>2.579093099328304E-3</v>
      </c>
      <c r="H23" s="33">
        <f t="shared" si="0"/>
        <v>-6.6831487555321471E-6</v>
      </c>
      <c r="I23" s="38">
        <f t="shared" si="1"/>
        <v>5.5256415265598732E-4</v>
      </c>
    </row>
    <row r="24" spans="1:9" ht="18" x14ac:dyDescent="0.35">
      <c r="A24" s="65">
        <v>43312</v>
      </c>
      <c r="B24" s="33">
        <f>IF(A24&lt;=$B$3,'Index Returns'!B8*'SAA with CME'!C$17,IF(TAAPortfolioPerformance!A24&gt;TAAPortfolioPerformance!$B$4,"",'Index Returns'!B8*TAA!C$24))</f>
        <v>4.191492097835669E-3</v>
      </c>
      <c r="C24" s="33">
        <f>IF(B24&lt;=$B$3,'Index Returns'!C8*'SAA with CME'!D$17,IF(TAAPortfolioPerformance!B24&gt;TAAPortfolioPerformance!$B$4,"",'Index Returns'!C8*TAA!D$24))</f>
        <v>-1.5943986013986023E-3</v>
      </c>
      <c r="D24" s="33">
        <f>IF(C24&lt;=$B$3,'Index Returns'!D8*'SAA with CME'!E$17,IF(TAAPortfolioPerformance!C24&gt;TAAPortfolioPerformance!$B$4,"",'Index Returns'!D8*TAA!E$24))</f>
        <v>-2.7632609894392103E-3</v>
      </c>
      <c r="E24" s="33">
        <f>IF(D24&lt;=$B$3,'Index Returns'!E8*'SAA with CME'!F$17,IF(TAAPortfolioPerformance!D24&gt;TAAPortfolioPerformance!$B$4,"",'Index Returns'!E8*TAA!F$24))</f>
        <v>-1.6026638378101436E-3</v>
      </c>
      <c r="F24" s="33">
        <f>IF(E24&lt;=$B$3,'Index Returns'!F8*'SAA with CME'!G$17,IF(TAAPortfolioPerformance!E24&gt;TAAPortfolioPerformance!$B$4,"",'Index Returns'!F8*TAA!G$24))</f>
        <v>6.5594834696110747E-4</v>
      </c>
      <c r="G24" s="33">
        <f>IF(F24&lt;=$B$3,'Index Returns'!G8*'SAA with CME'!H$17,IF(TAAPortfolioPerformance!F24&gt;TAAPortfolioPerformance!$B$4,"",'Index Returns'!G8*TAA!H$24))</f>
        <v>1.6301113377244327E-3</v>
      </c>
      <c r="H24" s="33">
        <f t="shared" si="0"/>
        <v>5.1722835387325297E-4</v>
      </c>
      <c r="I24" s="38">
        <f t="shared" si="1"/>
        <v>5.282077925380076E-4</v>
      </c>
    </row>
    <row r="25" spans="1:9" ht="18" x14ac:dyDescent="0.35">
      <c r="A25" s="65">
        <v>43343</v>
      </c>
      <c r="B25" s="33">
        <f>IF(A25&lt;=$B$3,'Index Returns'!B9*'SAA with CME'!C$17,IF(TAAPortfolioPerformance!A25&gt;TAAPortfolioPerformance!$B$4,"",'Index Returns'!B9*TAA!C$24))</f>
        <v>7.0728601529258398E-3</v>
      </c>
      <c r="C25" s="33">
        <f>IF(B25&lt;=$B$3,'Index Returns'!C9*'SAA with CME'!D$17,IF(TAAPortfolioPerformance!B25&gt;TAAPortfolioPerformance!$B$4,"",'Index Returns'!C9*TAA!D$24))</f>
        <v>-5.9675164752774005E-4</v>
      </c>
      <c r="D25" s="33">
        <f>IF(C25&lt;=$B$3,'Index Returns'!D9*'SAA with CME'!E$17,IF(TAAPortfolioPerformance!C25&gt;TAAPortfolioPerformance!$B$4,"",'Index Returns'!D9*TAA!E$24))</f>
        <v>-1.0215458406442098E-3</v>
      </c>
      <c r="E25" s="33">
        <f>IF(D25&lt;=$B$3,'Index Returns'!E9*'SAA with CME'!F$17,IF(TAAPortfolioPerformance!D25&gt;TAAPortfolioPerformance!$B$4,"",'Index Returns'!E9*TAA!F$24))</f>
        <v>5.6708812523719317E-6</v>
      </c>
      <c r="F25" s="33">
        <f>IF(E25&lt;=$B$3,'Index Returns'!F9*'SAA with CME'!G$17,IF(TAAPortfolioPerformance!E25&gt;TAAPortfolioPerformance!$B$4,"",'Index Returns'!F9*TAA!G$24))</f>
        <v>6.4836119979054139E-4</v>
      </c>
      <c r="G25" s="33">
        <f>IF(F25&lt;=$B$3,'Index Returns'!G9*'SAA with CME'!H$17,IF(TAAPortfolioPerformance!F25&gt;TAAPortfolioPerformance!$B$4,"",'Index Returns'!G9*TAA!H$24))</f>
        <v>1.3213226837170372E-3</v>
      </c>
      <c r="H25" s="33">
        <f t="shared" si="0"/>
        <v>7.4299174295138406E-3</v>
      </c>
      <c r="I25" s="38">
        <f t="shared" si="1"/>
        <v>2.5824755382224297E-4</v>
      </c>
    </row>
    <row r="26" spans="1:9" ht="18" x14ac:dyDescent="0.35">
      <c r="A26" s="65">
        <v>43371</v>
      </c>
      <c r="B26" s="33">
        <f>IF(A26&lt;=$B$3,'Index Returns'!B10*'SAA with CME'!C$17,IF(TAAPortfolioPerformance!A26&gt;TAAPortfolioPerformance!$B$4,"",'Index Returns'!B10*TAA!C$24))</f>
        <v>4.7076171154710302E-3</v>
      </c>
      <c r="C26" s="33">
        <f>IF(B26&lt;=$B$3,'Index Returns'!C10*'SAA with CME'!D$17,IF(TAAPortfolioPerformance!B26&gt;TAAPortfolioPerformance!$B$4,"",'Index Returns'!C10*TAA!D$24))</f>
        <v>-3.186077500864567E-4</v>
      </c>
      <c r="D26" s="33">
        <f>IF(C26&lt;=$B$3,'Index Returns'!D10*'SAA with CME'!E$17,IF(TAAPortfolioPerformance!C26&gt;TAAPortfolioPerformance!$B$4,"",'Index Returns'!D10*TAA!E$24))</f>
        <v>-5.4617437547554689E-4</v>
      </c>
      <c r="E26" s="33">
        <f>IF(D26&lt;=$B$3,'Index Returns'!E10*'SAA with CME'!F$17,IF(TAAPortfolioPerformance!D26&gt;TAAPortfolioPerformance!$B$4,"",'Index Returns'!E10*TAA!F$24))</f>
        <v>7.9568599808212456E-3</v>
      </c>
      <c r="F26" s="33">
        <f>IF(E26&lt;=$B$3,'Index Returns'!F10*'SAA with CME'!G$17,IF(TAAPortfolioPerformance!E26&gt;TAAPortfolioPerformance!$B$4,"",'Index Returns'!F10*TAA!G$24))</f>
        <v>-3.2318034267610684E-4</v>
      </c>
      <c r="G26" s="33">
        <f>IF(F26&lt;=$B$3,'Index Returns'!G10*'SAA with CME'!H$17,IF(TAAPortfolioPerformance!F26&gt;TAAPortfolioPerformance!$B$4,"",'Index Returns'!G10*TAA!H$24))</f>
        <v>-5.8463042097383418E-4</v>
      </c>
      <c r="H26" s="33">
        <f t="shared" si="0"/>
        <v>1.089188420708033E-2</v>
      </c>
      <c r="I26" s="38">
        <f t="shared" si="1"/>
        <v>1.5896458384767042E-4</v>
      </c>
    </row>
    <row r="27" spans="1:9" ht="18" x14ac:dyDescent="0.35">
      <c r="A27" s="65">
        <v>43404</v>
      </c>
      <c r="B27" s="33">
        <f>IF(A27&lt;=$B$3,'Index Returns'!B11*'SAA with CME'!C$17,IF(TAAPortfolioPerformance!A27&gt;TAAPortfolioPerformance!$B$4,"",'Index Returns'!B11*TAA!C$24))</f>
        <v>-1.540912943785732E-2</v>
      </c>
      <c r="C27" s="33">
        <f>IF(B27&lt;=$B$3,'Index Returns'!C11*'SAA with CME'!D$17,IF(TAAPortfolioPerformance!B27&gt;TAAPortfolioPerformance!$B$4,"",'Index Returns'!C11*TAA!D$24))</f>
        <v>-5.0317545795630081E-3</v>
      </c>
      <c r="D27" s="33">
        <f>IF(C27&lt;=$B$3,'Index Returns'!D11*'SAA with CME'!E$17,IF(TAAPortfolioPerformance!C27&gt;TAAPortfolioPerformance!$B$4,"",'Index Returns'!D11*TAA!E$24))</f>
        <v>-8.5667173203909999E-3</v>
      </c>
      <c r="E27" s="33">
        <f>IF(D27&lt;=$B$3,'Index Returns'!E11*'SAA with CME'!F$17,IF(TAAPortfolioPerformance!D27&gt;TAAPortfolioPerformance!$B$4,"",'Index Returns'!E11*TAA!F$24))</f>
        <v>9.7588615867376903E-3</v>
      </c>
      <c r="F27" s="33">
        <f>IF(E27&lt;=$B$3,'Index Returns'!F11*'SAA with CME'!G$17,IF(TAAPortfolioPerformance!E27&gt;TAAPortfolioPerformance!$B$4,"",'Index Returns'!F11*TAA!G$24))</f>
        <v>-8.0948277797958748E-4</v>
      </c>
      <c r="G27" s="33">
        <f>IF(F27&lt;=$B$3,'Index Returns'!G11*'SAA with CME'!H$17,IF(TAAPortfolioPerformance!F27&gt;TAAPortfolioPerformance!$B$4,"",'Index Returns'!G11*TAA!H$24))</f>
        <v>-3.7030481474632109E-3</v>
      </c>
      <c r="H27" s="33">
        <f t="shared" si="0"/>
        <v>-2.3761270676516438E-2</v>
      </c>
      <c r="I27" s="38">
        <f t="shared" si="1"/>
        <v>2.2336277059589521E-3</v>
      </c>
    </row>
    <row r="28" spans="1:9" ht="18" x14ac:dyDescent="0.35">
      <c r="A28" s="65">
        <v>43434</v>
      </c>
      <c r="B28" s="33">
        <f>IF(A28&lt;=$B$3,'Index Returns'!B12*'SAA with CME'!C$17,IF(TAAPortfolioPerformance!A28&gt;TAAPortfolioPerformance!$B$4,"",'Index Returns'!B12*TAA!C$24))</f>
        <v>-7.6170774148298483E-3</v>
      </c>
      <c r="C28" s="33">
        <f>IF(B28&lt;=$B$3,'Index Returns'!C12*'SAA with CME'!D$17,IF(TAAPortfolioPerformance!B28&gt;TAAPortfolioPerformance!$B$4,"",'Index Returns'!C12*TAA!D$24))</f>
        <v>-2.4771692233434232E-3</v>
      </c>
      <c r="D28" s="33">
        <f>IF(C28&lt;=$B$3,'Index Returns'!D12*'SAA with CME'!E$17,IF(TAAPortfolioPerformance!C28&gt;TAAPortfolioPerformance!$B$4,"",'Index Returns'!D12*TAA!E$24))</f>
        <v>-4.2811271038604029E-3</v>
      </c>
      <c r="E28" s="33">
        <f>IF(D28&lt;=$B$3,'Index Returns'!E12*'SAA with CME'!F$17,IF(TAAPortfolioPerformance!D28&gt;TAAPortfolioPerformance!$B$4,"",'Index Returns'!E12*TAA!F$24))</f>
        <v>-2.2356840395207031E-3</v>
      </c>
      <c r="F28" s="33">
        <f>IF(E28&lt;=$B$3,'Index Returns'!F12*'SAA with CME'!G$17,IF(TAAPortfolioPerformance!E28&gt;TAAPortfolioPerformance!$B$4,"",'Index Returns'!F12*TAA!G$24))</f>
        <v>-5.4872829138057197E-4</v>
      </c>
      <c r="G28" s="33">
        <f>IF(F28&lt;=$B$3,'Index Returns'!G12*'SAA with CME'!H$17,IF(TAAPortfolioPerformance!F28&gt;TAAPortfolioPerformance!$B$4,"",'Index Returns'!G12*TAA!H$24))</f>
        <v>2.031523266677914E-3</v>
      </c>
      <c r="H28" s="33">
        <f t="shared" si="0"/>
        <v>-1.5128262806257035E-2</v>
      </c>
      <c r="I28" s="38">
        <f t="shared" si="1"/>
        <v>1.4921426874292608E-3</v>
      </c>
    </row>
    <row r="29" spans="1:9" ht="18" x14ac:dyDescent="0.35">
      <c r="A29" s="65">
        <v>43465</v>
      </c>
      <c r="B29" s="33">
        <f>IF(A29&lt;=$B$3,'Index Returns'!B13*'SAA with CME'!C$17,IF(TAAPortfolioPerformance!A29&gt;TAAPortfolioPerformance!$B$4,"",'Index Returns'!B13*TAA!C$24))</f>
        <v>-1.7577139521845316E-2</v>
      </c>
      <c r="C29" s="33">
        <f>IF(B29&lt;=$B$3,'Index Returns'!C13*'SAA with CME'!D$17,IF(TAAPortfolioPerformance!B29&gt;TAAPortfolioPerformance!$B$4,"",'Index Returns'!C13*TAA!D$24))</f>
        <v>-4.8228644620873853E-3</v>
      </c>
      <c r="D29" s="33">
        <f>IF(C29&lt;=$B$3,'Index Returns'!D13*'SAA with CME'!E$17,IF(TAAPortfolioPerformance!C29&gt;TAAPortfolioPerformance!$B$4,"",'Index Returns'!D13*TAA!E$24))</f>
        <v>-8.2692751507322144E-3</v>
      </c>
      <c r="E29" s="33">
        <f>IF(D29&lt;=$B$3,'Index Returns'!E13*'SAA with CME'!F$17,IF(TAAPortfolioPerformance!D29&gt;TAAPortfolioPerformance!$B$4,"",'Index Returns'!E13*TAA!F$24))</f>
        <v>-1.8108228177665699E-2</v>
      </c>
      <c r="F29" s="33">
        <f>IF(E29&lt;=$B$3,'Index Returns'!F13*'SAA with CME'!G$17,IF(TAAPortfolioPerformance!E29&gt;TAAPortfolioPerformance!$B$4,"",'Index Returns'!F13*TAA!G$24))</f>
        <v>8.777949998828383E-4</v>
      </c>
      <c r="G29" s="33">
        <f>IF(F29&lt;=$B$3,'Index Returns'!G13*'SAA with CME'!H$17,IF(TAAPortfolioPerformance!F29&gt;TAAPortfolioPerformance!$B$4,"",'Index Returns'!G13*TAA!H$24))</f>
        <v>-1.8912625191269195E-3</v>
      </c>
      <c r="H29" s="33">
        <f t="shared" si="0"/>
        <v>-4.97909748315747E-2</v>
      </c>
      <c r="I29" s="38">
        <f t="shared" si="1"/>
        <v>5.3715669917625171E-3</v>
      </c>
    </row>
    <row r="30" spans="1:9" ht="18" x14ac:dyDescent="0.35">
      <c r="A30" s="65">
        <v>43496</v>
      </c>
      <c r="B30" s="33">
        <f>IF(A30&lt;=$B$3,'Index Returns'!B14*'SAA with CME'!C$17,IF(TAAPortfolioPerformance!A30&gt;TAAPortfolioPerformance!$B$4,"",'Index Returns'!B14*TAA!C$24))</f>
        <v>1.3891740003563605E-3</v>
      </c>
      <c r="C30" s="33">
        <f>IF(B30&lt;=$B$3,'Index Returns'!C14*'SAA with CME'!D$17,IF(TAAPortfolioPerformance!B30&gt;TAAPortfolioPerformance!$B$4,"",'Index Returns'!C14*TAA!D$24))</f>
        <v>2.3572824937548643E-3</v>
      </c>
      <c r="D30" s="33">
        <f>IF(C30&lt;=$B$3,'Index Returns'!D14*'SAA with CME'!E$17,IF(TAAPortfolioPerformance!C30&gt;TAAPortfolioPerformance!$B$4,"",'Index Returns'!D14*TAA!E$24))</f>
        <v>4.0280696459449265E-3</v>
      </c>
      <c r="E30" s="33">
        <f>IF(D30&lt;=$B$3,'Index Returns'!E14*'SAA with CME'!F$17,IF(TAAPortfolioPerformance!D30&gt;TAAPortfolioPerformance!$B$4,"",'Index Returns'!E14*TAA!F$24))</f>
        <v>-8.3176914043314263E-3</v>
      </c>
      <c r="F30" s="33">
        <f>IF(E30&lt;=$B$3,'Index Returns'!F14*'SAA with CME'!G$17,IF(TAAPortfolioPerformance!E30&gt;TAAPortfolioPerformance!$B$4,"",'Index Returns'!F14*TAA!G$24))</f>
        <v>1.1654969086754828E-3</v>
      </c>
      <c r="G30" s="33">
        <f>IF(F30&lt;=$B$3,'Index Returns'!G14*'SAA with CME'!H$17,IF(TAAPortfolioPerformance!F30&gt;TAAPortfolioPerformance!$B$4,"",'Index Returns'!G14*TAA!H$24))</f>
        <v>1.8205844557513604E-3</v>
      </c>
      <c r="H30" s="33">
        <f t="shared" si="0"/>
        <v>2.4429161001515679E-3</v>
      </c>
      <c r="I30" s="38">
        <f t="shared" si="1"/>
        <v>4.4340078236525607E-4</v>
      </c>
    </row>
    <row r="31" spans="1:9" ht="18" x14ac:dyDescent="0.35">
      <c r="A31" s="65">
        <v>43524</v>
      </c>
      <c r="B31" s="33">
        <f>IF(A31&lt;=$B$3,'Index Returns'!B15*'SAA with CME'!C$17,IF(TAAPortfolioPerformance!A31&gt;TAAPortfolioPerformance!$B$4,"",'Index Returns'!B15*TAA!C$24))</f>
        <v>7.8308171114713117E-3</v>
      </c>
      <c r="C31" s="33">
        <f>IF(B31&lt;=$B$3,'Index Returns'!C15*'SAA with CME'!D$17,IF(TAAPortfolioPerformance!B31&gt;TAAPortfolioPerformance!$B$4,"",'Index Returns'!C15*TAA!D$24))</f>
        <v>3.9657916360968572E-3</v>
      </c>
      <c r="D31" s="33">
        <f>IF(C31&lt;=$B$3,'Index Returns'!D15*'SAA with CME'!E$17,IF(TAAPortfolioPerformance!C31&gt;TAAPortfolioPerformance!$B$4,"",'Index Returns'!D15*TAA!E$24))</f>
        <v>6.8731871712843853E-3</v>
      </c>
      <c r="E31" s="33">
        <f>IF(D31&lt;=$B$3,'Index Returns'!E15*'SAA with CME'!F$17,IF(TAAPortfolioPerformance!D31&gt;TAAPortfolioPerformance!$B$4,"",'Index Returns'!E15*TAA!F$24))</f>
        <v>-2.7579418267898639E-3</v>
      </c>
      <c r="F31" s="33">
        <f>IF(E31&lt;=$B$3,'Index Returns'!F15*'SAA with CME'!G$17,IF(TAAPortfolioPerformance!E31&gt;TAAPortfolioPerformance!$B$4,"",'Index Returns'!F15*TAA!G$24))</f>
        <v>1.7772019159698631E-3</v>
      </c>
      <c r="G31" s="33">
        <f>IF(F31&lt;=$B$3,'Index Returns'!G15*'SAA with CME'!H$17,IF(TAAPortfolioPerformance!F31&gt;TAAPortfolioPerformance!$B$4,"",'Index Returns'!G15*TAA!H$24))</f>
        <v>6.1916370528644861E-3</v>
      </c>
      <c r="H31" s="33">
        <f t="shared" ref="H31:H86" si="2">IF(G31="","",SUM(B31:G31))</f>
        <v>2.3880693060897035E-2</v>
      </c>
      <c r="I31" s="38">
        <f t="shared" ref="I31:I86" si="3">IF(G31="","",(MIN(H31-$B$12,0)^2))</f>
        <v>0</v>
      </c>
    </row>
    <row r="32" spans="1:9" ht="18" x14ac:dyDescent="0.35">
      <c r="A32" s="65">
        <v>43553</v>
      </c>
      <c r="B32" s="33">
        <f>IF(A32&lt;=$B$3,'Index Returns'!B16*'SAA with CME'!C$17,IF(TAAPortfolioPerformance!A32&gt;TAAPortfolioPerformance!$B$4,"",'Index Returns'!B16*TAA!C$24))</f>
        <v>2.0203787583210073E-3</v>
      </c>
      <c r="C32" s="33">
        <f>IF(B32&lt;=$B$3,'Index Returns'!C16*'SAA with CME'!D$17,IF(TAAPortfolioPerformance!B32&gt;TAAPortfolioPerformance!$B$4,"",'Index Returns'!C16*TAA!D$24))</f>
        <v>1.5250953079988232E-3</v>
      </c>
      <c r="D32" s="33">
        <f>IF(C32&lt;=$B$3,'Index Returns'!D16*'SAA with CME'!E$17,IF(TAAPortfolioPerformance!C32&gt;TAAPortfolioPerformance!$B$4,"",'Index Returns'!D16*TAA!E$24))</f>
        <v>2.646281726458543E-3</v>
      </c>
      <c r="E32" s="33">
        <f>IF(D32&lt;=$B$3,'Index Returns'!E16*'SAA with CME'!F$17,IF(TAAPortfolioPerformance!D32&gt;TAAPortfolioPerformance!$B$4,"",'Index Returns'!E16*TAA!F$24))</f>
        <v>-7.8776350824918441E-3</v>
      </c>
      <c r="F32" s="33">
        <f>IF(E32&lt;=$B$3,'Index Returns'!F16*'SAA with CME'!G$17,IF(TAAPortfolioPerformance!E32&gt;TAAPortfolioPerformance!$B$4,"",'Index Returns'!F16*TAA!G$24))</f>
        <v>1.1312778058509933E-3</v>
      </c>
      <c r="G32" s="33">
        <f>IF(F32&lt;=$B$3,'Index Returns'!G16*'SAA with CME'!H$17,IF(TAAPortfolioPerformance!F32&gt;TAAPortfolioPerformance!$B$4,"",'Index Returns'!G16*TAA!H$24))</f>
        <v>1.0997066337557623E-3</v>
      </c>
      <c r="H32" s="33">
        <f t="shared" si="2"/>
        <v>5.4510514989328501E-4</v>
      </c>
      <c r="I32" s="38">
        <f t="shared" si="3"/>
        <v>5.2692719757945579E-4</v>
      </c>
    </row>
    <row r="33" spans="1:9" ht="18" x14ac:dyDescent="0.35">
      <c r="A33" s="65">
        <v>43585</v>
      </c>
      <c r="B33" s="33" t="str">
        <f>IF(A33&lt;=$B$3,'Index Returns'!B17*'SAA with CME'!C$17,IF(TAAPortfolioPerformance!A33&gt;TAAPortfolioPerformance!$B$4,"",'Index Returns'!B17*TAA!C$24))</f>
        <v/>
      </c>
      <c r="C33" s="33" t="str">
        <f>IF(B33&lt;=$B$3,'Index Returns'!C17*'SAA with CME'!D$17,IF(TAAPortfolioPerformance!B33&gt;TAAPortfolioPerformance!$B$4,"",'Index Returns'!C17*TAA!D$24))</f>
        <v/>
      </c>
      <c r="D33" s="33" t="str">
        <f>IF(C33&lt;=$B$3,'Index Returns'!D17*'SAA with CME'!E$17,IF(TAAPortfolioPerformance!C33&gt;TAAPortfolioPerformance!$B$4,"",'Index Returns'!D17*TAA!E$24))</f>
        <v/>
      </c>
      <c r="E33" s="33" t="str">
        <f>IF(D33&lt;=$B$3,'Index Returns'!E17*'SAA with CME'!F$17,IF(TAAPortfolioPerformance!D33&gt;TAAPortfolioPerformance!$B$4,"",'Index Returns'!E17*TAA!F$24))</f>
        <v/>
      </c>
      <c r="F33" s="33" t="str">
        <f>IF(E33&lt;=$B$3,'Index Returns'!F17*'SAA with CME'!G$17,IF(TAAPortfolioPerformance!E33&gt;TAAPortfolioPerformance!$B$4,"",'Index Returns'!F17*TAA!G$24))</f>
        <v/>
      </c>
      <c r="G33" s="33" t="str">
        <f>IF(F33&lt;=$B$3,'Index Returns'!G17*'SAA with CME'!H$17,IF(TAAPortfolioPerformance!F33&gt;TAAPortfolioPerformance!$B$4,"",'Index Returns'!G17*TAA!H$24))</f>
        <v/>
      </c>
      <c r="H33" s="33" t="str">
        <f t="shared" si="2"/>
        <v/>
      </c>
      <c r="I33" s="38" t="str">
        <f t="shared" si="3"/>
        <v/>
      </c>
    </row>
    <row r="34" spans="1:9" ht="18" x14ac:dyDescent="0.35">
      <c r="A34" s="65">
        <v>43616</v>
      </c>
      <c r="B34" s="33" t="str">
        <f>IF(A34&lt;=$B$3,'Index Returns'!B18*'SAA with CME'!C$17,IF(TAAPortfolioPerformance!A34&gt;TAAPortfolioPerformance!$B$4,"",'Index Returns'!B18*TAA!C$24))</f>
        <v/>
      </c>
      <c r="C34" s="33" t="str">
        <f>IF(B34&lt;=$B$3,'Index Returns'!C18*'SAA with CME'!D$17,IF(TAAPortfolioPerformance!B34&gt;TAAPortfolioPerformance!$B$4,"",'Index Returns'!C18*TAA!D$24))</f>
        <v/>
      </c>
      <c r="D34" s="33" t="str">
        <f>IF(C34&lt;=$B$3,'Index Returns'!D18*'SAA with CME'!E$17,IF(TAAPortfolioPerformance!C34&gt;TAAPortfolioPerformance!$B$4,"",'Index Returns'!D18*TAA!E$24))</f>
        <v/>
      </c>
      <c r="E34" s="33" t="str">
        <f>IF(D34&lt;=$B$3,'Index Returns'!E18*'SAA with CME'!F$17,IF(TAAPortfolioPerformance!D34&gt;TAAPortfolioPerformance!$B$4,"",'Index Returns'!E18*TAA!F$24))</f>
        <v/>
      </c>
      <c r="F34" s="33" t="str">
        <f>IF(E34&lt;=$B$3,'Index Returns'!F18*'SAA with CME'!G$17,IF(TAAPortfolioPerformance!E34&gt;TAAPortfolioPerformance!$B$4,"",'Index Returns'!F18*TAA!G$24))</f>
        <v/>
      </c>
      <c r="G34" s="33" t="str">
        <f>IF(F34&lt;=$B$3,'Index Returns'!G18*'SAA with CME'!H$17,IF(TAAPortfolioPerformance!F34&gt;TAAPortfolioPerformance!$B$4,"",'Index Returns'!G18*TAA!H$24))</f>
        <v/>
      </c>
      <c r="H34" s="33" t="str">
        <f t="shared" si="2"/>
        <v/>
      </c>
      <c r="I34" s="38" t="str">
        <f t="shared" si="3"/>
        <v/>
      </c>
    </row>
    <row r="35" spans="1:9" ht="18" x14ac:dyDescent="0.35">
      <c r="A35" s="65">
        <v>43644</v>
      </c>
      <c r="B35" s="33" t="str">
        <f>IF(A35&lt;=$B$3,'Index Returns'!B19*'SAA with CME'!C$17,IF(TAAPortfolioPerformance!A35&gt;TAAPortfolioPerformance!$B$4,"",'Index Returns'!B19*TAA!C$24))</f>
        <v/>
      </c>
      <c r="C35" s="33" t="str">
        <f>IF(B35&lt;=$B$3,'Index Returns'!C19*'SAA with CME'!D$17,IF(TAAPortfolioPerformance!B35&gt;TAAPortfolioPerformance!$B$4,"",'Index Returns'!C19*TAA!D$24))</f>
        <v/>
      </c>
      <c r="D35" s="33" t="str">
        <f>IF(C35&lt;=$B$3,'Index Returns'!D19*'SAA with CME'!E$17,IF(TAAPortfolioPerformance!C35&gt;TAAPortfolioPerformance!$B$4,"",'Index Returns'!D19*TAA!E$24))</f>
        <v/>
      </c>
      <c r="E35" s="33" t="str">
        <f>IF(D35&lt;=$B$3,'Index Returns'!E19*'SAA with CME'!F$17,IF(TAAPortfolioPerformance!D35&gt;TAAPortfolioPerformance!$B$4,"",'Index Returns'!E19*TAA!F$24))</f>
        <v/>
      </c>
      <c r="F35" s="33" t="str">
        <f>IF(E35&lt;=$B$3,'Index Returns'!F19*'SAA with CME'!G$17,IF(TAAPortfolioPerformance!E35&gt;TAAPortfolioPerformance!$B$4,"",'Index Returns'!F19*TAA!G$24))</f>
        <v/>
      </c>
      <c r="G35" s="33" t="str">
        <f>IF(F35&lt;=$B$3,'Index Returns'!G19*'SAA with CME'!H$17,IF(TAAPortfolioPerformance!F35&gt;TAAPortfolioPerformance!$B$4,"",'Index Returns'!G19*TAA!H$24))</f>
        <v/>
      </c>
      <c r="H35" s="33" t="str">
        <f t="shared" si="2"/>
        <v/>
      </c>
      <c r="I35" s="38" t="str">
        <f t="shared" si="3"/>
        <v/>
      </c>
    </row>
    <row r="36" spans="1:9" ht="18" x14ac:dyDescent="0.35">
      <c r="A36" s="65">
        <v>43677</v>
      </c>
      <c r="B36" s="33" t="str">
        <f>IF(A36&lt;=$B$3,'Index Returns'!B20*'SAA with CME'!C$17,IF(TAAPortfolioPerformance!A36&gt;TAAPortfolioPerformance!$B$4,"",'Index Returns'!B20*TAA!C$24))</f>
        <v/>
      </c>
      <c r="C36" s="33" t="str">
        <f>IF(B36&lt;=$B$3,'Index Returns'!C20*'SAA with CME'!D$17,IF(TAAPortfolioPerformance!B36&gt;TAAPortfolioPerformance!$B$4,"",'Index Returns'!C20*TAA!D$24))</f>
        <v/>
      </c>
      <c r="D36" s="33" t="str">
        <f>IF(C36&lt;=$B$3,'Index Returns'!D20*'SAA with CME'!E$17,IF(TAAPortfolioPerformance!C36&gt;TAAPortfolioPerformance!$B$4,"",'Index Returns'!D20*TAA!E$24))</f>
        <v/>
      </c>
      <c r="E36" s="33" t="str">
        <f>IF(D36&lt;=$B$3,'Index Returns'!E20*'SAA with CME'!F$17,IF(TAAPortfolioPerformance!D36&gt;TAAPortfolioPerformance!$B$4,"",'Index Returns'!E20*TAA!F$24))</f>
        <v/>
      </c>
      <c r="F36" s="33" t="str">
        <f>IF(E36&lt;=$B$3,'Index Returns'!F20*'SAA with CME'!G$17,IF(TAAPortfolioPerformance!E36&gt;TAAPortfolioPerformance!$B$4,"",'Index Returns'!F20*TAA!G$24))</f>
        <v/>
      </c>
      <c r="G36" s="33" t="str">
        <f>IF(F36&lt;=$B$3,'Index Returns'!G20*'SAA with CME'!H$17,IF(TAAPortfolioPerformance!F36&gt;TAAPortfolioPerformance!$B$4,"",'Index Returns'!G20*TAA!H$24))</f>
        <v/>
      </c>
      <c r="H36" s="33" t="str">
        <f t="shared" si="2"/>
        <v/>
      </c>
      <c r="I36" s="38" t="str">
        <f t="shared" si="3"/>
        <v/>
      </c>
    </row>
    <row r="37" spans="1:9" ht="18" x14ac:dyDescent="0.35">
      <c r="A37" s="65">
        <v>43707</v>
      </c>
      <c r="B37" s="33" t="str">
        <f>IF(A37&lt;=$B$3,'Index Returns'!B21*'SAA with CME'!C$17,IF(TAAPortfolioPerformance!A37&gt;TAAPortfolioPerformance!$B$4,"",'Index Returns'!B21*TAA!C$24))</f>
        <v/>
      </c>
      <c r="C37" s="33" t="str">
        <f>IF(B37&lt;=$B$3,'Index Returns'!C21*'SAA with CME'!D$17,IF(TAAPortfolioPerformance!B37&gt;TAAPortfolioPerformance!$B$4,"",'Index Returns'!C21*TAA!D$24))</f>
        <v/>
      </c>
      <c r="D37" s="33" t="str">
        <f>IF(C37&lt;=$B$3,'Index Returns'!D21*'SAA with CME'!E$17,IF(TAAPortfolioPerformance!C37&gt;TAAPortfolioPerformance!$B$4,"",'Index Returns'!D21*TAA!E$24))</f>
        <v/>
      </c>
      <c r="E37" s="33" t="str">
        <f>IF(D37&lt;=$B$3,'Index Returns'!E21*'SAA with CME'!F$17,IF(TAAPortfolioPerformance!D37&gt;TAAPortfolioPerformance!$B$4,"",'Index Returns'!E21*TAA!F$24))</f>
        <v/>
      </c>
      <c r="F37" s="33" t="str">
        <f>IF(E37&lt;=$B$3,'Index Returns'!F21*'SAA with CME'!G$17,IF(TAAPortfolioPerformance!E37&gt;TAAPortfolioPerformance!$B$4,"",'Index Returns'!F21*TAA!G$24))</f>
        <v/>
      </c>
      <c r="G37" s="33" t="str">
        <f>IF(F37&lt;=$B$3,'Index Returns'!G21*'SAA with CME'!H$17,IF(TAAPortfolioPerformance!F37&gt;TAAPortfolioPerformance!$B$4,"",'Index Returns'!G21*TAA!H$24))</f>
        <v/>
      </c>
      <c r="H37" s="33" t="str">
        <f t="shared" si="2"/>
        <v/>
      </c>
      <c r="I37" s="38" t="str">
        <f t="shared" si="3"/>
        <v/>
      </c>
    </row>
    <row r="38" spans="1:9" ht="18" x14ac:dyDescent="0.35">
      <c r="A38" s="65">
        <v>43738</v>
      </c>
      <c r="B38" s="33" t="str">
        <f>IF(A38&lt;=$B$3,'Index Returns'!B22*'SAA with CME'!C$17,IF(TAAPortfolioPerformance!A38&gt;TAAPortfolioPerformance!$B$4,"",'Index Returns'!B22*TAA!C$24))</f>
        <v/>
      </c>
      <c r="C38" s="33" t="str">
        <f>IF(B38&lt;=$B$3,'Index Returns'!C22*'SAA with CME'!D$17,IF(TAAPortfolioPerformance!B38&gt;TAAPortfolioPerformance!$B$4,"",'Index Returns'!C22*TAA!D$24))</f>
        <v/>
      </c>
      <c r="D38" s="33" t="str">
        <f>IF(C38&lt;=$B$3,'Index Returns'!D22*'SAA with CME'!E$17,IF(TAAPortfolioPerformance!C38&gt;TAAPortfolioPerformance!$B$4,"",'Index Returns'!D22*TAA!E$24))</f>
        <v/>
      </c>
      <c r="E38" s="33" t="str">
        <f>IF(D38&lt;=$B$3,'Index Returns'!E22*'SAA with CME'!F$17,IF(TAAPortfolioPerformance!D38&gt;TAAPortfolioPerformance!$B$4,"",'Index Returns'!E22*TAA!F$24))</f>
        <v/>
      </c>
      <c r="F38" s="33" t="str">
        <f>IF(E38&lt;=$B$3,'Index Returns'!F22*'SAA with CME'!G$17,IF(TAAPortfolioPerformance!E38&gt;TAAPortfolioPerformance!$B$4,"",'Index Returns'!F22*TAA!G$24))</f>
        <v/>
      </c>
      <c r="G38" s="33" t="str">
        <f>IF(F38&lt;=$B$3,'Index Returns'!G22*'SAA with CME'!H$17,IF(TAAPortfolioPerformance!F38&gt;TAAPortfolioPerformance!$B$4,"",'Index Returns'!G22*TAA!H$24))</f>
        <v/>
      </c>
      <c r="H38" s="33" t="str">
        <f t="shared" si="2"/>
        <v/>
      </c>
      <c r="I38" s="38" t="str">
        <f t="shared" si="3"/>
        <v/>
      </c>
    </row>
    <row r="39" spans="1:9" ht="18" x14ac:dyDescent="0.35">
      <c r="A39" s="65">
        <v>43769</v>
      </c>
      <c r="B39" s="33" t="str">
        <f>IF(A39&lt;=$B$3,'Index Returns'!B23*'SAA with CME'!C$17,IF(TAAPortfolioPerformance!A39&gt;TAAPortfolioPerformance!$B$4,"",'Index Returns'!B23*TAA!C$24))</f>
        <v/>
      </c>
      <c r="C39" s="33" t="str">
        <f>IF(B39&lt;=$B$3,'Index Returns'!C23*'SAA with CME'!D$17,IF(TAAPortfolioPerformance!B39&gt;TAAPortfolioPerformance!$B$4,"",'Index Returns'!C23*TAA!D$24))</f>
        <v/>
      </c>
      <c r="D39" s="33" t="str">
        <f>IF(C39&lt;=$B$3,'Index Returns'!D23*'SAA with CME'!E$17,IF(TAAPortfolioPerformance!C39&gt;TAAPortfolioPerformance!$B$4,"",'Index Returns'!D23*TAA!E$24))</f>
        <v/>
      </c>
      <c r="E39" s="33" t="str">
        <f>IF(D39&lt;=$B$3,'Index Returns'!E23*'SAA with CME'!F$17,IF(TAAPortfolioPerformance!D39&gt;TAAPortfolioPerformance!$B$4,"",'Index Returns'!E23*TAA!F$24))</f>
        <v/>
      </c>
      <c r="F39" s="33" t="str">
        <f>IF(E39&lt;=$B$3,'Index Returns'!F23*'SAA with CME'!G$17,IF(TAAPortfolioPerformance!E39&gt;TAAPortfolioPerformance!$B$4,"",'Index Returns'!F23*TAA!G$24))</f>
        <v/>
      </c>
      <c r="G39" s="33" t="str">
        <f>IF(F39&lt;=$B$3,'Index Returns'!G23*'SAA with CME'!H$17,IF(TAAPortfolioPerformance!F39&gt;TAAPortfolioPerformance!$B$4,"",'Index Returns'!G23*TAA!H$24))</f>
        <v/>
      </c>
      <c r="H39" s="33" t="str">
        <f t="shared" si="2"/>
        <v/>
      </c>
      <c r="I39" s="38" t="str">
        <f t="shared" si="3"/>
        <v/>
      </c>
    </row>
    <row r="40" spans="1:9" ht="18" x14ac:dyDescent="0.35">
      <c r="A40" s="65">
        <v>43798</v>
      </c>
      <c r="B40" s="33" t="str">
        <f>IF(A40&lt;=$B$3,'Index Returns'!B24*'SAA with CME'!C$17,IF(TAAPortfolioPerformance!A40&gt;TAAPortfolioPerformance!$B$4,"",'Index Returns'!B24*TAA!C$24))</f>
        <v/>
      </c>
      <c r="C40" s="33" t="str">
        <f>IF(B40&lt;=$B$3,'Index Returns'!C24*'SAA with CME'!D$17,IF(TAAPortfolioPerformance!B40&gt;TAAPortfolioPerformance!$B$4,"",'Index Returns'!C24*TAA!D$24))</f>
        <v/>
      </c>
      <c r="D40" s="33" t="str">
        <f>IF(C40&lt;=$B$3,'Index Returns'!D24*'SAA with CME'!E$17,IF(TAAPortfolioPerformance!C40&gt;TAAPortfolioPerformance!$B$4,"",'Index Returns'!D24*TAA!E$24))</f>
        <v/>
      </c>
      <c r="E40" s="33" t="str">
        <f>IF(D40&lt;=$B$3,'Index Returns'!E24*'SAA with CME'!F$17,IF(TAAPortfolioPerformance!D40&gt;TAAPortfolioPerformance!$B$4,"",'Index Returns'!E24*TAA!F$24))</f>
        <v/>
      </c>
      <c r="F40" s="33" t="str">
        <f>IF(E40&lt;=$B$3,'Index Returns'!F24*'SAA with CME'!G$17,IF(TAAPortfolioPerformance!E40&gt;TAAPortfolioPerformance!$B$4,"",'Index Returns'!F24*TAA!G$24))</f>
        <v/>
      </c>
      <c r="G40" s="33" t="str">
        <f>IF(F40&lt;=$B$3,'Index Returns'!G24*'SAA with CME'!H$17,IF(TAAPortfolioPerformance!F40&gt;TAAPortfolioPerformance!$B$4,"",'Index Returns'!G24*TAA!H$24))</f>
        <v/>
      </c>
      <c r="H40" s="33" t="str">
        <f t="shared" si="2"/>
        <v/>
      </c>
      <c r="I40" s="38" t="str">
        <f t="shared" si="3"/>
        <v/>
      </c>
    </row>
    <row r="41" spans="1:9" ht="18" x14ac:dyDescent="0.35">
      <c r="A41" s="65">
        <v>43830</v>
      </c>
      <c r="B41" s="33" t="str">
        <f>IF(A41&lt;=$B$3,'Index Returns'!B25*'SAA with CME'!C$17,IF(TAAPortfolioPerformance!A41&gt;TAAPortfolioPerformance!$B$4,"",'Index Returns'!B25*TAA!C$24))</f>
        <v/>
      </c>
      <c r="C41" s="33" t="str">
        <f>IF(B41&lt;=$B$3,'Index Returns'!C25*'SAA with CME'!D$17,IF(TAAPortfolioPerformance!B41&gt;TAAPortfolioPerformance!$B$4,"",'Index Returns'!C25*TAA!D$24))</f>
        <v/>
      </c>
      <c r="D41" s="33" t="str">
        <f>IF(C41&lt;=$B$3,'Index Returns'!D25*'SAA with CME'!E$17,IF(TAAPortfolioPerformance!C41&gt;TAAPortfolioPerformance!$B$4,"",'Index Returns'!D25*TAA!E$24))</f>
        <v/>
      </c>
      <c r="E41" s="33" t="str">
        <f>IF(D41&lt;=$B$3,'Index Returns'!E25*'SAA with CME'!F$17,IF(TAAPortfolioPerformance!D41&gt;TAAPortfolioPerformance!$B$4,"",'Index Returns'!E25*TAA!F$24))</f>
        <v/>
      </c>
      <c r="F41" s="33" t="str">
        <f>IF(E41&lt;=$B$3,'Index Returns'!F25*'SAA with CME'!G$17,IF(TAAPortfolioPerformance!E41&gt;TAAPortfolioPerformance!$B$4,"",'Index Returns'!F25*TAA!G$24))</f>
        <v/>
      </c>
      <c r="G41" s="33" t="str">
        <f>IF(F41&lt;=$B$3,'Index Returns'!G25*'SAA with CME'!H$17,IF(TAAPortfolioPerformance!F41&gt;TAAPortfolioPerformance!$B$4,"",'Index Returns'!G25*TAA!H$24))</f>
        <v/>
      </c>
      <c r="H41" s="33" t="str">
        <f t="shared" si="2"/>
        <v/>
      </c>
      <c r="I41" s="38" t="str">
        <f t="shared" si="3"/>
        <v/>
      </c>
    </row>
    <row r="42" spans="1:9" ht="18" x14ac:dyDescent="0.35">
      <c r="A42" s="65">
        <v>43861</v>
      </c>
      <c r="B42" s="33" t="str">
        <f>IF(A42&lt;=$B$3,'Index Returns'!B26*'SAA with CME'!C$17,IF(TAAPortfolioPerformance!A42&gt;TAAPortfolioPerformance!$B$4,"",'Index Returns'!B26*TAA!C$24))</f>
        <v/>
      </c>
      <c r="C42" s="33" t="str">
        <f>IF(B42&lt;=$B$3,'Index Returns'!C26*'SAA with CME'!D$17,IF(TAAPortfolioPerformance!B42&gt;TAAPortfolioPerformance!$B$4,"",'Index Returns'!C26*TAA!D$24))</f>
        <v/>
      </c>
      <c r="D42" s="33" t="str">
        <f>IF(C42&lt;=$B$3,'Index Returns'!D26*'SAA with CME'!E$17,IF(TAAPortfolioPerformance!C42&gt;TAAPortfolioPerformance!$B$4,"",'Index Returns'!D26*TAA!E$24))</f>
        <v/>
      </c>
      <c r="E42" s="33" t="str">
        <f>IF(D42&lt;=$B$3,'Index Returns'!E26*'SAA with CME'!F$17,IF(TAAPortfolioPerformance!D42&gt;TAAPortfolioPerformance!$B$4,"",'Index Returns'!E26*TAA!F$24))</f>
        <v/>
      </c>
      <c r="F42" s="33" t="str">
        <f>IF(E42&lt;=$B$3,'Index Returns'!F26*'SAA with CME'!G$17,IF(TAAPortfolioPerformance!E42&gt;TAAPortfolioPerformance!$B$4,"",'Index Returns'!F26*TAA!G$24))</f>
        <v/>
      </c>
      <c r="G42" s="33" t="str">
        <f>IF(F42&lt;=$B$3,'Index Returns'!G26*'SAA with CME'!H$17,IF(TAAPortfolioPerformance!F42&gt;TAAPortfolioPerformance!$B$4,"",'Index Returns'!G26*TAA!H$24))</f>
        <v/>
      </c>
      <c r="H42" s="33" t="str">
        <f t="shared" si="2"/>
        <v/>
      </c>
      <c r="I42" s="38" t="str">
        <f t="shared" si="3"/>
        <v/>
      </c>
    </row>
    <row r="43" spans="1:9" ht="18" x14ac:dyDescent="0.35">
      <c r="A43" s="65">
        <v>43889</v>
      </c>
      <c r="B43" s="33" t="str">
        <f>IF(A43&lt;=$B$3,'Index Returns'!B27*'SAA with CME'!C$17,IF(TAAPortfolioPerformance!A43&gt;TAAPortfolioPerformance!$B$4,"",'Index Returns'!B27*TAA!C$24))</f>
        <v/>
      </c>
      <c r="C43" s="33" t="str">
        <f>IF(B43&lt;=$B$3,'Index Returns'!C27*'SAA with CME'!D$17,IF(TAAPortfolioPerformance!B43&gt;TAAPortfolioPerformance!$B$4,"",'Index Returns'!C27*TAA!D$24))</f>
        <v/>
      </c>
      <c r="D43" s="33" t="str">
        <f>IF(C43&lt;=$B$3,'Index Returns'!D27*'SAA with CME'!E$17,IF(TAAPortfolioPerformance!C43&gt;TAAPortfolioPerformance!$B$4,"",'Index Returns'!D27*TAA!E$24))</f>
        <v/>
      </c>
      <c r="E43" s="33" t="str">
        <f>IF(D43&lt;=$B$3,'Index Returns'!E27*'SAA with CME'!F$17,IF(TAAPortfolioPerformance!D43&gt;TAAPortfolioPerformance!$B$4,"",'Index Returns'!E27*TAA!F$24))</f>
        <v/>
      </c>
      <c r="F43" s="33" t="str">
        <f>IF(E43&lt;=$B$3,'Index Returns'!F27*'SAA with CME'!G$17,IF(TAAPortfolioPerformance!E43&gt;TAAPortfolioPerformance!$B$4,"",'Index Returns'!F27*TAA!G$24))</f>
        <v/>
      </c>
      <c r="G43" s="33" t="str">
        <f>IF(F43&lt;=$B$3,'Index Returns'!G27*'SAA with CME'!H$17,IF(TAAPortfolioPerformance!F43&gt;TAAPortfolioPerformance!$B$4,"",'Index Returns'!G27*TAA!H$24))</f>
        <v/>
      </c>
      <c r="H43" s="33" t="str">
        <f t="shared" si="2"/>
        <v/>
      </c>
      <c r="I43" s="38" t="str">
        <f t="shared" si="3"/>
        <v/>
      </c>
    </row>
    <row r="44" spans="1:9" ht="18" x14ac:dyDescent="0.35">
      <c r="A44" s="65">
        <v>43921</v>
      </c>
      <c r="B44" s="33" t="str">
        <f>IF(A44&lt;=$B$3,'Index Returns'!B28*'SAA with CME'!C$17,IF(TAAPortfolioPerformance!A44&gt;TAAPortfolioPerformance!$B$4,"",'Index Returns'!B28*TAA!C$24))</f>
        <v/>
      </c>
      <c r="C44" s="33" t="str">
        <f>IF(B44&lt;=$B$3,'Index Returns'!C28*'SAA with CME'!D$17,IF(TAAPortfolioPerformance!B44&gt;TAAPortfolioPerformance!$B$4,"",'Index Returns'!C28*TAA!D$24))</f>
        <v/>
      </c>
      <c r="D44" s="33" t="str">
        <f>IF(C44&lt;=$B$3,'Index Returns'!D28*'SAA with CME'!E$17,IF(TAAPortfolioPerformance!C44&gt;TAAPortfolioPerformance!$B$4,"",'Index Returns'!D28*TAA!E$24))</f>
        <v/>
      </c>
      <c r="E44" s="33" t="str">
        <f>IF(D44&lt;=$B$3,'Index Returns'!E28*'SAA with CME'!F$17,IF(TAAPortfolioPerformance!D44&gt;TAAPortfolioPerformance!$B$4,"",'Index Returns'!E28*TAA!F$24))</f>
        <v/>
      </c>
      <c r="F44" s="33" t="str">
        <f>IF(E44&lt;=$B$3,'Index Returns'!F28*'SAA with CME'!G$17,IF(TAAPortfolioPerformance!E44&gt;TAAPortfolioPerformance!$B$4,"",'Index Returns'!F28*TAA!G$24))</f>
        <v/>
      </c>
      <c r="G44" s="33" t="str">
        <f>IF(F44&lt;=$B$3,'Index Returns'!G28*'SAA with CME'!H$17,IF(TAAPortfolioPerformance!F44&gt;TAAPortfolioPerformance!$B$4,"",'Index Returns'!G28*TAA!H$24))</f>
        <v/>
      </c>
      <c r="H44" s="33" t="str">
        <f t="shared" si="2"/>
        <v/>
      </c>
      <c r="I44" s="38" t="str">
        <f t="shared" si="3"/>
        <v/>
      </c>
    </row>
    <row r="45" spans="1:9" ht="18" x14ac:dyDescent="0.35">
      <c r="A45" s="65">
        <v>43951</v>
      </c>
      <c r="B45" s="33" t="str">
        <f>IF(A45&lt;=$B$3,'Index Returns'!B29*'SAA with CME'!C$17,IF(TAAPortfolioPerformance!A45&gt;TAAPortfolioPerformance!$B$4,"",'Index Returns'!B29*TAA!C$24))</f>
        <v/>
      </c>
      <c r="C45" s="33" t="str">
        <f>IF(B45&lt;=$B$3,'Index Returns'!C29*'SAA with CME'!D$17,IF(TAAPortfolioPerformance!B45&gt;TAAPortfolioPerformance!$B$4,"",'Index Returns'!C29*TAA!D$24))</f>
        <v/>
      </c>
      <c r="D45" s="33" t="str">
        <f>IF(C45&lt;=$B$3,'Index Returns'!D29*'SAA with CME'!E$17,IF(TAAPortfolioPerformance!C45&gt;TAAPortfolioPerformance!$B$4,"",'Index Returns'!D29*TAA!E$24))</f>
        <v/>
      </c>
      <c r="E45" s="33" t="str">
        <f>IF(D45&lt;=$B$3,'Index Returns'!E29*'SAA with CME'!F$17,IF(TAAPortfolioPerformance!D45&gt;TAAPortfolioPerformance!$B$4,"",'Index Returns'!E29*TAA!F$24))</f>
        <v/>
      </c>
      <c r="F45" s="33" t="str">
        <f>IF(E45&lt;=$B$3,'Index Returns'!F29*'SAA with CME'!G$17,IF(TAAPortfolioPerformance!E45&gt;TAAPortfolioPerformance!$B$4,"",'Index Returns'!F29*TAA!G$24))</f>
        <v/>
      </c>
      <c r="G45" s="33" t="str">
        <f>IF(F45&lt;=$B$3,'Index Returns'!G29*'SAA with CME'!H$17,IF(TAAPortfolioPerformance!F45&gt;TAAPortfolioPerformance!$B$4,"",'Index Returns'!G29*TAA!H$24))</f>
        <v/>
      </c>
      <c r="H45" s="33" t="str">
        <f t="shared" si="2"/>
        <v/>
      </c>
      <c r="I45" s="38" t="str">
        <f t="shared" si="3"/>
        <v/>
      </c>
    </row>
    <row r="46" spans="1:9" ht="18" x14ac:dyDescent="0.35">
      <c r="A46" s="65">
        <v>43980</v>
      </c>
      <c r="B46" s="33" t="str">
        <f>IF(A46&lt;=$B$3,'Index Returns'!B30*'SAA with CME'!C$17,IF(TAAPortfolioPerformance!A46&gt;TAAPortfolioPerformance!$B$4,"",'Index Returns'!B30*TAA!C$24))</f>
        <v/>
      </c>
      <c r="C46" s="33" t="str">
        <f>IF(B46&lt;=$B$3,'Index Returns'!C30*'SAA with CME'!D$17,IF(TAAPortfolioPerformance!B46&gt;TAAPortfolioPerformance!$B$4,"",'Index Returns'!C30*TAA!D$24))</f>
        <v/>
      </c>
      <c r="D46" s="33" t="str">
        <f>IF(C46&lt;=$B$3,'Index Returns'!D30*'SAA with CME'!E$17,IF(TAAPortfolioPerformance!C46&gt;TAAPortfolioPerformance!$B$4,"",'Index Returns'!D30*TAA!E$24))</f>
        <v/>
      </c>
      <c r="E46" s="33" t="str">
        <f>IF(D46&lt;=$B$3,'Index Returns'!E30*'SAA with CME'!F$17,IF(TAAPortfolioPerformance!D46&gt;TAAPortfolioPerformance!$B$4,"",'Index Returns'!E30*TAA!F$24))</f>
        <v/>
      </c>
      <c r="F46" s="33" t="str">
        <f>IF(E46&lt;=$B$3,'Index Returns'!F30*'SAA with CME'!G$17,IF(TAAPortfolioPerformance!E46&gt;TAAPortfolioPerformance!$B$4,"",'Index Returns'!F30*TAA!G$24))</f>
        <v/>
      </c>
      <c r="G46" s="33" t="str">
        <f>IF(F46&lt;=$B$3,'Index Returns'!G30*'SAA with CME'!H$17,IF(TAAPortfolioPerformance!F46&gt;TAAPortfolioPerformance!$B$4,"",'Index Returns'!G30*TAA!H$24))</f>
        <v/>
      </c>
      <c r="H46" s="33" t="str">
        <f t="shared" si="2"/>
        <v/>
      </c>
      <c r="I46" s="38" t="str">
        <f t="shared" si="3"/>
        <v/>
      </c>
    </row>
    <row r="47" spans="1:9" ht="18" x14ac:dyDescent="0.35">
      <c r="A47" s="65">
        <v>44012</v>
      </c>
      <c r="B47" s="33" t="str">
        <f>IF(A47&lt;=$B$3,'Index Returns'!B31*'SAA with CME'!C$17,IF(TAAPortfolioPerformance!A47&gt;TAAPortfolioPerformance!$B$4,"",'Index Returns'!B31*TAA!C$24))</f>
        <v/>
      </c>
      <c r="C47" s="33" t="str">
        <f>IF(B47&lt;=$B$3,'Index Returns'!C31*'SAA with CME'!D$17,IF(TAAPortfolioPerformance!B47&gt;TAAPortfolioPerformance!$B$4,"",'Index Returns'!C31*TAA!D$24))</f>
        <v/>
      </c>
      <c r="D47" s="33" t="str">
        <f>IF(C47&lt;=$B$3,'Index Returns'!D31*'SAA with CME'!E$17,IF(TAAPortfolioPerformance!C47&gt;TAAPortfolioPerformance!$B$4,"",'Index Returns'!D31*TAA!E$24))</f>
        <v/>
      </c>
      <c r="E47" s="33" t="str">
        <f>IF(D47&lt;=$B$3,'Index Returns'!E31*'SAA with CME'!F$17,IF(TAAPortfolioPerformance!D47&gt;TAAPortfolioPerformance!$B$4,"",'Index Returns'!E31*TAA!F$24))</f>
        <v/>
      </c>
      <c r="F47" s="33" t="str">
        <f>IF(E47&lt;=$B$3,'Index Returns'!F31*'SAA with CME'!G$17,IF(TAAPortfolioPerformance!E47&gt;TAAPortfolioPerformance!$B$4,"",'Index Returns'!F31*TAA!G$24))</f>
        <v/>
      </c>
      <c r="G47" s="33" t="str">
        <f>IF(F47&lt;=$B$3,'Index Returns'!G31*'SAA with CME'!H$17,IF(TAAPortfolioPerformance!F47&gt;TAAPortfolioPerformance!$B$4,"",'Index Returns'!G31*TAA!H$24))</f>
        <v/>
      </c>
      <c r="H47" s="33" t="str">
        <f t="shared" si="2"/>
        <v/>
      </c>
      <c r="I47" s="38" t="str">
        <f t="shared" si="3"/>
        <v/>
      </c>
    </row>
    <row r="48" spans="1:9" ht="18" x14ac:dyDescent="0.35">
      <c r="A48" s="65">
        <v>44043</v>
      </c>
      <c r="B48" s="33" t="str">
        <f>IF(A48&lt;=$B$3,'Index Returns'!B32*'SAA with CME'!C$17,IF(TAAPortfolioPerformance!A48&gt;TAAPortfolioPerformance!$B$4,"",'Index Returns'!B32*TAA!C$24))</f>
        <v/>
      </c>
      <c r="C48" s="33" t="str">
        <f>IF(B48&lt;=$B$3,'Index Returns'!C32*'SAA with CME'!D$17,IF(TAAPortfolioPerformance!B48&gt;TAAPortfolioPerformance!$B$4,"",'Index Returns'!C32*TAA!D$24))</f>
        <v/>
      </c>
      <c r="D48" s="33" t="str">
        <f>IF(C48&lt;=$B$3,'Index Returns'!D32*'SAA with CME'!E$17,IF(TAAPortfolioPerformance!C48&gt;TAAPortfolioPerformance!$B$4,"",'Index Returns'!D32*TAA!E$24))</f>
        <v/>
      </c>
      <c r="E48" s="33" t="str">
        <f>IF(D48&lt;=$B$3,'Index Returns'!E32*'SAA with CME'!F$17,IF(TAAPortfolioPerformance!D48&gt;TAAPortfolioPerformance!$B$4,"",'Index Returns'!E32*TAA!F$24))</f>
        <v/>
      </c>
      <c r="F48" s="33" t="str">
        <f>IF(E48&lt;=$B$3,'Index Returns'!F32*'SAA with CME'!G$17,IF(TAAPortfolioPerformance!E48&gt;TAAPortfolioPerformance!$B$4,"",'Index Returns'!F32*TAA!G$24))</f>
        <v/>
      </c>
      <c r="G48" s="33" t="str">
        <f>IF(F48&lt;=$B$3,'Index Returns'!G32*'SAA with CME'!H$17,IF(TAAPortfolioPerformance!F48&gt;TAAPortfolioPerformance!$B$4,"",'Index Returns'!G32*TAA!H$24))</f>
        <v/>
      </c>
      <c r="H48" s="33" t="str">
        <f t="shared" si="2"/>
        <v/>
      </c>
      <c r="I48" s="38" t="str">
        <f t="shared" si="3"/>
        <v/>
      </c>
    </row>
    <row r="49" spans="1:9" ht="18" x14ac:dyDescent="0.35">
      <c r="A49" s="65">
        <v>44074</v>
      </c>
      <c r="B49" s="33" t="str">
        <f>IF(A49&lt;=$B$3,'Index Returns'!B33*'SAA with CME'!C$17,IF(TAAPortfolioPerformance!A49&gt;TAAPortfolioPerformance!$B$4,"",'Index Returns'!B33*TAA!C$24))</f>
        <v/>
      </c>
      <c r="C49" s="33" t="str">
        <f>IF(B49&lt;=$B$3,'Index Returns'!C33*'SAA with CME'!D$17,IF(TAAPortfolioPerformance!B49&gt;TAAPortfolioPerformance!$B$4,"",'Index Returns'!C33*TAA!D$24))</f>
        <v/>
      </c>
      <c r="D49" s="33" t="str">
        <f>IF(C49&lt;=$B$3,'Index Returns'!D33*'SAA with CME'!E$17,IF(TAAPortfolioPerformance!C49&gt;TAAPortfolioPerformance!$B$4,"",'Index Returns'!D33*TAA!E$24))</f>
        <v/>
      </c>
      <c r="E49" s="33" t="str">
        <f>IF(D49&lt;=$B$3,'Index Returns'!E33*'SAA with CME'!F$17,IF(TAAPortfolioPerformance!D49&gt;TAAPortfolioPerformance!$B$4,"",'Index Returns'!E33*TAA!F$24))</f>
        <v/>
      </c>
      <c r="F49" s="33" t="str">
        <f>IF(E49&lt;=$B$3,'Index Returns'!F33*'SAA with CME'!G$17,IF(TAAPortfolioPerformance!E49&gt;TAAPortfolioPerformance!$B$4,"",'Index Returns'!F33*TAA!G$24))</f>
        <v/>
      </c>
      <c r="G49" s="33" t="str">
        <f>IF(F49&lt;=$B$3,'Index Returns'!G33*'SAA with CME'!H$17,IF(TAAPortfolioPerformance!F49&gt;TAAPortfolioPerformance!$B$4,"",'Index Returns'!G33*TAA!H$24))</f>
        <v/>
      </c>
      <c r="H49" s="33" t="str">
        <f t="shared" si="2"/>
        <v/>
      </c>
      <c r="I49" s="38" t="str">
        <f t="shared" si="3"/>
        <v/>
      </c>
    </row>
    <row r="50" spans="1:9" ht="18" x14ac:dyDescent="0.35">
      <c r="A50" s="65">
        <v>44104</v>
      </c>
      <c r="B50" s="33" t="str">
        <f>IF(A50&lt;=$B$3,'Index Returns'!B34*'SAA with CME'!C$17,IF(TAAPortfolioPerformance!A50&gt;TAAPortfolioPerformance!$B$4,"",'Index Returns'!B34*TAA!C$24))</f>
        <v/>
      </c>
      <c r="C50" s="33" t="str">
        <f>IF(B50&lt;=$B$3,'Index Returns'!C34*'SAA with CME'!D$17,IF(TAAPortfolioPerformance!B50&gt;TAAPortfolioPerformance!$B$4,"",'Index Returns'!C34*TAA!D$24))</f>
        <v/>
      </c>
      <c r="D50" s="33" t="str">
        <f>IF(C50&lt;=$B$3,'Index Returns'!D34*'SAA with CME'!E$17,IF(TAAPortfolioPerformance!C50&gt;TAAPortfolioPerformance!$B$4,"",'Index Returns'!D34*TAA!E$24))</f>
        <v/>
      </c>
      <c r="E50" s="33" t="str">
        <f>IF(D50&lt;=$B$3,'Index Returns'!E34*'SAA with CME'!F$17,IF(TAAPortfolioPerformance!D50&gt;TAAPortfolioPerformance!$B$4,"",'Index Returns'!E34*TAA!F$24))</f>
        <v/>
      </c>
      <c r="F50" s="33" t="str">
        <f>IF(E50&lt;=$B$3,'Index Returns'!F34*'SAA with CME'!G$17,IF(TAAPortfolioPerformance!E50&gt;TAAPortfolioPerformance!$B$4,"",'Index Returns'!F34*TAA!G$24))</f>
        <v/>
      </c>
      <c r="G50" s="33" t="str">
        <f>IF(F50&lt;=$B$3,'Index Returns'!G34*'SAA with CME'!H$17,IF(TAAPortfolioPerformance!F50&gt;TAAPortfolioPerformance!$B$4,"",'Index Returns'!G34*TAA!H$24))</f>
        <v/>
      </c>
      <c r="H50" s="33" t="str">
        <f t="shared" si="2"/>
        <v/>
      </c>
      <c r="I50" s="38" t="str">
        <f t="shared" si="3"/>
        <v/>
      </c>
    </row>
    <row r="51" spans="1:9" ht="18" x14ac:dyDescent="0.35">
      <c r="A51" s="65">
        <v>44134</v>
      </c>
      <c r="B51" s="33" t="str">
        <f>IF(A51&lt;=$B$3,'Index Returns'!B35*'SAA with CME'!C$17,IF(TAAPortfolioPerformance!A51&gt;TAAPortfolioPerformance!$B$4,"",'Index Returns'!B35*TAA!C$24))</f>
        <v/>
      </c>
      <c r="C51" s="33" t="str">
        <f>IF(B51&lt;=$B$3,'Index Returns'!C35*'SAA with CME'!D$17,IF(TAAPortfolioPerformance!B51&gt;TAAPortfolioPerformance!$B$4,"",'Index Returns'!C35*TAA!D$24))</f>
        <v/>
      </c>
      <c r="D51" s="33" t="str">
        <f>IF(C51&lt;=$B$3,'Index Returns'!D35*'SAA with CME'!E$17,IF(TAAPortfolioPerformance!C51&gt;TAAPortfolioPerformance!$B$4,"",'Index Returns'!D35*TAA!E$24))</f>
        <v/>
      </c>
      <c r="E51" s="33" t="str">
        <f>IF(D51&lt;=$B$3,'Index Returns'!E35*'SAA with CME'!F$17,IF(TAAPortfolioPerformance!D51&gt;TAAPortfolioPerformance!$B$4,"",'Index Returns'!E35*TAA!F$24))</f>
        <v/>
      </c>
      <c r="F51" s="33" t="str">
        <f>IF(E51&lt;=$B$3,'Index Returns'!F35*'SAA with CME'!G$17,IF(TAAPortfolioPerformance!E51&gt;TAAPortfolioPerformance!$B$4,"",'Index Returns'!F35*TAA!G$24))</f>
        <v/>
      </c>
      <c r="G51" s="33" t="str">
        <f>IF(F51&lt;=$B$3,'Index Returns'!G35*'SAA with CME'!H$17,IF(TAAPortfolioPerformance!F51&gt;TAAPortfolioPerformance!$B$4,"",'Index Returns'!G35*TAA!H$24))</f>
        <v/>
      </c>
      <c r="H51" s="33" t="str">
        <f t="shared" si="2"/>
        <v/>
      </c>
      <c r="I51" s="38" t="str">
        <f t="shared" si="3"/>
        <v/>
      </c>
    </row>
    <row r="52" spans="1:9" ht="18" x14ac:dyDescent="0.35">
      <c r="A52" s="65">
        <v>44165</v>
      </c>
      <c r="B52" s="33" t="str">
        <f>IF(A52&lt;=$B$3,'Index Returns'!B36*'SAA with CME'!C$17,IF(TAAPortfolioPerformance!A52&gt;TAAPortfolioPerformance!$B$4,"",'Index Returns'!B36*TAA!C$24))</f>
        <v/>
      </c>
      <c r="C52" s="33" t="str">
        <f>IF(B52&lt;=$B$3,'Index Returns'!C36*'SAA with CME'!D$17,IF(TAAPortfolioPerformance!B52&gt;TAAPortfolioPerformance!$B$4,"",'Index Returns'!C36*TAA!D$24))</f>
        <v/>
      </c>
      <c r="D52" s="33" t="str">
        <f>IF(C52&lt;=$B$3,'Index Returns'!D36*'SAA with CME'!E$17,IF(TAAPortfolioPerformance!C52&gt;TAAPortfolioPerformance!$B$4,"",'Index Returns'!D36*TAA!E$24))</f>
        <v/>
      </c>
      <c r="E52" s="33" t="str">
        <f>IF(D52&lt;=$B$3,'Index Returns'!E36*'SAA with CME'!F$17,IF(TAAPortfolioPerformance!D52&gt;TAAPortfolioPerformance!$B$4,"",'Index Returns'!E36*TAA!F$24))</f>
        <v/>
      </c>
      <c r="F52" s="33" t="str">
        <f>IF(E52&lt;=$B$3,'Index Returns'!F36*'SAA with CME'!G$17,IF(TAAPortfolioPerformance!E52&gt;TAAPortfolioPerformance!$B$4,"",'Index Returns'!F36*TAA!G$24))</f>
        <v/>
      </c>
      <c r="G52" s="33" t="str">
        <f>IF(F52&lt;=$B$3,'Index Returns'!G36*'SAA with CME'!H$17,IF(TAAPortfolioPerformance!F52&gt;TAAPortfolioPerformance!$B$4,"",'Index Returns'!G36*TAA!H$24))</f>
        <v/>
      </c>
      <c r="H52" s="33" t="str">
        <f t="shared" si="2"/>
        <v/>
      </c>
      <c r="I52" s="38" t="str">
        <f t="shared" si="3"/>
        <v/>
      </c>
    </row>
    <row r="53" spans="1:9" ht="18" x14ac:dyDescent="0.35">
      <c r="A53" s="65">
        <v>44196</v>
      </c>
      <c r="B53" s="33" t="str">
        <f>IF(A53&lt;=$B$3,'Index Returns'!B37*'SAA with CME'!C$17,IF(TAAPortfolioPerformance!A53&gt;TAAPortfolioPerformance!$B$4,"",'Index Returns'!B37*TAA!C$24))</f>
        <v/>
      </c>
      <c r="C53" s="33" t="str">
        <f>IF(B53&lt;=$B$3,'Index Returns'!C37*'SAA with CME'!D$17,IF(TAAPortfolioPerformance!B53&gt;TAAPortfolioPerformance!$B$4,"",'Index Returns'!C37*TAA!D$24))</f>
        <v/>
      </c>
      <c r="D53" s="33" t="str">
        <f>IF(C53&lt;=$B$3,'Index Returns'!D37*'SAA with CME'!E$17,IF(TAAPortfolioPerformance!C53&gt;TAAPortfolioPerformance!$B$4,"",'Index Returns'!D37*TAA!E$24))</f>
        <v/>
      </c>
      <c r="E53" s="33" t="str">
        <f>IF(D53&lt;=$B$3,'Index Returns'!E37*'SAA with CME'!F$17,IF(TAAPortfolioPerformance!D53&gt;TAAPortfolioPerformance!$B$4,"",'Index Returns'!E37*TAA!F$24))</f>
        <v/>
      </c>
      <c r="F53" s="33" t="str">
        <f>IF(E53&lt;=$B$3,'Index Returns'!F37*'SAA with CME'!G$17,IF(TAAPortfolioPerformance!E53&gt;TAAPortfolioPerformance!$B$4,"",'Index Returns'!F37*TAA!G$24))</f>
        <v/>
      </c>
      <c r="G53" s="33" t="str">
        <f>IF(F53&lt;=$B$3,'Index Returns'!G37*'SAA with CME'!H$17,IF(TAAPortfolioPerformance!F53&gt;TAAPortfolioPerformance!$B$4,"",'Index Returns'!G37*TAA!H$24))</f>
        <v/>
      </c>
      <c r="H53" s="33" t="str">
        <f t="shared" si="2"/>
        <v/>
      </c>
      <c r="I53" s="38" t="str">
        <f t="shared" si="3"/>
        <v/>
      </c>
    </row>
    <row r="54" spans="1:9" ht="18" x14ac:dyDescent="0.35">
      <c r="A54" s="65">
        <v>44225</v>
      </c>
      <c r="B54" s="33" t="str">
        <f>IF(A54&lt;=$B$3,'Index Returns'!B38*'SAA with CME'!C$17,IF(TAAPortfolioPerformance!A54&gt;TAAPortfolioPerformance!$B$4,"",'Index Returns'!B38*TAA!C$24))</f>
        <v/>
      </c>
      <c r="C54" s="33" t="str">
        <f>IF(B54&lt;=$B$3,'Index Returns'!C38*'SAA with CME'!D$17,IF(TAAPortfolioPerformance!B54&gt;TAAPortfolioPerformance!$B$4,"",'Index Returns'!C38*TAA!D$24))</f>
        <v/>
      </c>
      <c r="D54" s="33" t="str">
        <f>IF(C54&lt;=$B$3,'Index Returns'!D38*'SAA with CME'!E$17,IF(TAAPortfolioPerformance!C54&gt;TAAPortfolioPerformance!$B$4,"",'Index Returns'!D38*TAA!E$24))</f>
        <v/>
      </c>
      <c r="E54" s="33" t="str">
        <f>IF(D54&lt;=$B$3,'Index Returns'!E38*'SAA with CME'!F$17,IF(TAAPortfolioPerformance!D54&gt;TAAPortfolioPerformance!$B$4,"",'Index Returns'!E38*TAA!F$24))</f>
        <v/>
      </c>
      <c r="F54" s="33" t="str">
        <f>IF(E54&lt;=$B$3,'Index Returns'!F38*'SAA with CME'!G$17,IF(TAAPortfolioPerformance!E54&gt;TAAPortfolioPerformance!$B$4,"",'Index Returns'!F38*TAA!G$24))</f>
        <v/>
      </c>
      <c r="G54" s="33" t="str">
        <f>IF(F54&lt;=$B$3,'Index Returns'!G38*'SAA with CME'!H$17,IF(TAAPortfolioPerformance!F54&gt;TAAPortfolioPerformance!$B$4,"",'Index Returns'!G38*TAA!H$24))</f>
        <v/>
      </c>
      <c r="H54" s="33" t="str">
        <f t="shared" si="2"/>
        <v/>
      </c>
      <c r="I54" s="38" t="str">
        <f t="shared" si="3"/>
        <v/>
      </c>
    </row>
    <row r="55" spans="1:9" ht="18" x14ac:dyDescent="0.35">
      <c r="A55" s="65">
        <v>44253</v>
      </c>
      <c r="B55" s="33" t="str">
        <f>IF(A55&lt;=$B$3,'Index Returns'!B39*'SAA with CME'!C$17,IF(TAAPortfolioPerformance!A55&gt;TAAPortfolioPerformance!$B$4,"",'Index Returns'!B39*TAA!C$24))</f>
        <v/>
      </c>
      <c r="C55" s="33" t="str">
        <f>IF(B55&lt;=$B$3,'Index Returns'!C39*'SAA with CME'!D$17,IF(TAAPortfolioPerformance!B55&gt;TAAPortfolioPerformance!$B$4,"",'Index Returns'!C39*TAA!D$24))</f>
        <v/>
      </c>
      <c r="D55" s="33" t="str">
        <f>IF(C55&lt;=$B$3,'Index Returns'!D39*'SAA with CME'!E$17,IF(TAAPortfolioPerformance!C55&gt;TAAPortfolioPerformance!$B$4,"",'Index Returns'!D39*TAA!E$24))</f>
        <v/>
      </c>
      <c r="E55" s="33" t="str">
        <f>IF(D55&lt;=$B$3,'Index Returns'!E39*'SAA with CME'!F$17,IF(TAAPortfolioPerformance!D55&gt;TAAPortfolioPerformance!$B$4,"",'Index Returns'!E39*TAA!F$24))</f>
        <v/>
      </c>
      <c r="F55" s="33" t="str">
        <f>IF(E55&lt;=$B$3,'Index Returns'!F39*'SAA with CME'!G$17,IF(TAAPortfolioPerformance!E55&gt;TAAPortfolioPerformance!$B$4,"",'Index Returns'!F39*TAA!G$24))</f>
        <v/>
      </c>
      <c r="G55" s="33" t="str">
        <f>IF(F55&lt;=$B$3,'Index Returns'!G39*'SAA with CME'!H$17,IF(TAAPortfolioPerformance!F55&gt;TAAPortfolioPerformance!$B$4,"",'Index Returns'!G39*TAA!H$24))</f>
        <v/>
      </c>
      <c r="H55" s="33" t="str">
        <f t="shared" si="2"/>
        <v/>
      </c>
      <c r="I55" s="38" t="str">
        <f t="shared" si="3"/>
        <v/>
      </c>
    </row>
    <row r="56" spans="1:9" ht="18" x14ac:dyDescent="0.35">
      <c r="A56" s="65">
        <v>44286</v>
      </c>
      <c r="B56" s="33" t="str">
        <f>IF(A56&lt;=$B$3,'Index Returns'!B40*'SAA with CME'!C$17,IF(TAAPortfolioPerformance!A56&gt;TAAPortfolioPerformance!$B$4,"",'Index Returns'!B40*TAA!C$24))</f>
        <v/>
      </c>
      <c r="C56" s="33" t="str">
        <f>IF(B56&lt;=$B$3,'Index Returns'!C40*'SAA with CME'!D$17,IF(TAAPortfolioPerformance!B56&gt;TAAPortfolioPerformance!$B$4,"",'Index Returns'!C40*TAA!D$24))</f>
        <v/>
      </c>
      <c r="D56" s="33" t="str">
        <f>IF(C56&lt;=$B$3,'Index Returns'!D40*'SAA with CME'!E$17,IF(TAAPortfolioPerformance!C56&gt;TAAPortfolioPerformance!$B$4,"",'Index Returns'!D40*TAA!E$24))</f>
        <v/>
      </c>
      <c r="E56" s="33" t="str">
        <f>IF(D56&lt;=$B$3,'Index Returns'!E40*'SAA with CME'!F$17,IF(TAAPortfolioPerformance!D56&gt;TAAPortfolioPerformance!$B$4,"",'Index Returns'!E40*TAA!F$24))</f>
        <v/>
      </c>
      <c r="F56" s="33" t="str">
        <f>IF(E56&lt;=$B$3,'Index Returns'!F40*'SAA with CME'!G$17,IF(TAAPortfolioPerformance!E56&gt;TAAPortfolioPerformance!$B$4,"",'Index Returns'!F40*TAA!G$24))</f>
        <v/>
      </c>
      <c r="G56" s="33" t="str">
        <f>IF(F56&lt;=$B$3,'Index Returns'!G40*'SAA with CME'!H$17,IF(TAAPortfolioPerformance!F56&gt;TAAPortfolioPerformance!$B$4,"",'Index Returns'!G40*TAA!H$24))</f>
        <v/>
      </c>
      <c r="H56" s="33" t="str">
        <f t="shared" si="2"/>
        <v/>
      </c>
      <c r="I56" s="38" t="str">
        <f t="shared" si="3"/>
        <v/>
      </c>
    </row>
    <row r="57" spans="1:9" ht="18" x14ac:dyDescent="0.35">
      <c r="A57" s="65">
        <v>44316</v>
      </c>
      <c r="B57" s="33" t="str">
        <f>IF(A57&lt;=$B$3,'Index Returns'!B41*'SAA with CME'!C$17,IF(TAAPortfolioPerformance!A57&gt;TAAPortfolioPerformance!$B$4,"",'Index Returns'!B41*TAA!C$24))</f>
        <v/>
      </c>
      <c r="C57" s="33" t="str">
        <f>IF(B57&lt;=$B$3,'Index Returns'!C41*'SAA with CME'!D$17,IF(TAAPortfolioPerformance!B57&gt;TAAPortfolioPerformance!$B$4,"",'Index Returns'!C41*TAA!D$24))</f>
        <v/>
      </c>
      <c r="D57" s="33" t="str">
        <f>IF(C57&lt;=$B$3,'Index Returns'!D41*'SAA with CME'!E$17,IF(TAAPortfolioPerformance!C57&gt;TAAPortfolioPerformance!$B$4,"",'Index Returns'!D41*TAA!E$24))</f>
        <v/>
      </c>
      <c r="E57" s="33" t="str">
        <f>IF(D57&lt;=$B$3,'Index Returns'!E41*'SAA with CME'!F$17,IF(TAAPortfolioPerformance!D57&gt;TAAPortfolioPerformance!$B$4,"",'Index Returns'!E41*TAA!F$24))</f>
        <v/>
      </c>
      <c r="F57" s="33" t="str">
        <f>IF(E57&lt;=$B$3,'Index Returns'!F41*'SAA with CME'!G$17,IF(TAAPortfolioPerformance!E57&gt;TAAPortfolioPerformance!$B$4,"",'Index Returns'!F41*TAA!G$24))</f>
        <v/>
      </c>
      <c r="G57" s="33" t="str">
        <f>IF(F57&lt;=$B$3,'Index Returns'!G41*'SAA with CME'!H$17,IF(TAAPortfolioPerformance!F57&gt;TAAPortfolioPerformance!$B$4,"",'Index Returns'!G41*TAA!H$24))</f>
        <v/>
      </c>
      <c r="H57" s="33" t="str">
        <f t="shared" si="2"/>
        <v/>
      </c>
      <c r="I57" s="38" t="str">
        <f t="shared" si="3"/>
        <v/>
      </c>
    </row>
    <row r="58" spans="1:9" ht="18" x14ac:dyDescent="0.35">
      <c r="A58" s="65">
        <v>44347</v>
      </c>
      <c r="B58" s="33" t="str">
        <f>IF(A58&lt;=$B$3,'Index Returns'!B42*'SAA with CME'!C$17,IF(TAAPortfolioPerformance!A58&gt;TAAPortfolioPerformance!$B$4,"",'Index Returns'!B42*TAA!C$24))</f>
        <v/>
      </c>
      <c r="C58" s="33" t="str">
        <f>IF(B58&lt;=$B$3,'Index Returns'!C42*'SAA with CME'!D$17,IF(TAAPortfolioPerformance!B58&gt;TAAPortfolioPerformance!$B$4,"",'Index Returns'!C42*TAA!D$24))</f>
        <v/>
      </c>
      <c r="D58" s="33" t="str">
        <f>IF(C58&lt;=$B$3,'Index Returns'!D42*'SAA with CME'!E$17,IF(TAAPortfolioPerformance!C58&gt;TAAPortfolioPerformance!$B$4,"",'Index Returns'!D42*TAA!E$24))</f>
        <v/>
      </c>
      <c r="E58" s="33" t="str">
        <f>IF(D58&lt;=$B$3,'Index Returns'!E42*'SAA with CME'!F$17,IF(TAAPortfolioPerformance!D58&gt;TAAPortfolioPerformance!$B$4,"",'Index Returns'!E42*TAA!F$24))</f>
        <v/>
      </c>
      <c r="F58" s="33" t="str">
        <f>IF(E58&lt;=$B$3,'Index Returns'!F42*'SAA with CME'!G$17,IF(TAAPortfolioPerformance!E58&gt;TAAPortfolioPerformance!$B$4,"",'Index Returns'!F42*TAA!G$24))</f>
        <v/>
      </c>
      <c r="G58" s="33" t="str">
        <f>IF(F58&lt;=$B$3,'Index Returns'!G42*'SAA with CME'!H$17,IF(TAAPortfolioPerformance!F58&gt;TAAPortfolioPerformance!$B$4,"",'Index Returns'!G42*TAA!H$24))</f>
        <v/>
      </c>
      <c r="H58" s="33" t="str">
        <f t="shared" si="2"/>
        <v/>
      </c>
      <c r="I58" s="38" t="str">
        <f t="shared" si="3"/>
        <v/>
      </c>
    </row>
    <row r="59" spans="1:9" ht="18" x14ac:dyDescent="0.35">
      <c r="A59" s="65">
        <v>44377</v>
      </c>
      <c r="B59" s="33" t="str">
        <f>IF(A59&lt;=$B$3,'Index Returns'!B43*'SAA with CME'!C$17,IF(TAAPortfolioPerformance!A59&gt;TAAPortfolioPerformance!$B$4,"",'Index Returns'!B43*TAA!C$24))</f>
        <v/>
      </c>
      <c r="C59" s="33" t="str">
        <f>IF(B59&lt;=$B$3,'Index Returns'!C43*'SAA with CME'!D$17,IF(TAAPortfolioPerformance!B59&gt;TAAPortfolioPerformance!$B$4,"",'Index Returns'!C43*TAA!D$24))</f>
        <v/>
      </c>
      <c r="D59" s="33" t="str">
        <f>IF(C59&lt;=$B$3,'Index Returns'!D43*'SAA with CME'!E$17,IF(TAAPortfolioPerformance!C59&gt;TAAPortfolioPerformance!$B$4,"",'Index Returns'!D43*TAA!E$24))</f>
        <v/>
      </c>
      <c r="E59" s="33" t="str">
        <f>IF(D59&lt;=$B$3,'Index Returns'!E43*'SAA with CME'!F$17,IF(TAAPortfolioPerformance!D59&gt;TAAPortfolioPerformance!$B$4,"",'Index Returns'!E43*TAA!F$24))</f>
        <v/>
      </c>
      <c r="F59" s="33" t="str">
        <f>IF(E59&lt;=$B$3,'Index Returns'!F43*'SAA with CME'!G$17,IF(TAAPortfolioPerformance!E59&gt;TAAPortfolioPerformance!$B$4,"",'Index Returns'!F43*TAA!G$24))</f>
        <v/>
      </c>
      <c r="G59" s="33" t="str">
        <f>IF(F59&lt;=$B$3,'Index Returns'!G43*'SAA with CME'!H$17,IF(TAAPortfolioPerformance!F59&gt;TAAPortfolioPerformance!$B$4,"",'Index Returns'!G43*TAA!H$24))</f>
        <v/>
      </c>
      <c r="H59" s="33" t="str">
        <f t="shared" si="2"/>
        <v/>
      </c>
      <c r="I59" s="38" t="str">
        <f t="shared" si="3"/>
        <v/>
      </c>
    </row>
    <row r="60" spans="1:9" ht="18" x14ac:dyDescent="0.35">
      <c r="A60" s="65">
        <v>44407</v>
      </c>
      <c r="B60" s="33" t="str">
        <f>IF(A60&lt;=$B$3,'Index Returns'!B44*'SAA with CME'!C$17,IF(TAAPortfolioPerformance!A60&gt;TAAPortfolioPerformance!$B$4,"",'Index Returns'!B44*TAA!C$24))</f>
        <v/>
      </c>
      <c r="C60" s="33" t="str">
        <f>IF(B60&lt;=$B$3,'Index Returns'!C44*'SAA with CME'!D$17,IF(TAAPortfolioPerformance!B60&gt;TAAPortfolioPerformance!$B$4,"",'Index Returns'!C44*TAA!D$24))</f>
        <v/>
      </c>
      <c r="D60" s="33" t="str">
        <f>IF(C60&lt;=$B$3,'Index Returns'!D44*'SAA with CME'!E$17,IF(TAAPortfolioPerformance!C60&gt;TAAPortfolioPerformance!$B$4,"",'Index Returns'!D44*TAA!E$24))</f>
        <v/>
      </c>
      <c r="E60" s="33" t="str">
        <f>IF(D60&lt;=$B$3,'Index Returns'!E44*'SAA with CME'!F$17,IF(TAAPortfolioPerformance!D60&gt;TAAPortfolioPerformance!$B$4,"",'Index Returns'!E44*TAA!F$24))</f>
        <v/>
      </c>
      <c r="F60" s="33" t="str">
        <f>IF(E60&lt;=$B$3,'Index Returns'!F44*'SAA with CME'!G$17,IF(TAAPortfolioPerformance!E60&gt;TAAPortfolioPerformance!$B$4,"",'Index Returns'!F44*TAA!G$24))</f>
        <v/>
      </c>
      <c r="G60" s="33" t="str">
        <f>IF(F60&lt;=$B$3,'Index Returns'!G44*'SAA with CME'!H$17,IF(TAAPortfolioPerformance!F60&gt;TAAPortfolioPerformance!$B$4,"",'Index Returns'!G44*TAA!H$24))</f>
        <v/>
      </c>
      <c r="H60" s="33" t="str">
        <f t="shared" si="2"/>
        <v/>
      </c>
      <c r="I60" s="38" t="str">
        <f t="shared" si="3"/>
        <v/>
      </c>
    </row>
    <row r="61" spans="1:9" ht="18" x14ac:dyDescent="0.35">
      <c r="A61" s="65">
        <v>44439</v>
      </c>
      <c r="B61" s="33" t="str">
        <f>IF(A61&lt;=$B$3,'Index Returns'!B45*'SAA with CME'!C$17,IF(TAAPortfolioPerformance!A61&gt;TAAPortfolioPerformance!$B$4,"",'Index Returns'!B45*TAA!C$24))</f>
        <v/>
      </c>
      <c r="C61" s="33" t="str">
        <f>IF(B61&lt;=$B$3,'Index Returns'!C45*'SAA with CME'!D$17,IF(TAAPortfolioPerformance!B61&gt;TAAPortfolioPerformance!$B$4,"",'Index Returns'!C45*TAA!D$24))</f>
        <v/>
      </c>
      <c r="D61" s="33" t="str">
        <f>IF(C61&lt;=$B$3,'Index Returns'!D45*'SAA with CME'!E$17,IF(TAAPortfolioPerformance!C61&gt;TAAPortfolioPerformance!$B$4,"",'Index Returns'!D45*TAA!E$24))</f>
        <v/>
      </c>
      <c r="E61" s="33" t="str">
        <f>IF(D61&lt;=$B$3,'Index Returns'!E45*'SAA with CME'!F$17,IF(TAAPortfolioPerformance!D61&gt;TAAPortfolioPerformance!$B$4,"",'Index Returns'!E45*TAA!F$24))</f>
        <v/>
      </c>
      <c r="F61" s="33" t="str">
        <f>IF(E61&lt;=$B$3,'Index Returns'!F45*'SAA with CME'!G$17,IF(TAAPortfolioPerformance!E61&gt;TAAPortfolioPerformance!$B$4,"",'Index Returns'!F45*TAA!G$24))</f>
        <v/>
      </c>
      <c r="G61" s="33" t="str">
        <f>IF(F61&lt;=$B$3,'Index Returns'!G45*'SAA with CME'!H$17,IF(TAAPortfolioPerformance!F61&gt;TAAPortfolioPerformance!$B$4,"",'Index Returns'!G45*TAA!H$24))</f>
        <v/>
      </c>
      <c r="H61" s="33" t="str">
        <f t="shared" si="2"/>
        <v/>
      </c>
      <c r="I61" s="38" t="str">
        <f t="shared" si="3"/>
        <v/>
      </c>
    </row>
    <row r="62" spans="1:9" ht="18" x14ac:dyDescent="0.35">
      <c r="A62" s="65">
        <v>44469</v>
      </c>
      <c r="B62" s="33" t="str">
        <f>IF(A62&lt;=$B$3,'Index Returns'!B46*'SAA with CME'!C$17,IF(TAAPortfolioPerformance!A62&gt;TAAPortfolioPerformance!$B$4,"",'Index Returns'!B46*TAA!C$24))</f>
        <v/>
      </c>
      <c r="C62" s="33" t="str">
        <f>IF(B62&lt;=$B$3,'Index Returns'!C46*'SAA with CME'!D$17,IF(TAAPortfolioPerformance!B62&gt;TAAPortfolioPerformance!$B$4,"",'Index Returns'!C46*TAA!D$24))</f>
        <v/>
      </c>
      <c r="D62" s="33" t="str">
        <f>IF(C62&lt;=$B$3,'Index Returns'!D46*'SAA with CME'!E$17,IF(TAAPortfolioPerformance!C62&gt;TAAPortfolioPerformance!$B$4,"",'Index Returns'!D46*TAA!E$24))</f>
        <v/>
      </c>
      <c r="E62" s="33" t="str">
        <f>IF(D62&lt;=$B$3,'Index Returns'!E46*'SAA with CME'!F$17,IF(TAAPortfolioPerformance!D62&gt;TAAPortfolioPerformance!$B$4,"",'Index Returns'!E46*TAA!F$24))</f>
        <v/>
      </c>
      <c r="F62" s="33" t="str">
        <f>IF(E62&lt;=$B$3,'Index Returns'!F46*'SAA with CME'!G$17,IF(TAAPortfolioPerformance!E62&gt;TAAPortfolioPerformance!$B$4,"",'Index Returns'!F46*TAA!G$24))</f>
        <v/>
      </c>
      <c r="G62" s="33" t="str">
        <f>IF(F62&lt;=$B$3,'Index Returns'!G46*'SAA with CME'!H$17,IF(TAAPortfolioPerformance!F62&gt;TAAPortfolioPerformance!$B$4,"",'Index Returns'!G46*TAA!H$24))</f>
        <v/>
      </c>
      <c r="H62" s="33" t="str">
        <f t="shared" si="2"/>
        <v/>
      </c>
      <c r="I62" s="38" t="str">
        <f t="shared" si="3"/>
        <v/>
      </c>
    </row>
    <row r="63" spans="1:9" ht="18" x14ac:dyDescent="0.35">
      <c r="A63" s="65">
        <v>44498</v>
      </c>
      <c r="B63" s="33" t="str">
        <f>IF(A63&lt;=$B$3,'Index Returns'!B47*'SAA with CME'!C$17,IF(TAAPortfolioPerformance!A63&gt;TAAPortfolioPerformance!$B$4,"",'Index Returns'!B47*TAA!C$24))</f>
        <v/>
      </c>
      <c r="C63" s="33" t="str">
        <f>IF(B63&lt;=$B$3,'Index Returns'!C47*'SAA with CME'!D$17,IF(TAAPortfolioPerformance!B63&gt;TAAPortfolioPerformance!$B$4,"",'Index Returns'!C47*TAA!D$24))</f>
        <v/>
      </c>
      <c r="D63" s="33" t="str">
        <f>IF(C63&lt;=$B$3,'Index Returns'!D47*'SAA with CME'!E$17,IF(TAAPortfolioPerformance!C63&gt;TAAPortfolioPerformance!$B$4,"",'Index Returns'!D47*TAA!E$24))</f>
        <v/>
      </c>
      <c r="E63" s="33" t="str">
        <f>IF(D63&lt;=$B$3,'Index Returns'!E47*'SAA with CME'!F$17,IF(TAAPortfolioPerformance!D63&gt;TAAPortfolioPerformance!$B$4,"",'Index Returns'!E47*TAA!F$24))</f>
        <v/>
      </c>
      <c r="F63" s="33" t="str">
        <f>IF(E63&lt;=$B$3,'Index Returns'!F47*'SAA with CME'!G$17,IF(TAAPortfolioPerformance!E63&gt;TAAPortfolioPerformance!$B$4,"",'Index Returns'!F47*TAA!G$24))</f>
        <v/>
      </c>
      <c r="G63" s="33" t="str">
        <f>IF(F63&lt;=$B$3,'Index Returns'!G47*'SAA with CME'!H$17,IF(TAAPortfolioPerformance!F63&gt;TAAPortfolioPerformance!$B$4,"",'Index Returns'!G47*TAA!H$24))</f>
        <v/>
      </c>
      <c r="H63" s="33" t="str">
        <f t="shared" si="2"/>
        <v/>
      </c>
      <c r="I63" s="38" t="str">
        <f t="shared" si="3"/>
        <v/>
      </c>
    </row>
    <row r="64" spans="1:9" ht="18" x14ac:dyDescent="0.35">
      <c r="A64" s="65">
        <v>44530</v>
      </c>
      <c r="B64" s="33" t="str">
        <f>IF(A64&lt;=$B$3,'Index Returns'!B48*'SAA with CME'!C$17,IF(TAAPortfolioPerformance!A64&gt;TAAPortfolioPerformance!$B$4,"",'Index Returns'!B48*TAA!C$24))</f>
        <v/>
      </c>
      <c r="C64" s="33" t="str">
        <f>IF(B64&lt;=$B$3,'Index Returns'!C48*'SAA with CME'!D$17,IF(TAAPortfolioPerformance!B64&gt;TAAPortfolioPerformance!$B$4,"",'Index Returns'!C48*TAA!D$24))</f>
        <v/>
      </c>
      <c r="D64" s="33" t="str">
        <f>IF(C64&lt;=$B$3,'Index Returns'!D48*'SAA with CME'!E$17,IF(TAAPortfolioPerformance!C64&gt;TAAPortfolioPerformance!$B$4,"",'Index Returns'!D48*TAA!E$24))</f>
        <v/>
      </c>
      <c r="E64" s="33" t="str">
        <f>IF(D64&lt;=$B$3,'Index Returns'!E48*'SAA with CME'!F$17,IF(TAAPortfolioPerformance!D64&gt;TAAPortfolioPerformance!$B$4,"",'Index Returns'!E48*TAA!F$24))</f>
        <v/>
      </c>
      <c r="F64" s="33" t="str">
        <f>IF(E64&lt;=$B$3,'Index Returns'!F48*'SAA with CME'!G$17,IF(TAAPortfolioPerformance!E64&gt;TAAPortfolioPerformance!$B$4,"",'Index Returns'!F48*TAA!G$24))</f>
        <v/>
      </c>
      <c r="G64" s="33" t="str">
        <f>IF(F64&lt;=$B$3,'Index Returns'!G48*'SAA with CME'!H$17,IF(TAAPortfolioPerformance!F64&gt;TAAPortfolioPerformance!$B$4,"",'Index Returns'!G48*TAA!H$24))</f>
        <v/>
      </c>
      <c r="H64" s="33" t="str">
        <f t="shared" si="2"/>
        <v/>
      </c>
      <c r="I64" s="38" t="str">
        <f t="shared" si="3"/>
        <v/>
      </c>
    </row>
    <row r="65" spans="1:9" ht="18" x14ac:dyDescent="0.35">
      <c r="A65" s="65">
        <v>44561</v>
      </c>
      <c r="B65" s="33" t="str">
        <f>IF(A65&lt;=$B$3,'Index Returns'!B49*'SAA with CME'!C$17,IF(TAAPortfolioPerformance!A65&gt;TAAPortfolioPerformance!$B$4,"",'Index Returns'!B49*TAA!C$24))</f>
        <v/>
      </c>
      <c r="C65" s="33" t="str">
        <f>IF(B65&lt;=$B$3,'Index Returns'!C49*'SAA with CME'!D$17,IF(TAAPortfolioPerformance!B65&gt;TAAPortfolioPerformance!$B$4,"",'Index Returns'!C49*TAA!D$24))</f>
        <v/>
      </c>
      <c r="D65" s="33" t="str">
        <f>IF(C65&lt;=$B$3,'Index Returns'!D49*'SAA with CME'!E$17,IF(TAAPortfolioPerformance!C65&gt;TAAPortfolioPerformance!$B$4,"",'Index Returns'!D49*TAA!E$24))</f>
        <v/>
      </c>
      <c r="E65" s="33" t="str">
        <f>IF(D65&lt;=$B$3,'Index Returns'!E49*'SAA with CME'!F$17,IF(TAAPortfolioPerformance!D65&gt;TAAPortfolioPerformance!$B$4,"",'Index Returns'!E49*TAA!F$24))</f>
        <v/>
      </c>
      <c r="F65" s="33" t="str">
        <f>IF(E65&lt;=$B$3,'Index Returns'!F49*'SAA with CME'!G$17,IF(TAAPortfolioPerformance!E65&gt;TAAPortfolioPerformance!$B$4,"",'Index Returns'!F49*TAA!G$24))</f>
        <v/>
      </c>
      <c r="G65" s="33" t="str">
        <f>IF(F65&lt;=$B$3,'Index Returns'!G49*'SAA with CME'!H$17,IF(TAAPortfolioPerformance!F65&gt;TAAPortfolioPerformance!$B$4,"",'Index Returns'!G49*TAA!H$24))</f>
        <v/>
      </c>
      <c r="H65" s="33" t="str">
        <f t="shared" si="2"/>
        <v/>
      </c>
      <c r="I65" s="38" t="str">
        <f t="shared" si="3"/>
        <v/>
      </c>
    </row>
    <row r="66" spans="1:9" ht="18" x14ac:dyDescent="0.35">
      <c r="A66" s="65">
        <v>44592</v>
      </c>
      <c r="B66" s="33" t="str">
        <f>IF(A66&lt;=$B$3,'Index Returns'!B50*'SAA with CME'!C$17,IF(TAAPortfolioPerformance!A66&gt;TAAPortfolioPerformance!$B$4,"",'Index Returns'!B50*TAA!C$24))</f>
        <v/>
      </c>
      <c r="C66" s="33" t="str">
        <f>IF(B66&lt;=$B$3,'Index Returns'!C50*'SAA with CME'!D$17,IF(TAAPortfolioPerformance!B66&gt;TAAPortfolioPerformance!$B$4,"",'Index Returns'!C50*TAA!D$24))</f>
        <v/>
      </c>
      <c r="D66" s="33" t="str">
        <f>IF(C66&lt;=$B$3,'Index Returns'!D50*'SAA with CME'!E$17,IF(TAAPortfolioPerformance!C66&gt;TAAPortfolioPerformance!$B$4,"",'Index Returns'!D50*TAA!E$24))</f>
        <v/>
      </c>
      <c r="E66" s="33" t="str">
        <f>IF(D66&lt;=$B$3,'Index Returns'!E50*'SAA with CME'!F$17,IF(TAAPortfolioPerformance!D66&gt;TAAPortfolioPerformance!$B$4,"",'Index Returns'!E50*TAA!F$24))</f>
        <v/>
      </c>
      <c r="F66" s="33" t="str">
        <f>IF(E66&lt;=$B$3,'Index Returns'!F50*'SAA with CME'!G$17,IF(TAAPortfolioPerformance!E66&gt;TAAPortfolioPerformance!$B$4,"",'Index Returns'!F50*TAA!G$24))</f>
        <v/>
      </c>
      <c r="G66" s="33" t="str">
        <f>IF(F66&lt;=$B$3,'Index Returns'!G50*'SAA with CME'!H$17,IF(TAAPortfolioPerformance!F66&gt;TAAPortfolioPerformance!$B$4,"",'Index Returns'!G50*TAA!H$24))</f>
        <v/>
      </c>
      <c r="H66" s="33" t="str">
        <f t="shared" si="2"/>
        <v/>
      </c>
      <c r="I66" s="38" t="str">
        <f t="shared" si="3"/>
        <v/>
      </c>
    </row>
    <row r="67" spans="1:9" ht="18" x14ac:dyDescent="0.35">
      <c r="A67" s="65">
        <v>44620</v>
      </c>
      <c r="B67" s="33" t="str">
        <f>IF(A67&lt;=$B$3,'Index Returns'!B51*'SAA with CME'!C$17,IF(TAAPortfolioPerformance!A67&gt;TAAPortfolioPerformance!$B$4,"",'Index Returns'!B51*TAA!C$24))</f>
        <v/>
      </c>
      <c r="C67" s="33" t="str">
        <f>IF(B67&lt;=$B$3,'Index Returns'!C51*'SAA with CME'!D$17,IF(TAAPortfolioPerformance!B67&gt;TAAPortfolioPerformance!$B$4,"",'Index Returns'!C51*TAA!D$24))</f>
        <v/>
      </c>
      <c r="D67" s="33" t="str">
        <f>IF(C67&lt;=$B$3,'Index Returns'!D51*'SAA with CME'!E$17,IF(TAAPortfolioPerformance!C67&gt;TAAPortfolioPerformance!$B$4,"",'Index Returns'!D51*TAA!E$24))</f>
        <v/>
      </c>
      <c r="E67" s="33" t="str">
        <f>IF(D67&lt;=$B$3,'Index Returns'!E51*'SAA with CME'!F$17,IF(TAAPortfolioPerformance!D67&gt;TAAPortfolioPerformance!$B$4,"",'Index Returns'!E51*TAA!F$24))</f>
        <v/>
      </c>
      <c r="F67" s="33" t="str">
        <f>IF(E67&lt;=$B$3,'Index Returns'!F51*'SAA with CME'!G$17,IF(TAAPortfolioPerformance!E67&gt;TAAPortfolioPerformance!$B$4,"",'Index Returns'!F51*TAA!G$24))</f>
        <v/>
      </c>
      <c r="G67" s="33" t="str">
        <f>IF(F67&lt;=$B$3,'Index Returns'!G51*'SAA with CME'!H$17,IF(TAAPortfolioPerformance!F67&gt;TAAPortfolioPerformance!$B$4,"",'Index Returns'!G51*TAA!H$24))</f>
        <v/>
      </c>
      <c r="H67" s="33" t="str">
        <f t="shared" si="2"/>
        <v/>
      </c>
      <c r="I67" s="38" t="str">
        <f t="shared" si="3"/>
        <v/>
      </c>
    </row>
    <row r="68" spans="1:9" ht="18" x14ac:dyDescent="0.35">
      <c r="A68" s="65">
        <v>44651</v>
      </c>
      <c r="B68" s="33" t="str">
        <f>IF(A68&lt;=$B$3,'Index Returns'!B52*'SAA with CME'!C$17,IF(TAAPortfolioPerformance!A68&gt;TAAPortfolioPerformance!$B$4,"",'Index Returns'!B52*TAA!C$24))</f>
        <v/>
      </c>
      <c r="C68" s="33" t="str">
        <f>IF(B68&lt;=$B$3,'Index Returns'!C52*'SAA with CME'!D$17,IF(TAAPortfolioPerformance!B68&gt;TAAPortfolioPerformance!$B$4,"",'Index Returns'!C52*TAA!D$24))</f>
        <v/>
      </c>
      <c r="D68" s="33" t="str">
        <f>IF(C68&lt;=$B$3,'Index Returns'!D52*'SAA with CME'!E$17,IF(TAAPortfolioPerformance!C68&gt;TAAPortfolioPerformance!$B$4,"",'Index Returns'!D52*TAA!E$24))</f>
        <v/>
      </c>
      <c r="E68" s="33" t="str">
        <f>IF(D68&lt;=$B$3,'Index Returns'!E52*'SAA with CME'!F$17,IF(TAAPortfolioPerformance!D68&gt;TAAPortfolioPerformance!$B$4,"",'Index Returns'!E52*TAA!F$24))</f>
        <v/>
      </c>
      <c r="F68" s="33" t="str">
        <f>IF(E68&lt;=$B$3,'Index Returns'!F52*'SAA with CME'!G$17,IF(TAAPortfolioPerformance!E68&gt;TAAPortfolioPerformance!$B$4,"",'Index Returns'!F52*TAA!G$24))</f>
        <v/>
      </c>
      <c r="G68" s="33" t="str">
        <f>IF(F68&lt;=$B$3,'Index Returns'!G52*'SAA with CME'!H$17,IF(TAAPortfolioPerformance!F68&gt;TAAPortfolioPerformance!$B$4,"",'Index Returns'!G52*TAA!H$24))</f>
        <v/>
      </c>
      <c r="H68" s="33" t="str">
        <f t="shared" si="2"/>
        <v/>
      </c>
      <c r="I68" s="38" t="str">
        <f t="shared" si="3"/>
        <v/>
      </c>
    </row>
    <row r="69" spans="1:9" ht="18" x14ac:dyDescent="0.35">
      <c r="A69" s="65">
        <v>44680</v>
      </c>
      <c r="B69" s="33" t="str">
        <f>IF(A69&lt;=$B$3,'Index Returns'!B53*'SAA with CME'!C$17,IF(TAAPortfolioPerformance!A69&gt;TAAPortfolioPerformance!$B$4,"",'Index Returns'!B53*TAA!C$24))</f>
        <v/>
      </c>
      <c r="C69" s="33" t="str">
        <f>IF(B69&lt;=$B$3,'Index Returns'!C53*'SAA with CME'!D$17,IF(TAAPortfolioPerformance!B69&gt;TAAPortfolioPerformance!$B$4,"",'Index Returns'!C53*TAA!D$24))</f>
        <v/>
      </c>
      <c r="D69" s="33" t="str">
        <f>IF(C69&lt;=$B$3,'Index Returns'!D53*'SAA with CME'!E$17,IF(TAAPortfolioPerformance!C69&gt;TAAPortfolioPerformance!$B$4,"",'Index Returns'!D53*TAA!E$24))</f>
        <v/>
      </c>
      <c r="E69" s="33" t="str">
        <f>IF(D69&lt;=$B$3,'Index Returns'!E53*'SAA with CME'!F$17,IF(TAAPortfolioPerformance!D69&gt;TAAPortfolioPerformance!$B$4,"",'Index Returns'!E53*TAA!F$24))</f>
        <v/>
      </c>
      <c r="F69" s="33" t="str">
        <f>IF(E69&lt;=$B$3,'Index Returns'!F53*'SAA with CME'!G$17,IF(TAAPortfolioPerformance!E69&gt;TAAPortfolioPerformance!$B$4,"",'Index Returns'!F53*TAA!G$24))</f>
        <v/>
      </c>
      <c r="G69" s="33" t="str">
        <f>IF(F69&lt;=$B$3,'Index Returns'!G53*'SAA with CME'!H$17,IF(TAAPortfolioPerformance!F69&gt;TAAPortfolioPerformance!$B$4,"",'Index Returns'!G53*TAA!H$24))</f>
        <v/>
      </c>
      <c r="H69" s="33" t="str">
        <f t="shared" si="2"/>
        <v/>
      </c>
      <c r="I69" s="38" t="str">
        <f t="shared" si="3"/>
        <v/>
      </c>
    </row>
    <row r="70" spans="1:9" ht="18" x14ac:dyDescent="0.35">
      <c r="A70" s="65">
        <v>44712</v>
      </c>
      <c r="B70" s="33" t="str">
        <f>IF(A70&lt;=$B$3,'Index Returns'!B54*'SAA with CME'!C$17,IF(TAAPortfolioPerformance!A70&gt;TAAPortfolioPerformance!$B$4,"",'Index Returns'!B54*TAA!C$24))</f>
        <v/>
      </c>
      <c r="C70" s="33" t="str">
        <f>IF(B70&lt;=$B$3,'Index Returns'!C54*'SAA with CME'!D$17,IF(TAAPortfolioPerformance!B70&gt;TAAPortfolioPerformance!$B$4,"",'Index Returns'!C54*TAA!D$24))</f>
        <v/>
      </c>
      <c r="D70" s="33" t="str">
        <f>IF(C70&lt;=$B$3,'Index Returns'!D54*'SAA with CME'!E$17,IF(TAAPortfolioPerformance!C70&gt;TAAPortfolioPerformance!$B$4,"",'Index Returns'!D54*TAA!E$24))</f>
        <v/>
      </c>
      <c r="E70" s="33" t="str">
        <f>IF(D70&lt;=$B$3,'Index Returns'!E54*'SAA with CME'!F$17,IF(TAAPortfolioPerformance!D70&gt;TAAPortfolioPerformance!$B$4,"",'Index Returns'!E54*TAA!F$24))</f>
        <v/>
      </c>
      <c r="F70" s="33" t="str">
        <f>IF(E70&lt;=$B$3,'Index Returns'!F54*'SAA with CME'!G$17,IF(TAAPortfolioPerformance!E70&gt;TAAPortfolioPerformance!$B$4,"",'Index Returns'!F54*TAA!G$24))</f>
        <v/>
      </c>
      <c r="G70" s="33" t="str">
        <f>IF(F70&lt;=$B$3,'Index Returns'!G54*'SAA with CME'!H$17,IF(TAAPortfolioPerformance!F70&gt;TAAPortfolioPerformance!$B$4,"",'Index Returns'!G54*TAA!H$24))</f>
        <v/>
      </c>
      <c r="H70" s="33" t="str">
        <f t="shared" si="2"/>
        <v/>
      </c>
      <c r="I70" s="38" t="str">
        <f t="shared" si="3"/>
        <v/>
      </c>
    </row>
    <row r="71" spans="1:9" ht="18" x14ac:dyDescent="0.35">
      <c r="A71" s="65">
        <v>44742</v>
      </c>
      <c r="B71" s="33" t="str">
        <f>IF(A71&lt;=$B$3,'Index Returns'!B55*'SAA with CME'!C$17,IF(TAAPortfolioPerformance!A71&gt;TAAPortfolioPerformance!$B$4,"",'Index Returns'!B55*TAA!C$24))</f>
        <v/>
      </c>
      <c r="C71" s="33" t="str">
        <f>IF(B71&lt;=$B$3,'Index Returns'!C55*'SAA with CME'!D$17,IF(TAAPortfolioPerformance!B71&gt;TAAPortfolioPerformance!$B$4,"",'Index Returns'!C55*TAA!D$24))</f>
        <v/>
      </c>
      <c r="D71" s="33" t="str">
        <f>IF(C71&lt;=$B$3,'Index Returns'!D55*'SAA with CME'!E$17,IF(TAAPortfolioPerformance!C71&gt;TAAPortfolioPerformance!$B$4,"",'Index Returns'!D55*TAA!E$24))</f>
        <v/>
      </c>
      <c r="E71" s="33" t="str">
        <f>IF(D71&lt;=$B$3,'Index Returns'!E55*'SAA with CME'!F$17,IF(TAAPortfolioPerformance!D71&gt;TAAPortfolioPerformance!$B$4,"",'Index Returns'!E55*TAA!F$24))</f>
        <v/>
      </c>
      <c r="F71" s="33" t="str">
        <f>IF(E71&lt;=$B$3,'Index Returns'!F55*'SAA with CME'!G$17,IF(TAAPortfolioPerformance!E71&gt;TAAPortfolioPerformance!$B$4,"",'Index Returns'!F55*TAA!G$24))</f>
        <v/>
      </c>
      <c r="G71" s="33" t="str">
        <f>IF(F71&lt;=$B$3,'Index Returns'!G55*'SAA with CME'!H$17,IF(TAAPortfolioPerformance!F71&gt;TAAPortfolioPerformance!$B$4,"",'Index Returns'!G55*TAA!H$24))</f>
        <v/>
      </c>
      <c r="H71" s="33" t="str">
        <f t="shared" si="2"/>
        <v/>
      </c>
      <c r="I71" s="38" t="str">
        <f t="shared" si="3"/>
        <v/>
      </c>
    </row>
    <row r="72" spans="1:9" ht="18" x14ac:dyDescent="0.35">
      <c r="A72" s="65">
        <v>44771</v>
      </c>
      <c r="B72" s="33" t="str">
        <f>IF(A72&lt;=$B$3,'Index Returns'!B56*'SAA with CME'!C$17,IF(TAAPortfolioPerformance!A72&gt;TAAPortfolioPerformance!$B$4,"",'Index Returns'!B56*TAA!C$24))</f>
        <v/>
      </c>
      <c r="C72" s="33" t="str">
        <f>IF(B72&lt;=$B$3,'Index Returns'!C56*'SAA with CME'!D$17,IF(TAAPortfolioPerformance!B72&gt;TAAPortfolioPerformance!$B$4,"",'Index Returns'!C56*TAA!D$24))</f>
        <v/>
      </c>
      <c r="D72" s="33" t="str">
        <f>IF(C72&lt;=$B$3,'Index Returns'!D56*'SAA with CME'!E$17,IF(TAAPortfolioPerformance!C72&gt;TAAPortfolioPerformance!$B$4,"",'Index Returns'!D56*TAA!E$24))</f>
        <v/>
      </c>
      <c r="E72" s="33" t="str">
        <f>IF(D72&lt;=$B$3,'Index Returns'!E56*'SAA with CME'!F$17,IF(TAAPortfolioPerformance!D72&gt;TAAPortfolioPerformance!$B$4,"",'Index Returns'!E56*TAA!F$24))</f>
        <v/>
      </c>
      <c r="F72" s="33" t="str">
        <f>IF(E72&lt;=$B$3,'Index Returns'!F56*'SAA with CME'!G$17,IF(TAAPortfolioPerformance!E72&gt;TAAPortfolioPerformance!$B$4,"",'Index Returns'!F56*TAA!G$24))</f>
        <v/>
      </c>
      <c r="G72" s="33" t="str">
        <f>IF(F72&lt;=$B$3,'Index Returns'!G56*'SAA with CME'!H$17,IF(TAAPortfolioPerformance!F72&gt;TAAPortfolioPerformance!$B$4,"",'Index Returns'!G56*TAA!H$24))</f>
        <v/>
      </c>
      <c r="H72" s="33" t="str">
        <f t="shared" si="2"/>
        <v/>
      </c>
      <c r="I72" s="38" t="str">
        <f t="shared" si="3"/>
        <v/>
      </c>
    </row>
    <row r="73" spans="1:9" ht="18" x14ac:dyDescent="0.35">
      <c r="A73" s="65">
        <v>44804</v>
      </c>
      <c r="B73" s="33" t="str">
        <f>IF(A73&lt;=$B$3,'Index Returns'!B57*'SAA with CME'!C$17,IF(TAAPortfolioPerformance!A73&gt;TAAPortfolioPerformance!$B$4,"",'Index Returns'!B57*TAA!C$24))</f>
        <v/>
      </c>
      <c r="C73" s="33" t="str">
        <f>IF(B73&lt;=$B$3,'Index Returns'!C57*'SAA with CME'!D$17,IF(TAAPortfolioPerformance!B73&gt;TAAPortfolioPerformance!$B$4,"",'Index Returns'!C57*TAA!D$24))</f>
        <v/>
      </c>
      <c r="D73" s="33" t="str">
        <f>IF(C73&lt;=$B$3,'Index Returns'!D57*'SAA with CME'!E$17,IF(TAAPortfolioPerformance!C73&gt;TAAPortfolioPerformance!$B$4,"",'Index Returns'!D57*TAA!E$24))</f>
        <v/>
      </c>
      <c r="E73" s="33" t="str">
        <f>IF(D73&lt;=$B$3,'Index Returns'!E57*'SAA with CME'!F$17,IF(TAAPortfolioPerformance!D73&gt;TAAPortfolioPerformance!$B$4,"",'Index Returns'!E57*TAA!F$24))</f>
        <v/>
      </c>
      <c r="F73" s="33" t="str">
        <f>IF(E73&lt;=$B$3,'Index Returns'!F57*'SAA with CME'!G$17,IF(TAAPortfolioPerformance!E73&gt;TAAPortfolioPerformance!$B$4,"",'Index Returns'!F57*TAA!G$24))</f>
        <v/>
      </c>
      <c r="G73" s="33" t="str">
        <f>IF(F73&lt;=$B$3,'Index Returns'!G57*'SAA with CME'!H$17,IF(TAAPortfolioPerformance!F73&gt;TAAPortfolioPerformance!$B$4,"",'Index Returns'!G57*TAA!H$24))</f>
        <v/>
      </c>
      <c r="H73" s="33" t="str">
        <f t="shared" si="2"/>
        <v/>
      </c>
      <c r="I73" s="38" t="str">
        <f t="shared" si="3"/>
        <v/>
      </c>
    </row>
    <row r="74" spans="1:9" ht="18" x14ac:dyDescent="0.35">
      <c r="A74" s="65">
        <v>44834</v>
      </c>
      <c r="B74" s="33" t="str">
        <f>IF(A74&lt;=$B$3,'Index Returns'!B58*'SAA with CME'!C$17,IF(TAAPortfolioPerformance!A74&gt;TAAPortfolioPerformance!$B$4,"",'Index Returns'!B58*TAA!C$24))</f>
        <v/>
      </c>
      <c r="C74" s="33" t="str">
        <f>IF(B74&lt;=$B$3,'Index Returns'!C58*'SAA with CME'!D$17,IF(TAAPortfolioPerformance!B74&gt;TAAPortfolioPerformance!$B$4,"",'Index Returns'!C58*TAA!D$24))</f>
        <v/>
      </c>
      <c r="D74" s="33" t="str">
        <f>IF(C74&lt;=$B$3,'Index Returns'!D58*'SAA with CME'!E$17,IF(TAAPortfolioPerformance!C74&gt;TAAPortfolioPerformance!$B$4,"",'Index Returns'!D58*TAA!E$24))</f>
        <v/>
      </c>
      <c r="E74" s="33" t="str">
        <f>IF(D74&lt;=$B$3,'Index Returns'!E58*'SAA with CME'!F$17,IF(TAAPortfolioPerformance!D74&gt;TAAPortfolioPerformance!$B$4,"",'Index Returns'!E58*TAA!F$24))</f>
        <v/>
      </c>
      <c r="F74" s="33" t="str">
        <f>IF(E74&lt;=$B$3,'Index Returns'!F58*'SAA with CME'!G$17,IF(TAAPortfolioPerformance!E74&gt;TAAPortfolioPerformance!$B$4,"",'Index Returns'!F58*TAA!G$24))</f>
        <v/>
      </c>
      <c r="G74" s="33" t="str">
        <f>IF(F74&lt;=$B$3,'Index Returns'!G58*'SAA with CME'!H$17,IF(TAAPortfolioPerformance!F74&gt;TAAPortfolioPerformance!$B$4,"",'Index Returns'!G58*TAA!H$24))</f>
        <v/>
      </c>
      <c r="H74" s="33" t="str">
        <f t="shared" si="2"/>
        <v/>
      </c>
      <c r="I74" s="38" t="str">
        <f t="shared" si="3"/>
        <v/>
      </c>
    </row>
    <row r="75" spans="1:9" ht="18" x14ac:dyDescent="0.35">
      <c r="A75" s="65">
        <v>44865</v>
      </c>
      <c r="B75" s="33" t="str">
        <f>IF(A75&lt;=$B$3,'Index Returns'!B59*'SAA with CME'!C$17,IF(TAAPortfolioPerformance!A75&gt;TAAPortfolioPerformance!$B$4,"",'Index Returns'!B59*TAA!C$24))</f>
        <v/>
      </c>
      <c r="C75" s="33" t="str">
        <f>IF(B75&lt;=$B$3,'Index Returns'!C59*'SAA with CME'!D$17,IF(TAAPortfolioPerformance!B75&gt;TAAPortfolioPerformance!$B$4,"",'Index Returns'!C59*TAA!D$24))</f>
        <v/>
      </c>
      <c r="D75" s="33" t="str">
        <f>IF(C75&lt;=$B$3,'Index Returns'!D59*'SAA with CME'!E$17,IF(TAAPortfolioPerformance!C75&gt;TAAPortfolioPerformance!$B$4,"",'Index Returns'!D59*TAA!E$24))</f>
        <v/>
      </c>
      <c r="E75" s="33" t="str">
        <f>IF(D75&lt;=$B$3,'Index Returns'!E59*'SAA with CME'!F$17,IF(TAAPortfolioPerformance!D75&gt;TAAPortfolioPerformance!$B$4,"",'Index Returns'!E59*TAA!F$24))</f>
        <v/>
      </c>
      <c r="F75" s="33" t="str">
        <f>IF(E75&lt;=$B$3,'Index Returns'!F59*'SAA with CME'!G$17,IF(TAAPortfolioPerformance!E75&gt;TAAPortfolioPerformance!$B$4,"",'Index Returns'!F59*TAA!G$24))</f>
        <v/>
      </c>
      <c r="G75" s="33" t="str">
        <f>IF(F75&lt;=$B$3,'Index Returns'!G59*'SAA with CME'!H$17,IF(TAAPortfolioPerformance!F75&gt;TAAPortfolioPerformance!$B$4,"",'Index Returns'!G59*TAA!H$24))</f>
        <v/>
      </c>
      <c r="H75" s="33" t="str">
        <f t="shared" si="2"/>
        <v/>
      </c>
      <c r="I75" s="38" t="str">
        <f t="shared" si="3"/>
        <v/>
      </c>
    </row>
    <row r="76" spans="1:9" ht="18" x14ac:dyDescent="0.35">
      <c r="A76" s="65">
        <v>44895</v>
      </c>
      <c r="B76" s="33" t="str">
        <f>IF(A76&lt;=$B$3,'Index Returns'!B60*'SAA with CME'!C$17,IF(TAAPortfolioPerformance!A76&gt;TAAPortfolioPerformance!$B$4,"",'Index Returns'!B60*TAA!C$24))</f>
        <v/>
      </c>
      <c r="C76" s="33" t="str">
        <f>IF(B76&lt;=$B$3,'Index Returns'!C60*'SAA with CME'!D$17,IF(TAAPortfolioPerformance!B76&gt;TAAPortfolioPerformance!$B$4,"",'Index Returns'!C60*TAA!D$24))</f>
        <v/>
      </c>
      <c r="D76" s="33" t="str">
        <f>IF(C76&lt;=$B$3,'Index Returns'!D60*'SAA with CME'!E$17,IF(TAAPortfolioPerformance!C76&gt;TAAPortfolioPerformance!$B$4,"",'Index Returns'!D60*TAA!E$24))</f>
        <v/>
      </c>
      <c r="E76" s="33" t="str">
        <f>IF(D76&lt;=$B$3,'Index Returns'!E60*'SAA with CME'!F$17,IF(TAAPortfolioPerformance!D76&gt;TAAPortfolioPerformance!$B$4,"",'Index Returns'!E60*TAA!F$24))</f>
        <v/>
      </c>
      <c r="F76" s="33" t="str">
        <f>IF(E76&lt;=$B$3,'Index Returns'!F60*'SAA with CME'!G$17,IF(TAAPortfolioPerformance!E76&gt;TAAPortfolioPerformance!$B$4,"",'Index Returns'!F60*TAA!G$24))</f>
        <v/>
      </c>
      <c r="G76" s="33" t="str">
        <f>IF(F76&lt;=$B$3,'Index Returns'!G60*'SAA with CME'!H$17,IF(TAAPortfolioPerformance!F76&gt;TAAPortfolioPerformance!$B$4,"",'Index Returns'!G60*TAA!H$24))</f>
        <v/>
      </c>
      <c r="H76" s="33" t="str">
        <f t="shared" si="2"/>
        <v/>
      </c>
      <c r="I76" s="38" t="str">
        <f t="shared" si="3"/>
        <v/>
      </c>
    </row>
    <row r="77" spans="1:9" ht="18" x14ac:dyDescent="0.35">
      <c r="A77" s="65">
        <v>44925</v>
      </c>
      <c r="B77" s="33" t="str">
        <f>IF(A77&lt;=$B$3,'Index Returns'!B61*'SAA with CME'!C$17,IF(TAAPortfolioPerformance!A77&gt;TAAPortfolioPerformance!$B$4,"",'Index Returns'!B61*TAA!C$24))</f>
        <v/>
      </c>
      <c r="C77" s="33" t="str">
        <f>IF(B77&lt;=$B$3,'Index Returns'!C61*'SAA with CME'!D$17,IF(TAAPortfolioPerformance!B77&gt;TAAPortfolioPerformance!$B$4,"",'Index Returns'!C61*TAA!D$24))</f>
        <v/>
      </c>
      <c r="D77" s="33" t="str">
        <f>IF(C77&lt;=$B$3,'Index Returns'!D61*'SAA with CME'!E$17,IF(TAAPortfolioPerformance!C77&gt;TAAPortfolioPerformance!$B$4,"",'Index Returns'!D61*TAA!E$24))</f>
        <v/>
      </c>
      <c r="E77" s="33" t="str">
        <f>IF(D77&lt;=$B$3,'Index Returns'!E61*'SAA with CME'!F$17,IF(TAAPortfolioPerformance!D77&gt;TAAPortfolioPerformance!$B$4,"",'Index Returns'!E61*TAA!F$24))</f>
        <v/>
      </c>
      <c r="F77" s="33" t="str">
        <f>IF(E77&lt;=$B$3,'Index Returns'!F61*'SAA with CME'!G$17,IF(TAAPortfolioPerformance!E77&gt;TAAPortfolioPerformance!$B$4,"",'Index Returns'!F61*TAA!G$24))</f>
        <v/>
      </c>
      <c r="G77" s="33" t="str">
        <f>IF(F77&lt;=$B$3,'Index Returns'!G61*'SAA with CME'!H$17,IF(TAAPortfolioPerformance!F77&gt;TAAPortfolioPerformance!$B$4,"",'Index Returns'!G61*TAA!H$24))</f>
        <v/>
      </c>
      <c r="H77" s="33" t="str">
        <f t="shared" si="2"/>
        <v/>
      </c>
      <c r="I77" s="38" t="str">
        <f t="shared" si="3"/>
        <v/>
      </c>
    </row>
    <row r="78" spans="1:9" ht="18" x14ac:dyDescent="0.35">
      <c r="A78" s="65">
        <v>44957</v>
      </c>
      <c r="B78" s="33" t="str">
        <f>IF(A78&lt;=$B$3,'Index Returns'!B62*'SAA with CME'!C$17,IF(TAAPortfolioPerformance!A78&gt;TAAPortfolioPerformance!$B$4,"",'Index Returns'!B62*TAA!C$24))</f>
        <v/>
      </c>
      <c r="C78" s="33" t="str">
        <f>IF(B78&lt;=$B$3,'Index Returns'!C62*'SAA with CME'!D$17,IF(TAAPortfolioPerformance!B78&gt;TAAPortfolioPerformance!$B$4,"",'Index Returns'!C62*TAA!D$24))</f>
        <v/>
      </c>
      <c r="D78" s="33" t="str">
        <f>IF(C78&lt;=$B$3,'Index Returns'!D62*'SAA with CME'!E$17,IF(TAAPortfolioPerformance!C78&gt;TAAPortfolioPerformance!$B$4,"",'Index Returns'!D62*TAA!E$24))</f>
        <v/>
      </c>
      <c r="E78" s="33" t="str">
        <f>IF(D78&lt;=$B$3,'Index Returns'!E62*'SAA with CME'!F$17,IF(TAAPortfolioPerformance!D78&gt;TAAPortfolioPerformance!$B$4,"",'Index Returns'!E62*TAA!F$24))</f>
        <v/>
      </c>
      <c r="F78" s="33" t="str">
        <f>IF(E78&lt;=$B$3,'Index Returns'!F62*'SAA with CME'!G$17,IF(TAAPortfolioPerformance!E78&gt;TAAPortfolioPerformance!$B$4,"",'Index Returns'!F62*TAA!G$24))</f>
        <v/>
      </c>
      <c r="G78" s="33" t="str">
        <f>IF(F78&lt;=$B$3,'Index Returns'!G62*'SAA with CME'!H$17,IF(TAAPortfolioPerformance!F78&gt;TAAPortfolioPerformance!$B$4,"",'Index Returns'!G62*TAA!H$24))</f>
        <v/>
      </c>
      <c r="H78" s="33" t="str">
        <f t="shared" si="2"/>
        <v/>
      </c>
      <c r="I78" s="38" t="str">
        <f t="shared" si="3"/>
        <v/>
      </c>
    </row>
    <row r="79" spans="1:9" ht="18" x14ac:dyDescent="0.35">
      <c r="A79" s="65">
        <v>44985</v>
      </c>
      <c r="B79" s="33" t="str">
        <f>IF(A79&lt;=$B$3,'Index Returns'!B63*'SAA with CME'!C$17,IF(TAAPortfolioPerformance!A79&gt;TAAPortfolioPerformance!$B$4,"",'Index Returns'!B63*TAA!C$24))</f>
        <v/>
      </c>
      <c r="C79" s="33" t="str">
        <f>IF(B79&lt;=$B$3,'Index Returns'!C63*'SAA with CME'!D$17,IF(TAAPortfolioPerformance!B79&gt;TAAPortfolioPerformance!$B$4,"",'Index Returns'!C63*TAA!D$24))</f>
        <v/>
      </c>
      <c r="D79" s="33" t="str">
        <f>IF(C79&lt;=$B$3,'Index Returns'!D63*'SAA with CME'!E$17,IF(TAAPortfolioPerformance!C79&gt;TAAPortfolioPerformance!$B$4,"",'Index Returns'!D63*TAA!E$24))</f>
        <v/>
      </c>
      <c r="E79" s="33" t="str">
        <f>IF(D79&lt;=$B$3,'Index Returns'!E63*'SAA with CME'!F$17,IF(TAAPortfolioPerformance!D79&gt;TAAPortfolioPerformance!$B$4,"",'Index Returns'!E63*TAA!F$24))</f>
        <v/>
      </c>
      <c r="F79" s="33" t="str">
        <f>IF(E79&lt;=$B$3,'Index Returns'!F63*'SAA with CME'!G$17,IF(TAAPortfolioPerformance!E79&gt;TAAPortfolioPerformance!$B$4,"",'Index Returns'!F63*TAA!G$24))</f>
        <v/>
      </c>
      <c r="G79" s="33" t="str">
        <f>IF(F79&lt;=$B$3,'Index Returns'!G63*'SAA with CME'!H$17,IF(TAAPortfolioPerformance!F79&gt;TAAPortfolioPerformance!$B$4,"",'Index Returns'!G63*TAA!H$24))</f>
        <v/>
      </c>
      <c r="H79" s="33" t="str">
        <f t="shared" si="2"/>
        <v/>
      </c>
      <c r="I79" s="38" t="str">
        <f t="shared" si="3"/>
        <v/>
      </c>
    </row>
    <row r="80" spans="1:9" ht="18" x14ac:dyDescent="0.35">
      <c r="A80" s="65">
        <v>45016</v>
      </c>
      <c r="B80" s="33" t="str">
        <f>IF(A80&lt;=$B$3,'Index Returns'!B64*'SAA with CME'!C$17,IF(TAAPortfolioPerformance!A80&gt;TAAPortfolioPerformance!$B$4,"",'Index Returns'!B64*TAA!C$24))</f>
        <v/>
      </c>
      <c r="C80" s="33" t="str">
        <f>IF(B80&lt;=$B$3,'Index Returns'!C64*'SAA with CME'!D$17,IF(TAAPortfolioPerformance!B80&gt;TAAPortfolioPerformance!$B$4,"",'Index Returns'!C64*TAA!D$24))</f>
        <v/>
      </c>
      <c r="D80" s="33" t="str">
        <f>IF(C80&lt;=$B$3,'Index Returns'!D64*'SAA with CME'!E$17,IF(TAAPortfolioPerformance!C80&gt;TAAPortfolioPerformance!$B$4,"",'Index Returns'!D64*TAA!E$24))</f>
        <v/>
      </c>
      <c r="E80" s="33" t="str">
        <f>IF(D80&lt;=$B$3,'Index Returns'!E64*'SAA with CME'!F$17,IF(TAAPortfolioPerformance!D80&gt;TAAPortfolioPerformance!$B$4,"",'Index Returns'!E64*TAA!F$24))</f>
        <v/>
      </c>
      <c r="F80" s="33" t="str">
        <f>IF(E80&lt;=$B$3,'Index Returns'!F64*'SAA with CME'!G$17,IF(TAAPortfolioPerformance!E80&gt;TAAPortfolioPerformance!$B$4,"",'Index Returns'!F64*TAA!G$24))</f>
        <v/>
      </c>
      <c r="G80" s="33" t="str">
        <f>IF(F80&lt;=$B$3,'Index Returns'!G64*'SAA with CME'!H$17,IF(TAAPortfolioPerformance!F80&gt;TAAPortfolioPerformance!$B$4,"",'Index Returns'!G64*TAA!H$24))</f>
        <v/>
      </c>
      <c r="H80" s="33" t="str">
        <f t="shared" si="2"/>
        <v/>
      </c>
      <c r="I80" s="38" t="str">
        <f t="shared" si="3"/>
        <v/>
      </c>
    </row>
    <row r="81" spans="1:9" ht="18" x14ac:dyDescent="0.35">
      <c r="A81" s="65">
        <v>45044</v>
      </c>
      <c r="B81" s="33" t="str">
        <f>IF(A81&lt;=$B$3,'Index Returns'!B65*'SAA with CME'!C$17,IF(TAAPortfolioPerformance!A81&gt;TAAPortfolioPerformance!$B$4,"",'Index Returns'!B65*TAA!C$24))</f>
        <v/>
      </c>
      <c r="C81" s="33" t="str">
        <f>IF(B81&lt;=$B$3,'Index Returns'!C65*'SAA with CME'!D$17,IF(TAAPortfolioPerformance!B81&gt;TAAPortfolioPerformance!$B$4,"",'Index Returns'!C65*TAA!D$24))</f>
        <v/>
      </c>
      <c r="D81" s="33" t="str">
        <f>IF(C81&lt;=$B$3,'Index Returns'!D65*'SAA with CME'!E$17,IF(TAAPortfolioPerformance!C81&gt;TAAPortfolioPerformance!$B$4,"",'Index Returns'!D65*TAA!E$24))</f>
        <v/>
      </c>
      <c r="E81" s="33" t="str">
        <f>IF(D81&lt;=$B$3,'Index Returns'!E65*'SAA with CME'!F$17,IF(TAAPortfolioPerformance!D81&gt;TAAPortfolioPerformance!$B$4,"",'Index Returns'!E65*TAA!F$24))</f>
        <v/>
      </c>
      <c r="F81" s="33" t="str">
        <f>IF(E81&lt;=$B$3,'Index Returns'!F65*'SAA with CME'!G$17,IF(TAAPortfolioPerformance!E81&gt;TAAPortfolioPerformance!$B$4,"",'Index Returns'!F65*TAA!G$24))</f>
        <v/>
      </c>
      <c r="G81" s="33" t="str">
        <f>IF(F81&lt;=$B$3,'Index Returns'!G65*'SAA with CME'!H$17,IF(TAAPortfolioPerformance!F81&gt;TAAPortfolioPerformance!$B$4,"",'Index Returns'!G65*TAA!H$24))</f>
        <v/>
      </c>
      <c r="H81" s="33" t="str">
        <f t="shared" si="2"/>
        <v/>
      </c>
      <c r="I81" s="38" t="str">
        <f t="shared" si="3"/>
        <v/>
      </c>
    </row>
    <row r="82" spans="1:9" ht="18" x14ac:dyDescent="0.35">
      <c r="A82" s="65">
        <v>45077</v>
      </c>
      <c r="B82" s="33" t="str">
        <f>IF(A82&lt;=$B$3,'Index Returns'!B66*'SAA with CME'!C$17,IF(TAAPortfolioPerformance!A82&gt;TAAPortfolioPerformance!$B$4,"",'Index Returns'!B66*TAA!C$24))</f>
        <v/>
      </c>
      <c r="C82" s="33" t="str">
        <f>IF(B82&lt;=$B$3,'Index Returns'!C66*'SAA with CME'!D$17,IF(TAAPortfolioPerformance!B82&gt;TAAPortfolioPerformance!$B$4,"",'Index Returns'!C66*TAA!D$24))</f>
        <v/>
      </c>
      <c r="D82" s="33" t="str">
        <f>IF(C82&lt;=$B$3,'Index Returns'!D66*'SAA with CME'!E$17,IF(TAAPortfolioPerformance!C82&gt;TAAPortfolioPerformance!$B$4,"",'Index Returns'!D66*TAA!E$24))</f>
        <v/>
      </c>
      <c r="E82" s="33" t="str">
        <f>IF(D82&lt;=$B$3,'Index Returns'!E66*'SAA with CME'!F$17,IF(TAAPortfolioPerformance!D82&gt;TAAPortfolioPerformance!$B$4,"",'Index Returns'!E66*TAA!F$24))</f>
        <v/>
      </c>
      <c r="F82" s="33" t="str">
        <f>IF(E82&lt;=$B$3,'Index Returns'!F66*'SAA with CME'!G$17,IF(TAAPortfolioPerformance!E82&gt;TAAPortfolioPerformance!$B$4,"",'Index Returns'!F66*TAA!G$24))</f>
        <v/>
      </c>
      <c r="G82" s="33" t="str">
        <f>IF(F82&lt;=$B$3,'Index Returns'!G66*'SAA with CME'!H$17,IF(TAAPortfolioPerformance!F82&gt;TAAPortfolioPerformance!$B$4,"",'Index Returns'!G66*TAA!H$24))</f>
        <v/>
      </c>
      <c r="H82" s="33" t="str">
        <f t="shared" si="2"/>
        <v/>
      </c>
      <c r="I82" s="38" t="str">
        <f t="shared" si="3"/>
        <v/>
      </c>
    </row>
    <row r="83" spans="1:9" ht="18" x14ac:dyDescent="0.35">
      <c r="A83" s="65">
        <v>45107</v>
      </c>
      <c r="B83" s="33" t="str">
        <f>IF(A83&lt;=$B$3,'Index Returns'!B67*'SAA with CME'!C$17,IF(TAAPortfolioPerformance!A83&gt;TAAPortfolioPerformance!$B$4,"",'Index Returns'!B67*TAA!C$24))</f>
        <v/>
      </c>
      <c r="C83" s="33" t="str">
        <f>IF(B83&lt;=$B$3,'Index Returns'!C67*'SAA with CME'!D$17,IF(TAAPortfolioPerformance!B83&gt;TAAPortfolioPerformance!$B$4,"",'Index Returns'!C67*TAA!D$24))</f>
        <v/>
      </c>
      <c r="D83" s="33" t="str">
        <f>IF(C83&lt;=$B$3,'Index Returns'!D67*'SAA with CME'!E$17,IF(TAAPortfolioPerformance!C83&gt;TAAPortfolioPerformance!$B$4,"",'Index Returns'!D67*TAA!E$24))</f>
        <v/>
      </c>
      <c r="E83" s="33" t="str">
        <f>IF(D83&lt;=$B$3,'Index Returns'!E67*'SAA with CME'!F$17,IF(TAAPortfolioPerformance!D83&gt;TAAPortfolioPerformance!$B$4,"",'Index Returns'!E67*TAA!F$24))</f>
        <v/>
      </c>
      <c r="F83" s="33" t="str">
        <f>IF(E83&lt;=$B$3,'Index Returns'!F67*'SAA with CME'!G$17,IF(TAAPortfolioPerformance!E83&gt;TAAPortfolioPerformance!$B$4,"",'Index Returns'!F67*TAA!G$24))</f>
        <v/>
      </c>
      <c r="G83" s="33" t="str">
        <f>IF(F83&lt;=$B$3,'Index Returns'!G67*'SAA with CME'!H$17,IF(TAAPortfolioPerformance!F83&gt;TAAPortfolioPerformance!$B$4,"",'Index Returns'!G67*TAA!H$24))</f>
        <v/>
      </c>
      <c r="H83" s="33" t="str">
        <f t="shared" si="2"/>
        <v/>
      </c>
      <c r="I83" s="38" t="str">
        <f t="shared" si="3"/>
        <v/>
      </c>
    </row>
    <row r="84" spans="1:9" ht="18" x14ac:dyDescent="0.35">
      <c r="A84" s="65">
        <v>45138</v>
      </c>
      <c r="B84" s="33" t="str">
        <f>IF(A84&lt;=$B$3,'Index Returns'!B68*'SAA with CME'!C$17,IF(TAAPortfolioPerformance!A84&gt;TAAPortfolioPerformance!$B$4,"",'Index Returns'!B68*TAA!C$24))</f>
        <v/>
      </c>
      <c r="C84" s="33" t="str">
        <f>IF(B84&lt;=$B$3,'Index Returns'!C68*'SAA with CME'!D$17,IF(TAAPortfolioPerformance!B84&gt;TAAPortfolioPerformance!$B$4,"",'Index Returns'!C68*TAA!D$24))</f>
        <v/>
      </c>
      <c r="D84" s="33" t="str">
        <f>IF(C84&lt;=$B$3,'Index Returns'!D68*'SAA with CME'!E$17,IF(TAAPortfolioPerformance!C84&gt;TAAPortfolioPerformance!$B$4,"",'Index Returns'!D68*TAA!E$24))</f>
        <v/>
      </c>
      <c r="E84" s="33" t="str">
        <f>IF(D84&lt;=$B$3,'Index Returns'!E68*'SAA with CME'!F$17,IF(TAAPortfolioPerformance!D84&gt;TAAPortfolioPerformance!$B$4,"",'Index Returns'!E68*TAA!F$24))</f>
        <v/>
      </c>
      <c r="F84" s="33" t="str">
        <f>IF(E84&lt;=$B$3,'Index Returns'!F68*'SAA with CME'!G$17,IF(TAAPortfolioPerformance!E84&gt;TAAPortfolioPerformance!$B$4,"",'Index Returns'!F68*TAA!G$24))</f>
        <v/>
      </c>
      <c r="G84" s="33" t="str">
        <f>IF(F84&lt;=$B$3,'Index Returns'!G68*'SAA with CME'!H$17,IF(TAAPortfolioPerformance!F84&gt;TAAPortfolioPerformance!$B$4,"",'Index Returns'!G68*TAA!H$24))</f>
        <v/>
      </c>
      <c r="H84" s="33" t="str">
        <f t="shared" si="2"/>
        <v/>
      </c>
      <c r="I84" s="38" t="str">
        <f t="shared" si="3"/>
        <v/>
      </c>
    </row>
    <row r="85" spans="1:9" ht="18" x14ac:dyDescent="0.35">
      <c r="A85" s="65">
        <v>45169</v>
      </c>
      <c r="B85" s="33" t="str">
        <f>IF(A85&lt;=$B$3,'Index Returns'!B69*'SAA with CME'!C$17,IF(TAAPortfolioPerformance!A85&gt;TAAPortfolioPerformance!$B$4,"",'Index Returns'!B69*TAA!C$24))</f>
        <v/>
      </c>
      <c r="C85" s="33" t="str">
        <f>IF(B85&lt;=$B$3,'Index Returns'!C69*'SAA with CME'!D$17,IF(TAAPortfolioPerformance!B85&gt;TAAPortfolioPerformance!$B$4,"",'Index Returns'!C69*TAA!D$24))</f>
        <v/>
      </c>
      <c r="D85" s="33" t="str">
        <f>IF(C85&lt;=$B$3,'Index Returns'!D69*'SAA with CME'!E$17,IF(TAAPortfolioPerformance!C85&gt;TAAPortfolioPerformance!$B$4,"",'Index Returns'!D69*TAA!E$24))</f>
        <v/>
      </c>
      <c r="E85" s="33" t="str">
        <f>IF(D85&lt;=$B$3,'Index Returns'!E69*'SAA with CME'!F$17,IF(TAAPortfolioPerformance!D85&gt;TAAPortfolioPerformance!$B$4,"",'Index Returns'!E69*TAA!F$24))</f>
        <v/>
      </c>
      <c r="F85" s="33" t="str">
        <f>IF(E85&lt;=$B$3,'Index Returns'!F69*'SAA with CME'!G$17,IF(TAAPortfolioPerformance!E85&gt;TAAPortfolioPerformance!$B$4,"",'Index Returns'!F69*TAA!G$24))</f>
        <v/>
      </c>
      <c r="G85" s="33" t="str">
        <f>IF(F85&lt;=$B$3,'Index Returns'!G69*'SAA with CME'!H$17,IF(TAAPortfolioPerformance!F85&gt;TAAPortfolioPerformance!$B$4,"",'Index Returns'!G69*TAA!H$24))</f>
        <v/>
      </c>
      <c r="H85" s="33" t="str">
        <f t="shared" si="2"/>
        <v/>
      </c>
      <c r="I85" s="38" t="str">
        <f t="shared" si="3"/>
        <v/>
      </c>
    </row>
    <row r="86" spans="1:9" ht="18" x14ac:dyDescent="0.35">
      <c r="A86" s="65">
        <v>45198</v>
      </c>
      <c r="B86" s="33" t="str">
        <f>IF(A86&lt;=$B$3,'Index Returns'!B70*'SAA with CME'!C$17,IF(TAAPortfolioPerformance!A86&gt;TAAPortfolioPerformance!$B$4,"",'Index Returns'!B70*TAA!C$24))</f>
        <v/>
      </c>
      <c r="C86" s="33" t="str">
        <f>IF(B86&lt;=$B$3,'Index Returns'!C70*'SAA with CME'!D$17,IF(TAAPortfolioPerformance!B86&gt;TAAPortfolioPerformance!$B$4,"",'Index Returns'!C70*TAA!D$24))</f>
        <v/>
      </c>
      <c r="D86" s="33" t="str">
        <f>IF(C86&lt;=$B$3,'Index Returns'!D70*'SAA with CME'!E$17,IF(TAAPortfolioPerformance!C86&gt;TAAPortfolioPerformance!$B$4,"",'Index Returns'!D70*TAA!E$24))</f>
        <v/>
      </c>
      <c r="E86" s="33" t="str">
        <f>IF(D86&lt;=$B$3,'Index Returns'!E70*'SAA with CME'!F$17,IF(TAAPortfolioPerformance!D86&gt;TAAPortfolioPerformance!$B$4,"",'Index Returns'!E70*TAA!F$24))</f>
        <v/>
      </c>
      <c r="F86" s="33" t="str">
        <f>IF(E86&lt;=$B$3,'Index Returns'!F70*'SAA with CME'!G$17,IF(TAAPortfolioPerformance!E86&gt;TAAPortfolioPerformance!$B$4,"",'Index Returns'!F70*TAA!G$24))</f>
        <v/>
      </c>
      <c r="G86" s="33" t="str">
        <f>IF(F86&lt;=$B$3,'Index Returns'!G70*'SAA with CME'!H$17,IF(TAAPortfolioPerformance!F86&gt;TAAPortfolioPerformance!$B$4,"",'Index Returns'!G70*TAA!H$24))</f>
        <v/>
      </c>
      <c r="H86" s="33" t="str">
        <f t="shared" si="2"/>
        <v/>
      </c>
      <c r="I86" s="38" t="str">
        <f t="shared" si="3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F81-A7CB-43FB-BAD7-D3CE55C467CF}">
  <sheetPr>
    <tabColor rgb="FF06005A"/>
  </sheetPr>
  <dimension ref="A1:DA82"/>
  <sheetViews>
    <sheetView zoomScaleNormal="100" workbookViewId="0">
      <selection activeCell="B2" sqref="B2"/>
    </sheetView>
  </sheetViews>
  <sheetFormatPr defaultColWidth="8.7265625" defaultRowHeight="17.5" x14ac:dyDescent="0.35"/>
  <cols>
    <col min="1" max="1" width="3.453125" style="2" customWidth="1"/>
    <col min="2" max="2" width="36.7265625" style="2" customWidth="1"/>
    <col min="3" max="3" width="13.81640625" style="2" bestFit="1" customWidth="1"/>
    <col min="4" max="4" width="16.7265625" style="2" hidden="1" customWidth="1"/>
    <col min="5" max="16" width="12.453125" style="2" hidden="1" customWidth="1"/>
    <col min="17" max="17" width="11.453125" style="2" hidden="1" customWidth="1"/>
    <col min="18" max="18" width="12.54296875" style="2" bestFit="1" customWidth="1"/>
    <col min="19" max="20" width="12.453125" style="2" hidden="1" customWidth="1"/>
    <col min="21" max="22" width="11.453125" style="2" hidden="1" customWidth="1"/>
    <col min="23" max="32" width="12.453125" style="2" hidden="1" customWidth="1"/>
    <col min="33" max="33" width="12.54296875" style="2" bestFit="1" customWidth="1"/>
    <col min="34" max="35" width="12.453125" style="2" hidden="1" customWidth="1"/>
    <col min="36" max="47" width="11.453125" style="2" hidden="1" customWidth="1"/>
    <col min="48" max="48" width="11.54296875" style="2" bestFit="1" customWidth="1"/>
    <col min="49" max="62" width="11.453125" style="2" hidden="1" customWidth="1"/>
    <col min="63" max="63" width="11.54296875" style="2" bestFit="1" customWidth="1"/>
    <col min="64" max="77" width="11.453125" style="2" hidden="1" customWidth="1"/>
    <col min="78" max="78" width="11.54296875" style="2" bestFit="1" customWidth="1"/>
    <col min="79" max="92" width="11.453125" style="2" hidden="1" customWidth="1"/>
    <col min="93" max="93" width="11.54296875" style="2" bestFit="1" customWidth="1"/>
    <col min="94" max="16384" width="8.7265625" style="2"/>
  </cols>
  <sheetData>
    <row r="1" spans="1:105" s="46" customFormat="1" x14ac:dyDescent="0.3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</row>
    <row r="2" spans="1:105" s="46" customFormat="1" ht="18" x14ac:dyDescent="0.4">
      <c r="A2" s="45"/>
      <c r="B2" s="51" t="s">
        <v>58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</row>
    <row r="3" spans="1:105" s="46" customFormat="1" x14ac:dyDescent="0.35">
      <c r="A3" s="45"/>
      <c r="B3" s="52" t="s">
        <v>62</v>
      </c>
      <c r="C3" s="53">
        <v>1.2189999999999999E-2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</row>
    <row r="4" spans="1:105" s="46" customFormat="1" x14ac:dyDescent="0.35">
      <c r="A4" s="45"/>
      <c r="B4" s="52" t="s">
        <v>59</v>
      </c>
      <c r="C4" s="53">
        <v>2.6839999999999999E-2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</row>
    <row r="5" spans="1:105" s="46" customFormat="1" x14ac:dyDescent="0.35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</row>
    <row r="6" spans="1:105" ht="18" x14ac:dyDescent="0.4">
      <c r="A6" s="45"/>
      <c r="B6" s="51" t="s">
        <v>40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</row>
    <row r="7" spans="1:105" x14ac:dyDescent="0.35">
      <c r="A7" s="45"/>
      <c r="B7" s="52" t="s">
        <v>41</v>
      </c>
      <c r="C7" s="54">
        <v>5000000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</row>
    <row r="8" spans="1:105" ht="18" x14ac:dyDescent="0.4">
      <c r="A8" s="45"/>
      <c r="B8" s="52" t="s">
        <v>63</v>
      </c>
      <c r="C8" s="5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6"/>
      <c r="CQ8" s="46"/>
      <c r="CR8" s="46"/>
      <c r="CS8" s="46"/>
      <c r="CT8" s="46"/>
      <c r="CU8" s="46"/>
      <c r="CV8" s="46"/>
      <c r="CW8" s="46"/>
      <c r="CX8" s="46"/>
      <c r="CY8" s="46"/>
      <c r="CZ8" s="46"/>
      <c r="DA8" s="46"/>
    </row>
    <row r="9" spans="1:105" x14ac:dyDescent="0.3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6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</row>
    <row r="10" spans="1:105" ht="18" x14ac:dyDescent="0.4">
      <c r="A10" s="45"/>
      <c r="B10" s="51" t="s">
        <v>42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6"/>
      <c r="CQ10" s="46"/>
      <c r="CR10" s="46"/>
      <c r="CS10" s="46"/>
      <c r="CT10" s="46"/>
      <c r="CU10" s="46"/>
      <c r="CV10" s="46"/>
      <c r="CW10" s="46"/>
      <c r="CX10" s="46"/>
      <c r="CY10" s="46"/>
      <c r="CZ10" s="46"/>
      <c r="DA10" s="46"/>
    </row>
    <row r="11" spans="1:105" ht="18" x14ac:dyDescent="0.4">
      <c r="A11" s="45"/>
      <c r="B11" s="56" t="s">
        <v>43</v>
      </c>
      <c r="C11" s="56">
        <v>0</v>
      </c>
      <c r="D11" s="56">
        <v>1</v>
      </c>
      <c r="E11" s="56">
        <v>2</v>
      </c>
      <c r="F11" s="56">
        <v>3</v>
      </c>
      <c r="G11" s="56">
        <v>4</v>
      </c>
      <c r="H11" s="56">
        <v>5</v>
      </c>
      <c r="I11" s="56">
        <v>6</v>
      </c>
      <c r="J11" s="56">
        <v>7</v>
      </c>
      <c r="K11" s="56">
        <v>8</v>
      </c>
      <c r="L11" s="56">
        <v>9</v>
      </c>
      <c r="M11" s="56">
        <v>10</v>
      </c>
      <c r="N11" s="56">
        <v>11</v>
      </c>
      <c r="O11" s="56">
        <v>12</v>
      </c>
      <c r="P11" s="56">
        <v>13</v>
      </c>
      <c r="Q11" s="56">
        <v>14</v>
      </c>
      <c r="R11" s="56">
        <v>15</v>
      </c>
      <c r="S11" s="56">
        <v>16</v>
      </c>
      <c r="T11" s="56">
        <v>17</v>
      </c>
      <c r="U11" s="56">
        <v>18</v>
      </c>
      <c r="V11" s="56">
        <v>19</v>
      </c>
      <c r="W11" s="56">
        <v>20</v>
      </c>
      <c r="X11" s="56">
        <v>21</v>
      </c>
      <c r="Y11" s="56">
        <v>22</v>
      </c>
      <c r="Z11" s="56">
        <v>23</v>
      </c>
      <c r="AA11" s="56">
        <v>24</v>
      </c>
      <c r="AB11" s="56">
        <v>25</v>
      </c>
      <c r="AC11" s="56">
        <v>26</v>
      </c>
      <c r="AD11" s="56">
        <v>27</v>
      </c>
      <c r="AE11" s="56">
        <v>28</v>
      </c>
      <c r="AF11" s="56">
        <v>29</v>
      </c>
      <c r="AG11" s="56">
        <v>30</v>
      </c>
      <c r="AH11" s="56">
        <v>31</v>
      </c>
      <c r="AI11" s="56">
        <v>32</v>
      </c>
      <c r="AJ11" s="56">
        <v>33</v>
      </c>
      <c r="AK11" s="56">
        <v>34</v>
      </c>
      <c r="AL11" s="56">
        <v>35</v>
      </c>
      <c r="AM11" s="56">
        <v>36</v>
      </c>
      <c r="AN11" s="56">
        <v>37</v>
      </c>
      <c r="AO11" s="56">
        <v>38</v>
      </c>
      <c r="AP11" s="56">
        <v>39</v>
      </c>
      <c r="AQ11" s="56">
        <v>40</v>
      </c>
      <c r="AR11" s="56">
        <v>41</v>
      </c>
      <c r="AS11" s="56">
        <v>42</v>
      </c>
      <c r="AT11" s="56">
        <v>43</v>
      </c>
      <c r="AU11" s="56">
        <v>44</v>
      </c>
      <c r="AV11" s="56">
        <v>45</v>
      </c>
      <c r="AW11" s="56">
        <v>46</v>
      </c>
      <c r="AX11" s="56">
        <v>47</v>
      </c>
      <c r="AY11" s="56">
        <v>48</v>
      </c>
      <c r="AZ11" s="56">
        <v>49</v>
      </c>
      <c r="BA11" s="56">
        <v>50</v>
      </c>
      <c r="BB11" s="56">
        <v>51</v>
      </c>
      <c r="BC11" s="56">
        <v>52</v>
      </c>
      <c r="BD11" s="56">
        <v>53</v>
      </c>
      <c r="BE11" s="56">
        <v>54</v>
      </c>
      <c r="BF11" s="56">
        <v>55</v>
      </c>
      <c r="BG11" s="56">
        <v>56</v>
      </c>
      <c r="BH11" s="56">
        <v>57</v>
      </c>
      <c r="BI11" s="56">
        <v>58</v>
      </c>
      <c r="BJ11" s="56">
        <v>59</v>
      </c>
      <c r="BK11" s="56">
        <v>60</v>
      </c>
      <c r="BL11" s="56">
        <v>61</v>
      </c>
      <c r="BM11" s="56">
        <v>62</v>
      </c>
      <c r="BN11" s="56">
        <v>63</v>
      </c>
      <c r="BO11" s="56">
        <v>64</v>
      </c>
      <c r="BP11" s="56">
        <v>65</v>
      </c>
      <c r="BQ11" s="56">
        <v>66</v>
      </c>
      <c r="BR11" s="56">
        <v>67</v>
      </c>
      <c r="BS11" s="56">
        <v>68</v>
      </c>
      <c r="BT11" s="56">
        <v>69</v>
      </c>
      <c r="BU11" s="56">
        <v>70</v>
      </c>
      <c r="BV11" s="56">
        <v>71</v>
      </c>
      <c r="BW11" s="56">
        <v>72</v>
      </c>
      <c r="BX11" s="56">
        <v>73</v>
      </c>
      <c r="BY11" s="56">
        <v>74</v>
      </c>
      <c r="BZ11" s="56">
        <v>75</v>
      </c>
      <c r="CA11" s="56">
        <v>76</v>
      </c>
      <c r="CB11" s="56">
        <v>77</v>
      </c>
      <c r="CC11" s="56">
        <v>78</v>
      </c>
      <c r="CD11" s="56">
        <v>79</v>
      </c>
      <c r="CE11" s="56">
        <v>80</v>
      </c>
      <c r="CF11" s="56">
        <v>81</v>
      </c>
      <c r="CG11" s="56">
        <v>82</v>
      </c>
      <c r="CH11" s="56">
        <v>83</v>
      </c>
      <c r="CI11" s="56">
        <v>84</v>
      </c>
      <c r="CJ11" s="56">
        <v>85</v>
      </c>
      <c r="CK11" s="56">
        <v>86</v>
      </c>
      <c r="CL11" s="56">
        <v>87</v>
      </c>
      <c r="CM11" s="56">
        <v>88</v>
      </c>
      <c r="CN11" s="56">
        <v>89</v>
      </c>
      <c r="CO11" s="56">
        <v>90</v>
      </c>
      <c r="CP11" s="46"/>
      <c r="CQ11" s="46"/>
      <c r="CR11" s="46"/>
      <c r="CS11" s="46"/>
      <c r="CT11" s="46"/>
      <c r="CU11" s="46"/>
      <c r="CV11" s="46"/>
      <c r="CW11" s="46"/>
      <c r="CX11" s="46"/>
      <c r="CY11" s="46"/>
      <c r="CZ11" s="46"/>
      <c r="DA11" s="46"/>
    </row>
    <row r="12" spans="1:105" x14ac:dyDescent="0.35">
      <c r="A12" s="45"/>
      <c r="B12" s="52" t="s">
        <v>64</v>
      </c>
      <c r="C12" s="57">
        <v>0.76716532412734939</v>
      </c>
      <c r="D12" s="57">
        <v>0.76663600122661757</v>
      </c>
      <c r="E12" s="57">
        <v>0.75820759724012432</v>
      </c>
      <c r="F12" s="57">
        <v>0.75688767786860434</v>
      </c>
      <c r="G12" s="57">
        <v>0.75786282682834416</v>
      </c>
      <c r="H12" s="57">
        <v>0.75705958058899236</v>
      </c>
      <c r="I12" s="57">
        <v>0.76295109483482115</v>
      </c>
      <c r="J12" s="57">
        <v>0.75769055917563266</v>
      </c>
      <c r="K12" s="57">
        <v>0.75369309617123903</v>
      </c>
      <c r="L12" s="57">
        <v>0.75443228970199927</v>
      </c>
      <c r="M12" s="57">
        <v>0.7524454477050414</v>
      </c>
      <c r="N12" s="57">
        <v>0.75517293460202384</v>
      </c>
      <c r="O12" s="57">
        <v>0.74973759184285493</v>
      </c>
      <c r="P12" s="57">
        <v>0.76481835564053535</v>
      </c>
      <c r="Q12" s="57">
        <v>0.76045627376425862</v>
      </c>
      <c r="R12" s="57">
        <v>0.76834421820975796</v>
      </c>
      <c r="S12" s="57">
        <v>0.76423385555980128</v>
      </c>
      <c r="T12" s="57">
        <v>0.75930144267274113</v>
      </c>
      <c r="U12" s="57">
        <v>0.75884049172863854</v>
      </c>
      <c r="V12" s="57">
        <v>0.75872534142640358</v>
      </c>
      <c r="W12" s="57">
        <v>0.75746099075897588</v>
      </c>
      <c r="X12" s="57">
        <v>0.75397722988765736</v>
      </c>
      <c r="Y12" s="57">
        <v>0.751371252535878</v>
      </c>
      <c r="Z12" s="57">
        <v>0.75460307878056143</v>
      </c>
      <c r="AA12" s="57">
        <v>0.76353363365656257</v>
      </c>
      <c r="AB12" s="57">
        <v>0.76610740825863788</v>
      </c>
      <c r="AC12" s="57">
        <v>0.7666947788085563</v>
      </c>
      <c r="AD12" s="57">
        <v>0.76628352490421459</v>
      </c>
      <c r="AE12" s="57">
        <v>0.76557954371459191</v>
      </c>
      <c r="AF12" s="57">
        <v>0.77375425564840605</v>
      </c>
      <c r="AG12" s="57">
        <v>0.77585538055706416</v>
      </c>
      <c r="AH12" s="57">
        <v>0.78106693743653832</v>
      </c>
      <c r="AI12" s="57">
        <v>0.77845243655612639</v>
      </c>
      <c r="AJ12" s="57">
        <v>0.77567483710828422</v>
      </c>
      <c r="AK12" s="57">
        <v>0.77790742901594701</v>
      </c>
      <c r="AL12" s="57">
        <v>0.77255871446229918</v>
      </c>
      <c r="AM12" s="57">
        <v>0.77208153180975914</v>
      </c>
      <c r="AN12" s="57">
        <v>0.77327559542220858</v>
      </c>
      <c r="AO12" s="57">
        <v>0.77249903437620704</v>
      </c>
      <c r="AP12" s="57">
        <v>0.76704763365805007</v>
      </c>
      <c r="AQ12" s="57">
        <v>0.76458444835232042</v>
      </c>
      <c r="AR12" s="57">
        <v>0.76283469372187052</v>
      </c>
      <c r="AS12" s="57">
        <v>0.76242756938090872</v>
      </c>
      <c r="AT12" s="57">
        <v>0.76534517067197305</v>
      </c>
      <c r="AU12" s="57">
        <v>0.75970523436906479</v>
      </c>
      <c r="AV12" s="57">
        <v>0.7578053955744164</v>
      </c>
      <c r="AW12" s="57">
        <v>0.76534517067197305</v>
      </c>
      <c r="AX12" s="57">
        <v>0.76516948504093663</v>
      </c>
      <c r="AY12" s="57">
        <v>0.77196232823838196</v>
      </c>
      <c r="AZ12" s="57">
        <v>0.77567483710828422</v>
      </c>
      <c r="BA12" s="57">
        <v>0.77688004972032321</v>
      </c>
      <c r="BB12" s="57">
        <v>0.7700600646850454</v>
      </c>
      <c r="BC12" s="57">
        <v>0.77609623593325572</v>
      </c>
      <c r="BD12" s="57">
        <v>0.77754451442345074</v>
      </c>
      <c r="BE12" s="57">
        <v>0.77736318407960203</v>
      </c>
      <c r="BF12" s="57">
        <v>0.7785736530675802</v>
      </c>
      <c r="BG12" s="57">
        <v>0.78449831332862641</v>
      </c>
      <c r="BH12" s="57">
        <v>0.78192196418797411</v>
      </c>
      <c r="BI12" s="57">
        <v>0.78634898167806866</v>
      </c>
      <c r="BJ12" s="57">
        <v>0.78265633560303671</v>
      </c>
      <c r="BK12" s="57">
        <v>0.78597814980743541</v>
      </c>
      <c r="BL12" s="57">
        <v>0.79189103579347486</v>
      </c>
      <c r="BM12" s="57">
        <v>0.79321012136114866</v>
      </c>
      <c r="BN12" s="57">
        <v>0.78492935635792782</v>
      </c>
      <c r="BO12" s="57">
        <v>0.78406774345303432</v>
      </c>
      <c r="BP12" s="57">
        <v>0.78746357980943382</v>
      </c>
      <c r="BQ12" s="57">
        <v>0.79088895919012969</v>
      </c>
      <c r="BR12" s="57">
        <v>0.79157761418507078</v>
      </c>
      <c r="BS12" s="57">
        <v>0.78895463510848118</v>
      </c>
      <c r="BT12" s="57">
        <v>0.78702974972453965</v>
      </c>
      <c r="BU12" s="57">
        <v>0.7908264136022144</v>
      </c>
      <c r="BV12" s="57">
        <v>0.79013906447534765</v>
      </c>
      <c r="BW12" s="57">
        <v>0.79302141157811268</v>
      </c>
      <c r="BX12" s="57">
        <v>0.79120183558825852</v>
      </c>
      <c r="BY12" s="57">
        <v>0.79214195183776936</v>
      </c>
      <c r="BZ12" s="57">
        <v>0.79472303902090125</v>
      </c>
      <c r="CA12" s="57">
        <v>0.79095151467215064</v>
      </c>
      <c r="CB12" s="57">
        <v>0.79182833161770538</v>
      </c>
      <c r="CC12" s="57">
        <v>0.80083286618082816</v>
      </c>
      <c r="CD12" s="57">
        <v>0.79611495900007967</v>
      </c>
      <c r="CE12" s="57">
        <v>0.78579286500078582</v>
      </c>
      <c r="CF12" s="57">
        <v>0.78241139190986619</v>
      </c>
      <c r="CG12" s="57">
        <v>0.78529919899481693</v>
      </c>
      <c r="CH12" s="57">
        <v>0.78622533218020285</v>
      </c>
      <c r="CI12" s="57">
        <v>0.78585461689587432</v>
      </c>
      <c r="CJ12" s="57">
        <v>0.7843752451172642</v>
      </c>
      <c r="CK12" s="57">
        <v>0.781799702916113</v>
      </c>
      <c r="CL12" s="57">
        <v>0.77972709551656927</v>
      </c>
      <c r="CM12" s="57">
        <v>0.78449831332862641</v>
      </c>
      <c r="CN12" s="57">
        <v>0.7796055196070788</v>
      </c>
      <c r="CO12" s="57">
        <v>0.77918030232195723</v>
      </c>
      <c r="CP12" s="46"/>
      <c r="CQ12" s="46"/>
      <c r="CR12" s="46"/>
      <c r="CS12" s="46"/>
      <c r="CT12" s="46"/>
      <c r="CU12" s="46"/>
      <c r="CV12" s="46"/>
      <c r="CW12" s="46"/>
      <c r="CX12" s="46"/>
      <c r="CY12" s="46"/>
      <c r="CZ12" s="46"/>
      <c r="DA12" s="46"/>
    </row>
    <row r="13" spans="1:105" ht="18" x14ac:dyDescent="0.4">
      <c r="A13" s="45"/>
      <c r="B13" s="52" t="s">
        <v>65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</row>
    <row r="14" spans="1:105" x14ac:dyDescent="0.35">
      <c r="A14" s="4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6"/>
      <c r="CQ14" s="46"/>
      <c r="CR14" s="46"/>
      <c r="CS14" s="46"/>
      <c r="CT14" s="46"/>
      <c r="CU14" s="46"/>
      <c r="CV14" s="46"/>
      <c r="CW14" s="46"/>
      <c r="CX14" s="46"/>
      <c r="CY14" s="46"/>
      <c r="CZ14" s="46"/>
      <c r="DA14" s="46"/>
    </row>
    <row r="15" spans="1:105" ht="18" x14ac:dyDescent="0.4">
      <c r="A15" s="45"/>
      <c r="B15" s="51" t="s">
        <v>44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6"/>
      <c r="CQ15" s="46"/>
      <c r="CR15" s="46"/>
      <c r="CS15" s="46"/>
      <c r="CT15" s="46"/>
      <c r="CU15" s="46"/>
      <c r="CV15" s="46"/>
      <c r="CW15" s="46"/>
      <c r="CX15" s="46"/>
      <c r="CY15" s="46"/>
      <c r="CZ15" s="46"/>
      <c r="DA15" s="46"/>
    </row>
    <row r="16" spans="1:105" ht="18" x14ac:dyDescent="0.4">
      <c r="A16" s="45"/>
      <c r="B16" s="56" t="s">
        <v>43</v>
      </c>
      <c r="C16" s="56">
        <v>0</v>
      </c>
      <c r="D16" s="56">
        <v>1</v>
      </c>
      <c r="E16" s="56">
        <v>2</v>
      </c>
      <c r="F16" s="56">
        <v>3</v>
      </c>
      <c r="G16" s="56">
        <v>4</v>
      </c>
      <c r="H16" s="56">
        <v>5</v>
      </c>
      <c r="I16" s="56">
        <v>6</v>
      </c>
      <c r="J16" s="56">
        <v>7</v>
      </c>
      <c r="K16" s="56">
        <v>8</v>
      </c>
      <c r="L16" s="56">
        <v>9</v>
      </c>
      <c r="M16" s="56">
        <v>10</v>
      </c>
      <c r="N16" s="56">
        <v>11</v>
      </c>
      <c r="O16" s="56">
        <v>12</v>
      </c>
      <c r="P16" s="56">
        <v>13</v>
      </c>
      <c r="Q16" s="56">
        <v>14</v>
      </c>
      <c r="R16" s="56">
        <v>15</v>
      </c>
      <c r="S16" s="56">
        <v>16</v>
      </c>
      <c r="T16" s="56">
        <v>17</v>
      </c>
      <c r="U16" s="56">
        <v>18</v>
      </c>
      <c r="V16" s="56">
        <v>19</v>
      </c>
      <c r="W16" s="56">
        <v>20</v>
      </c>
      <c r="X16" s="56">
        <v>21</v>
      </c>
      <c r="Y16" s="56">
        <v>22</v>
      </c>
      <c r="Z16" s="56">
        <v>23</v>
      </c>
      <c r="AA16" s="56">
        <v>24</v>
      </c>
      <c r="AB16" s="56">
        <v>25</v>
      </c>
      <c r="AC16" s="56">
        <v>26</v>
      </c>
      <c r="AD16" s="56">
        <v>27</v>
      </c>
      <c r="AE16" s="56">
        <v>28</v>
      </c>
      <c r="AF16" s="56">
        <v>29</v>
      </c>
      <c r="AG16" s="56">
        <v>30</v>
      </c>
      <c r="AH16" s="56">
        <v>31</v>
      </c>
      <c r="AI16" s="56">
        <v>32</v>
      </c>
      <c r="AJ16" s="56">
        <v>33</v>
      </c>
      <c r="AK16" s="56">
        <v>34</v>
      </c>
      <c r="AL16" s="56">
        <v>35</v>
      </c>
      <c r="AM16" s="56">
        <v>36</v>
      </c>
      <c r="AN16" s="56">
        <v>37</v>
      </c>
      <c r="AO16" s="56">
        <v>38</v>
      </c>
      <c r="AP16" s="56">
        <v>39</v>
      </c>
      <c r="AQ16" s="56">
        <v>40</v>
      </c>
      <c r="AR16" s="56">
        <v>41</v>
      </c>
      <c r="AS16" s="56">
        <v>42</v>
      </c>
      <c r="AT16" s="56">
        <v>43</v>
      </c>
      <c r="AU16" s="56">
        <v>44</v>
      </c>
      <c r="AV16" s="56">
        <v>45</v>
      </c>
      <c r="AW16" s="56">
        <v>46</v>
      </c>
      <c r="AX16" s="56">
        <v>47</v>
      </c>
      <c r="AY16" s="56">
        <v>48</v>
      </c>
      <c r="AZ16" s="56">
        <v>49</v>
      </c>
      <c r="BA16" s="56">
        <v>50</v>
      </c>
      <c r="BB16" s="56">
        <v>51</v>
      </c>
      <c r="BC16" s="56">
        <v>52</v>
      </c>
      <c r="BD16" s="56">
        <v>53</v>
      </c>
      <c r="BE16" s="56">
        <v>54</v>
      </c>
      <c r="BF16" s="56">
        <v>55</v>
      </c>
      <c r="BG16" s="56">
        <v>56</v>
      </c>
      <c r="BH16" s="56">
        <v>57</v>
      </c>
      <c r="BI16" s="56">
        <v>58</v>
      </c>
      <c r="BJ16" s="56">
        <v>59</v>
      </c>
      <c r="BK16" s="56">
        <v>60</v>
      </c>
      <c r="BL16" s="56">
        <v>61</v>
      </c>
      <c r="BM16" s="56">
        <v>62</v>
      </c>
      <c r="BN16" s="56">
        <v>63</v>
      </c>
      <c r="BO16" s="56">
        <v>64</v>
      </c>
      <c r="BP16" s="56">
        <v>65</v>
      </c>
      <c r="BQ16" s="56">
        <v>66</v>
      </c>
      <c r="BR16" s="56">
        <v>67</v>
      </c>
      <c r="BS16" s="56">
        <v>68</v>
      </c>
      <c r="BT16" s="56">
        <v>69</v>
      </c>
      <c r="BU16" s="56">
        <v>70</v>
      </c>
      <c r="BV16" s="56">
        <v>71</v>
      </c>
      <c r="BW16" s="56">
        <v>72</v>
      </c>
      <c r="BX16" s="56">
        <v>73</v>
      </c>
      <c r="BY16" s="56">
        <v>74</v>
      </c>
      <c r="BZ16" s="56">
        <v>75</v>
      </c>
      <c r="CA16" s="56">
        <v>76</v>
      </c>
      <c r="CB16" s="56">
        <v>77</v>
      </c>
      <c r="CC16" s="56">
        <v>78</v>
      </c>
      <c r="CD16" s="56">
        <v>79</v>
      </c>
      <c r="CE16" s="56">
        <v>80</v>
      </c>
      <c r="CF16" s="56">
        <v>81</v>
      </c>
      <c r="CG16" s="56">
        <v>82</v>
      </c>
      <c r="CH16" s="56">
        <v>83</v>
      </c>
      <c r="CI16" s="56">
        <v>84</v>
      </c>
      <c r="CJ16" s="56">
        <v>85</v>
      </c>
      <c r="CK16" s="56">
        <v>86</v>
      </c>
      <c r="CL16" s="56">
        <v>87</v>
      </c>
      <c r="CM16" s="56">
        <v>88</v>
      </c>
      <c r="CN16" s="56">
        <v>89</v>
      </c>
      <c r="CO16" s="56">
        <v>90</v>
      </c>
      <c r="CP16" s="46"/>
      <c r="CQ16" s="46"/>
      <c r="CR16" s="46"/>
      <c r="CS16" s="46"/>
      <c r="CT16" s="46"/>
      <c r="CU16" s="46"/>
      <c r="CV16" s="46"/>
      <c r="CW16" s="46"/>
      <c r="CX16" s="46"/>
      <c r="CY16" s="46"/>
      <c r="CZ16" s="46"/>
      <c r="DA16" s="46"/>
    </row>
    <row r="17" spans="1:105" x14ac:dyDescent="0.35">
      <c r="A17" s="45"/>
      <c r="B17" s="52" t="s">
        <v>66</v>
      </c>
      <c r="C17" s="59">
        <v>100.18555747075175</v>
      </c>
      <c r="D17" s="59">
        <v>99.819155712078469</v>
      </c>
      <c r="E17" s="59">
        <v>100.66452052943397</v>
      </c>
      <c r="F17" s="59">
        <v>100.95566231110108</v>
      </c>
      <c r="G17" s="59">
        <v>100.69092061095066</v>
      </c>
      <c r="H17" s="59">
        <v>101.29419107392603</v>
      </c>
      <c r="I17" s="59">
        <v>101.75152138238965</v>
      </c>
      <c r="J17" s="59">
        <v>101.4431133269026</v>
      </c>
      <c r="K17" s="59">
        <v>102.2236239444278</v>
      </c>
      <c r="L17" s="59">
        <v>102.69850448184394</v>
      </c>
      <c r="M17" s="59">
        <v>102.76512107113462</v>
      </c>
      <c r="N17" s="59">
        <v>102.80336392802324</v>
      </c>
      <c r="O17" s="59">
        <v>103.02523075485917</v>
      </c>
      <c r="P17" s="59">
        <v>101.80534934590345</v>
      </c>
      <c r="Q17" s="59">
        <v>99.720556952243271</v>
      </c>
      <c r="R17" s="59">
        <v>101.43415427815373</v>
      </c>
      <c r="S17" s="59">
        <v>101.31130606736477</v>
      </c>
      <c r="T17" s="59">
        <v>100.91073644657044</v>
      </c>
      <c r="U17" s="59">
        <v>99.170541954955951</v>
      </c>
      <c r="V17" s="59">
        <v>100.41781745936608</v>
      </c>
      <c r="W17" s="59">
        <v>101.58896674798389</v>
      </c>
      <c r="X17" s="59">
        <v>102.40807216902121</v>
      </c>
      <c r="Y17" s="59">
        <v>103.30679383376236</v>
      </c>
      <c r="Z17" s="59">
        <v>103.0911926658611</v>
      </c>
      <c r="AA17" s="59">
        <v>103.44096431049492</v>
      </c>
      <c r="AB17" s="59">
        <v>103.40248852836149</v>
      </c>
      <c r="AC17" s="59">
        <v>104.65021498678352</v>
      </c>
      <c r="AD17" s="59">
        <v>103.61140478437831</v>
      </c>
      <c r="AE17" s="59">
        <v>104.61710927864786</v>
      </c>
      <c r="AF17" s="59">
        <v>103.93128192883398</v>
      </c>
      <c r="AG17" s="59">
        <v>104.63748916498484</v>
      </c>
      <c r="AH17" s="59">
        <v>104.51942584248276</v>
      </c>
      <c r="AI17" s="59">
        <v>103.14347066771403</v>
      </c>
      <c r="AJ17" s="59">
        <v>99.323721980983208</v>
      </c>
      <c r="AK17" s="59">
        <v>96.623149263115053</v>
      </c>
      <c r="AL17" s="59">
        <v>95.948630616371446</v>
      </c>
      <c r="AM17" s="59">
        <v>91.668553012575913</v>
      </c>
      <c r="AN17" s="59">
        <v>91.572577672691068</v>
      </c>
      <c r="AO17" s="59">
        <v>94.947708156005589</v>
      </c>
      <c r="AP17" s="59">
        <v>93.117850032661195</v>
      </c>
      <c r="AQ17" s="59">
        <v>96.85666076002299</v>
      </c>
      <c r="AR17" s="59">
        <v>93.299106839804054</v>
      </c>
      <c r="AS17" s="59">
        <v>92.097947045881696</v>
      </c>
      <c r="AT17" s="59">
        <v>84.336597959675686</v>
      </c>
      <c r="AU17" s="59">
        <v>89.46689486350013</v>
      </c>
      <c r="AV17" s="59">
        <v>85.011376178413514</v>
      </c>
      <c r="AW17" s="59">
        <v>77.00324395123846</v>
      </c>
      <c r="AX17" s="59">
        <v>83.324165082872753</v>
      </c>
      <c r="AY17" s="59">
        <v>73.478979659499018</v>
      </c>
      <c r="AZ17" s="59">
        <v>78.200813118459777</v>
      </c>
      <c r="BA17" s="59">
        <v>73.758988258661304</v>
      </c>
      <c r="BB17" s="59">
        <v>74.839116087147758</v>
      </c>
      <c r="BC17" s="59">
        <v>70.825744537462597</v>
      </c>
      <c r="BD17" s="59">
        <v>69.168400883304912</v>
      </c>
      <c r="BE17" s="59">
        <v>75.871798090240318</v>
      </c>
      <c r="BF17" s="59">
        <v>76.644039932864089</v>
      </c>
      <c r="BG17" s="59">
        <v>81.155214624404607</v>
      </c>
      <c r="BH17" s="59">
        <v>78.717676434741534</v>
      </c>
      <c r="BI17" s="59">
        <v>81.098724505223714</v>
      </c>
      <c r="BJ17" s="59">
        <v>79.634696929842079</v>
      </c>
      <c r="BK17" s="59">
        <v>76.348512241002283</v>
      </c>
      <c r="BL17" s="59">
        <v>77.707540272422293</v>
      </c>
      <c r="BM17" s="59">
        <v>77.248187104370047</v>
      </c>
      <c r="BN17" s="59">
        <v>82.54874019416178</v>
      </c>
      <c r="BO17" s="59">
        <v>81.969137576521007</v>
      </c>
      <c r="BP17" s="59">
        <v>85.253515555879218</v>
      </c>
      <c r="BQ17" s="59">
        <v>85.718783630542333</v>
      </c>
      <c r="BR17" s="59">
        <v>85.031280889262149</v>
      </c>
      <c r="BS17" s="59">
        <v>88.0956076797778</v>
      </c>
      <c r="BT17" s="59">
        <v>85.527694952791009</v>
      </c>
      <c r="BU17" s="59">
        <v>86.595084502255148</v>
      </c>
      <c r="BV17" s="59">
        <v>88.395016510398435</v>
      </c>
      <c r="BW17" s="59">
        <v>87.112047019510797</v>
      </c>
      <c r="BX17" s="59">
        <v>84.194394298280386</v>
      </c>
      <c r="BY17" s="59">
        <v>86.680785667687232</v>
      </c>
      <c r="BZ17" s="59">
        <v>86.519808172317511</v>
      </c>
      <c r="CA17" s="59">
        <v>87.847321561059857</v>
      </c>
      <c r="CB17" s="59">
        <v>89.29168528032065</v>
      </c>
      <c r="CC17" s="59">
        <v>88.045402761497257</v>
      </c>
      <c r="CD17" s="59">
        <v>90.67757612600488</v>
      </c>
      <c r="CE17" s="59">
        <v>90.173378662885213</v>
      </c>
      <c r="CF17" s="59">
        <v>87.679542704403133</v>
      </c>
      <c r="CG17" s="59">
        <v>87.449955822214648</v>
      </c>
      <c r="CH17" s="59">
        <v>89.031018379242568</v>
      </c>
      <c r="CI17" s="59">
        <v>88.24266191979342</v>
      </c>
      <c r="CJ17" s="59">
        <v>88.953883382787239</v>
      </c>
      <c r="CK17" s="59">
        <v>90.193197623928597</v>
      </c>
      <c r="CL17" s="59">
        <v>90.010879811516304</v>
      </c>
      <c r="CM17" s="59">
        <v>88.15523383307341</v>
      </c>
      <c r="CN17" s="59">
        <v>87.450660771765811</v>
      </c>
      <c r="CO17" s="59">
        <v>87.617924558808568</v>
      </c>
      <c r="CP17" s="46"/>
      <c r="CQ17" s="46"/>
      <c r="CR17" s="46"/>
      <c r="CS17" s="46"/>
      <c r="CT17" s="46"/>
      <c r="CU17" s="46"/>
      <c r="CV17" s="46"/>
      <c r="CW17" s="46"/>
      <c r="CX17" s="46"/>
      <c r="CY17" s="46"/>
      <c r="CZ17" s="46"/>
      <c r="DA17" s="46"/>
    </row>
    <row r="18" spans="1:105" ht="18" x14ac:dyDescent="0.4">
      <c r="A18" s="45"/>
      <c r="B18" s="52" t="s">
        <v>45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46"/>
      <c r="CQ18" s="46"/>
      <c r="CR18" s="46"/>
      <c r="CS18" s="46"/>
      <c r="CT18" s="46"/>
      <c r="CU18" s="46"/>
      <c r="CV18" s="46"/>
      <c r="CW18" s="46"/>
      <c r="CX18" s="46"/>
      <c r="CY18" s="46"/>
      <c r="CZ18" s="46"/>
      <c r="DA18" s="46"/>
    </row>
    <row r="19" spans="1:105" x14ac:dyDescent="0.3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</row>
    <row r="20" spans="1:105" ht="18" x14ac:dyDescent="0.4">
      <c r="A20" s="45"/>
      <c r="B20" s="51" t="s">
        <v>46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</row>
    <row r="21" spans="1:105" ht="18" x14ac:dyDescent="0.4">
      <c r="A21" s="45"/>
      <c r="B21" s="56" t="s">
        <v>43</v>
      </c>
      <c r="C21" s="56">
        <v>0</v>
      </c>
      <c r="D21" s="56">
        <v>1</v>
      </c>
      <c r="E21" s="56">
        <v>2</v>
      </c>
      <c r="F21" s="56">
        <v>3</v>
      </c>
      <c r="G21" s="56">
        <v>4</v>
      </c>
      <c r="H21" s="56">
        <v>5</v>
      </c>
      <c r="I21" s="56">
        <v>6</v>
      </c>
      <c r="J21" s="56">
        <v>7</v>
      </c>
      <c r="K21" s="56">
        <v>8</v>
      </c>
      <c r="L21" s="56">
        <v>9</v>
      </c>
      <c r="M21" s="56">
        <v>10</v>
      </c>
      <c r="N21" s="56">
        <v>11</v>
      </c>
      <c r="O21" s="56">
        <v>12</v>
      </c>
      <c r="P21" s="56">
        <v>13</v>
      </c>
      <c r="Q21" s="56">
        <v>14</v>
      </c>
      <c r="R21" s="56">
        <v>15</v>
      </c>
      <c r="S21" s="56">
        <v>16</v>
      </c>
      <c r="T21" s="56">
        <v>17</v>
      </c>
      <c r="U21" s="56">
        <v>18</v>
      </c>
      <c r="V21" s="56">
        <v>19</v>
      </c>
      <c r="W21" s="56">
        <v>20</v>
      </c>
      <c r="X21" s="56">
        <v>21</v>
      </c>
      <c r="Y21" s="56">
        <v>22</v>
      </c>
      <c r="Z21" s="56">
        <v>23</v>
      </c>
      <c r="AA21" s="56">
        <v>24</v>
      </c>
      <c r="AB21" s="56">
        <v>25</v>
      </c>
      <c r="AC21" s="56">
        <v>26</v>
      </c>
      <c r="AD21" s="56">
        <v>27</v>
      </c>
      <c r="AE21" s="56">
        <v>28</v>
      </c>
      <c r="AF21" s="56">
        <v>29</v>
      </c>
      <c r="AG21" s="56">
        <v>30</v>
      </c>
      <c r="AH21" s="56">
        <v>31</v>
      </c>
      <c r="AI21" s="56">
        <v>32</v>
      </c>
      <c r="AJ21" s="56">
        <v>33</v>
      </c>
      <c r="AK21" s="56">
        <v>34</v>
      </c>
      <c r="AL21" s="56">
        <v>35</v>
      </c>
      <c r="AM21" s="56">
        <v>36</v>
      </c>
      <c r="AN21" s="56">
        <v>37</v>
      </c>
      <c r="AO21" s="56">
        <v>38</v>
      </c>
      <c r="AP21" s="56">
        <v>39</v>
      </c>
      <c r="AQ21" s="56">
        <v>40</v>
      </c>
      <c r="AR21" s="56">
        <v>41</v>
      </c>
      <c r="AS21" s="56">
        <v>42</v>
      </c>
      <c r="AT21" s="56">
        <v>43</v>
      </c>
      <c r="AU21" s="56">
        <v>44</v>
      </c>
      <c r="AV21" s="56">
        <v>45</v>
      </c>
      <c r="AW21" s="56">
        <v>46</v>
      </c>
      <c r="AX21" s="56">
        <v>47</v>
      </c>
      <c r="AY21" s="56">
        <v>48</v>
      </c>
      <c r="AZ21" s="56">
        <v>49</v>
      </c>
      <c r="BA21" s="56">
        <v>50</v>
      </c>
      <c r="BB21" s="56">
        <v>51</v>
      </c>
      <c r="BC21" s="56">
        <v>52</v>
      </c>
      <c r="BD21" s="56">
        <v>53</v>
      </c>
      <c r="BE21" s="56">
        <v>54</v>
      </c>
      <c r="BF21" s="56">
        <v>55</v>
      </c>
      <c r="BG21" s="56">
        <v>56</v>
      </c>
      <c r="BH21" s="56">
        <v>57</v>
      </c>
      <c r="BI21" s="56">
        <v>58</v>
      </c>
      <c r="BJ21" s="56">
        <v>59</v>
      </c>
      <c r="BK21" s="56">
        <v>60</v>
      </c>
      <c r="BL21" s="56">
        <v>61</v>
      </c>
      <c r="BM21" s="56">
        <v>62</v>
      </c>
      <c r="BN21" s="56">
        <v>63</v>
      </c>
      <c r="BO21" s="56">
        <v>64</v>
      </c>
      <c r="BP21" s="56">
        <v>65</v>
      </c>
      <c r="BQ21" s="56">
        <v>66</v>
      </c>
      <c r="BR21" s="56">
        <v>67</v>
      </c>
      <c r="BS21" s="56">
        <v>68</v>
      </c>
      <c r="BT21" s="56">
        <v>69</v>
      </c>
      <c r="BU21" s="56">
        <v>70</v>
      </c>
      <c r="BV21" s="56">
        <v>71</v>
      </c>
      <c r="BW21" s="56">
        <v>72</v>
      </c>
      <c r="BX21" s="56">
        <v>73</v>
      </c>
      <c r="BY21" s="56">
        <v>74</v>
      </c>
      <c r="BZ21" s="56">
        <v>75</v>
      </c>
      <c r="CA21" s="56">
        <v>76</v>
      </c>
      <c r="CB21" s="56">
        <v>77</v>
      </c>
      <c r="CC21" s="56">
        <v>78</v>
      </c>
      <c r="CD21" s="56">
        <v>79</v>
      </c>
      <c r="CE21" s="56">
        <v>80</v>
      </c>
      <c r="CF21" s="56">
        <v>81</v>
      </c>
      <c r="CG21" s="56">
        <v>82</v>
      </c>
      <c r="CH21" s="56">
        <v>83</v>
      </c>
      <c r="CI21" s="56">
        <v>84</v>
      </c>
      <c r="CJ21" s="56">
        <v>85</v>
      </c>
      <c r="CK21" s="56">
        <v>86</v>
      </c>
      <c r="CL21" s="56">
        <v>87</v>
      </c>
      <c r="CM21" s="56">
        <v>88</v>
      </c>
      <c r="CN21" s="56">
        <v>89</v>
      </c>
      <c r="CO21" s="56">
        <v>90</v>
      </c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</row>
    <row r="22" spans="1:105" x14ac:dyDescent="0.35">
      <c r="A22" s="45"/>
      <c r="B22" s="52" t="s">
        <v>67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</row>
    <row r="23" spans="1:105" ht="18" x14ac:dyDescent="0.4">
      <c r="A23" s="45"/>
      <c r="B23" s="52" t="s">
        <v>47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</row>
    <row r="24" spans="1:105" x14ac:dyDescent="0.35">
      <c r="A24" s="45"/>
      <c r="B24" s="45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</row>
    <row r="25" spans="1:105" ht="18" x14ac:dyDescent="0.4">
      <c r="A25" s="45"/>
      <c r="B25" s="51" t="s">
        <v>48</v>
      </c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</row>
    <row r="26" spans="1:105" ht="18" x14ac:dyDescent="0.4">
      <c r="A26" s="45"/>
      <c r="B26" s="56" t="s">
        <v>43</v>
      </c>
      <c r="C26" s="56">
        <v>0</v>
      </c>
      <c r="D26" s="56">
        <v>1</v>
      </c>
      <c r="E26" s="56">
        <v>2</v>
      </c>
      <c r="F26" s="56">
        <v>3</v>
      </c>
      <c r="G26" s="56">
        <v>4</v>
      </c>
      <c r="H26" s="56">
        <v>5</v>
      </c>
      <c r="I26" s="56">
        <v>6</v>
      </c>
      <c r="J26" s="56">
        <v>7</v>
      </c>
      <c r="K26" s="56">
        <v>8</v>
      </c>
      <c r="L26" s="56">
        <v>9</v>
      </c>
      <c r="M26" s="56">
        <v>10</v>
      </c>
      <c r="N26" s="56">
        <v>11</v>
      </c>
      <c r="O26" s="56">
        <v>12</v>
      </c>
      <c r="P26" s="56">
        <v>13</v>
      </c>
      <c r="Q26" s="56">
        <v>14</v>
      </c>
      <c r="R26" s="56">
        <v>15</v>
      </c>
      <c r="S26" s="56">
        <v>16</v>
      </c>
      <c r="T26" s="56">
        <v>17</v>
      </c>
      <c r="U26" s="56">
        <v>18</v>
      </c>
      <c r="V26" s="56">
        <v>19</v>
      </c>
      <c r="W26" s="56">
        <v>20</v>
      </c>
      <c r="X26" s="56">
        <v>21</v>
      </c>
      <c r="Y26" s="56">
        <v>22</v>
      </c>
      <c r="Z26" s="56">
        <v>23</v>
      </c>
      <c r="AA26" s="56">
        <v>24</v>
      </c>
      <c r="AB26" s="56">
        <v>25</v>
      </c>
      <c r="AC26" s="56">
        <v>26</v>
      </c>
      <c r="AD26" s="56">
        <v>27</v>
      </c>
      <c r="AE26" s="56">
        <v>28</v>
      </c>
      <c r="AF26" s="56">
        <v>29</v>
      </c>
      <c r="AG26" s="56">
        <v>30</v>
      </c>
      <c r="AH26" s="56">
        <v>31</v>
      </c>
      <c r="AI26" s="56">
        <v>32</v>
      </c>
      <c r="AJ26" s="56">
        <v>33</v>
      </c>
      <c r="AK26" s="56">
        <v>34</v>
      </c>
      <c r="AL26" s="56">
        <v>35</v>
      </c>
      <c r="AM26" s="56">
        <v>36</v>
      </c>
      <c r="AN26" s="56">
        <v>37</v>
      </c>
      <c r="AO26" s="56">
        <v>38</v>
      </c>
      <c r="AP26" s="56">
        <v>39</v>
      </c>
      <c r="AQ26" s="56">
        <v>40</v>
      </c>
      <c r="AR26" s="56">
        <v>41</v>
      </c>
      <c r="AS26" s="56">
        <v>42</v>
      </c>
      <c r="AT26" s="56">
        <v>43</v>
      </c>
      <c r="AU26" s="56">
        <v>44</v>
      </c>
      <c r="AV26" s="56">
        <v>45</v>
      </c>
      <c r="AW26" s="56">
        <v>46</v>
      </c>
      <c r="AX26" s="56">
        <v>47</v>
      </c>
      <c r="AY26" s="56">
        <v>48</v>
      </c>
      <c r="AZ26" s="56">
        <v>49</v>
      </c>
      <c r="BA26" s="56">
        <v>50</v>
      </c>
      <c r="BB26" s="56">
        <v>51</v>
      </c>
      <c r="BC26" s="56">
        <v>52</v>
      </c>
      <c r="BD26" s="56">
        <v>53</v>
      </c>
      <c r="BE26" s="56">
        <v>54</v>
      </c>
      <c r="BF26" s="56">
        <v>55</v>
      </c>
      <c r="BG26" s="56">
        <v>56</v>
      </c>
      <c r="BH26" s="56">
        <v>57</v>
      </c>
      <c r="BI26" s="56">
        <v>58</v>
      </c>
      <c r="BJ26" s="56">
        <v>59</v>
      </c>
      <c r="BK26" s="56">
        <v>60</v>
      </c>
      <c r="BL26" s="56">
        <v>61</v>
      </c>
      <c r="BM26" s="56">
        <v>62</v>
      </c>
      <c r="BN26" s="56">
        <v>63</v>
      </c>
      <c r="BO26" s="56">
        <v>64</v>
      </c>
      <c r="BP26" s="56">
        <v>65</v>
      </c>
      <c r="BQ26" s="56">
        <v>66</v>
      </c>
      <c r="BR26" s="56">
        <v>67</v>
      </c>
      <c r="BS26" s="56">
        <v>68</v>
      </c>
      <c r="BT26" s="56">
        <v>69</v>
      </c>
      <c r="BU26" s="56">
        <v>70</v>
      </c>
      <c r="BV26" s="56">
        <v>71</v>
      </c>
      <c r="BW26" s="56">
        <v>72</v>
      </c>
      <c r="BX26" s="56">
        <v>73</v>
      </c>
      <c r="BY26" s="56">
        <v>74</v>
      </c>
      <c r="BZ26" s="56">
        <v>75</v>
      </c>
      <c r="CA26" s="56">
        <v>76</v>
      </c>
      <c r="CB26" s="56">
        <v>77</v>
      </c>
      <c r="CC26" s="56">
        <v>78</v>
      </c>
      <c r="CD26" s="56">
        <v>79</v>
      </c>
      <c r="CE26" s="56">
        <v>80</v>
      </c>
      <c r="CF26" s="56">
        <v>81</v>
      </c>
      <c r="CG26" s="56">
        <v>82</v>
      </c>
      <c r="CH26" s="56">
        <v>83</v>
      </c>
      <c r="CI26" s="56">
        <v>84</v>
      </c>
      <c r="CJ26" s="56">
        <v>85</v>
      </c>
      <c r="CK26" s="56">
        <v>86</v>
      </c>
      <c r="CL26" s="56">
        <v>87</v>
      </c>
      <c r="CM26" s="56">
        <v>88</v>
      </c>
      <c r="CN26" s="56">
        <v>89</v>
      </c>
      <c r="CO26" s="56">
        <v>90</v>
      </c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</row>
    <row r="27" spans="1:105" ht="18" x14ac:dyDescent="0.4">
      <c r="A27" s="45"/>
      <c r="B27" s="52" t="s">
        <v>67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</row>
    <row r="28" spans="1:105" ht="18" x14ac:dyDescent="0.4">
      <c r="A28" s="45"/>
      <c r="B28" s="52" t="s">
        <v>47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</row>
    <row r="29" spans="1:105" x14ac:dyDescent="0.3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</row>
    <row r="30" spans="1:105" x14ac:dyDescent="0.3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</row>
    <row r="31" spans="1:105" x14ac:dyDescent="0.3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</row>
    <row r="32" spans="1:105" x14ac:dyDescent="0.3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</row>
    <row r="33" spans="1:105" x14ac:dyDescent="0.3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</row>
    <row r="34" spans="1:105" x14ac:dyDescent="0.3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</row>
    <row r="35" spans="1:105" x14ac:dyDescent="0.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/>
      <c r="CT35" s="46"/>
      <c r="CU35" s="46"/>
      <c r="CV35" s="46"/>
      <c r="CW35" s="46"/>
      <c r="CX35" s="46"/>
      <c r="CY35" s="46"/>
      <c r="CZ35" s="46"/>
      <c r="DA35" s="46"/>
    </row>
    <row r="36" spans="1:105" x14ac:dyDescent="0.3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</row>
    <row r="37" spans="1:105" x14ac:dyDescent="0.3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46"/>
      <c r="BU37" s="46"/>
      <c r="BV37" s="46"/>
      <c r="BW37" s="46"/>
      <c r="BX37" s="46"/>
      <c r="BY37" s="46"/>
      <c r="BZ37" s="46"/>
      <c r="CA37" s="46"/>
      <c r="CB37" s="46"/>
      <c r="CC37" s="46"/>
      <c r="CD37" s="46"/>
      <c r="CE37" s="46"/>
      <c r="CF37" s="46"/>
      <c r="CG37" s="46"/>
      <c r="CH37" s="46"/>
      <c r="CI37" s="46"/>
      <c r="CJ37" s="46"/>
      <c r="CK37" s="46"/>
      <c r="CL37" s="46"/>
      <c r="CM37" s="46"/>
      <c r="CN37" s="46"/>
      <c r="CO37" s="46"/>
      <c r="CP37" s="46"/>
      <c r="CQ37" s="46"/>
      <c r="CR37" s="46"/>
      <c r="CS37" s="46"/>
      <c r="CT37" s="46"/>
      <c r="CU37" s="46"/>
      <c r="CV37" s="46"/>
      <c r="CW37" s="46"/>
      <c r="CX37" s="46"/>
      <c r="CY37" s="46"/>
      <c r="CZ37" s="46"/>
      <c r="DA37" s="46"/>
    </row>
    <row r="38" spans="1:105" x14ac:dyDescent="0.3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46"/>
      <c r="BU38" s="46"/>
      <c r="BV38" s="46"/>
      <c r="BW38" s="46"/>
      <c r="BX38" s="46"/>
      <c r="BY38" s="46"/>
      <c r="BZ38" s="46"/>
      <c r="CA38" s="46"/>
      <c r="CB38" s="46"/>
      <c r="CC38" s="46"/>
      <c r="CD38" s="46"/>
      <c r="CE38" s="46"/>
      <c r="CF38" s="46"/>
      <c r="CG38" s="46"/>
      <c r="CH38" s="46"/>
      <c r="CI38" s="46"/>
      <c r="CJ38" s="46"/>
      <c r="CK38" s="46"/>
      <c r="CL38" s="46"/>
      <c r="CM38" s="46"/>
      <c r="CN38" s="46"/>
      <c r="CO38" s="46"/>
      <c r="CP38" s="46"/>
      <c r="CQ38" s="46"/>
      <c r="CR38" s="46"/>
      <c r="CS38" s="46"/>
      <c r="CT38" s="46"/>
      <c r="CU38" s="46"/>
      <c r="CV38" s="46"/>
      <c r="CW38" s="46"/>
      <c r="CX38" s="46"/>
      <c r="CY38" s="46"/>
      <c r="CZ38" s="46"/>
      <c r="DA38" s="46"/>
    </row>
    <row r="39" spans="1:105" x14ac:dyDescent="0.3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6"/>
      <c r="CI39" s="46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6"/>
      <c r="CU39" s="46"/>
      <c r="CV39" s="46"/>
      <c r="CW39" s="46"/>
      <c r="CX39" s="46"/>
      <c r="CY39" s="46"/>
      <c r="CZ39" s="46"/>
      <c r="DA39" s="46"/>
    </row>
    <row r="40" spans="1:105" x14ac:dyDescent="0.3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6"/>
      <c r="BT40" s="46"/>
      <c r="BU40" s="46"/>
      <c r="BV40" s="46"/>
      <c r="BW40" s="46"/>
      <c r="BX40" s="46"/>
      <c r="BY40" s="46"/>
      <c r="BZ40" s="46"/>
      <c r="CA40" s="46"/>
      <c r="CB40" s="46"/>
      <c r="CC40" s="46"/>
      <c r="CD40" s="46"/>
      <c r="CE40" s="46"/>
      <c r="CF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</row>
    <row r="41" spans="1:105" x14ac:dyDescent="0.3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6"/>
      <c r="BR41" s="46"/>
      <c r="BS41" s="46"/>
      <c r="BT41" s="46"/>
      <c r="BU41" s="46"/>
      <c r="BV41" s="46"/>
      <c r="BW41" s="46"/>
      <c r="BX41" s="46"/>
      <c r="BY41" s="46"/>
      <c r="BZ41" s="46"/>
      <c r="CA41" s="46"/>
      <c r="CB41" s="46"/>
      <c r="CC41" s="46"/>
      <c r="CD41" s="46"/>
      <c r="CE41" s="46"/>
      <c r="CF41" s="46"/>
      <c r="CG41" s="46"/>
      <c r="CH41" s="46"/>
      <c r="CI41" s="46"/>
      <c r="CJ41" s="46"/>
      <c r="CK41" s="46"/>
      <c r="CL41" s="46"/>
      <c r="CM41" s="46"/>
      <c r="CN41" s="46"/>
      <c r="CO41" s="46"/>
      <c r="CP41" s="46"/>
      <c r="CQ41" s="46"/>
      <c r="CR41" s="46"/>
      <c r="CS41" s="46"/>
      <c r="CT41" s="46"/>
      <c r="CU41" s="46"/>
      <c r="CV41" s="46"/>
      <c r="CW41" s="46"/>
      <c r="CX41" s="46"/>
      <c r="CY41" s="46"/>
      <c r="CZ41" s="46"/>
      <c r="DA41" s="46"/>
    </row>
    <row r="42" spans="1:105" x14ac:dyDescent="0.3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6"/>
      <c r="BR42" s="46"/>
      <c r="BS42" s="46"/>
      <c r="BT42" s="46"/>
      <c r="BU42" s="46"/>
      <c r="BV42" s="46"/>
      <c r="BW42" s="46"/>
      <c r="BX42" s="46"/>
      <c r="BY42" s="46"/>
      <c r="BZ42" s="46"/>
      <c r="CA42" s="46"/>
      <c r="CB42" s="46"/>
      <c r="CC42" s="46"/>
      <c r="CD42" s="46"/>
      <c r="CE42" s="46"/>
      <c r="CF42" s="46"/>
      <c r="CG42" s="46"/>
      <c r="CH42" s="46"/>
      <c r="CI42" s="46"/>
      <c r="CJ42" s="46"/>
      <c r="CK42" s="46"/>
      <c r="CL42" s="46"/>
      <c r="CM42" s="46"/>
      <c r="CN42" s="46"/>
      <c r="CO42" s="46"/>
      <c r="CP42" s="46"/>
      <c r="CQ42" s="46"/>
      <c r="CR42" s="46"/>
      <c r="CS42" s="46"/>
      <c r="CT42" s="46"/>
      <c r="CU42" s="46"/>
      <c r="CV42" s="46"/>
      <c r="CW42" s="46"/>
      <c r="CX42" s="46"/>
      <c r="CY42" s="46"/>
      <c r="CZ42" s="46"/>
      <c r="DA42" s="46"/>
    </row>
    <row r="43" spans="1:105" x14ac:dyDescent="0.3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6"/>
      <c r="BR43" s="46"/>
      <c r="BS43" s="46"/>
      <c r="BT43" s="46"/>
      <c r="BU43" s="46"/>
      <c r="BV43" s="46"/>
      <c r="BW43" s="46"/>
      <c r="BX43" s="46"/>
      <c r="BY43" s="46"/>
      <c r="BZ43" s="46"/>
      <c r="CA43" s="46"/>
      <c r="CB43" s="46"/>
      <c r="CC43" s="46"/>
      <c r="CD43" s="46"/>
      <c r="CE43" s="46"/>
      <c r="CF43" s="46"/>
      <c r="CG43" s="46"/>
      <c r="CH43" s="46"/>
      <c r="CI43" s="46"/>
      <c r="CJ43" s="46"/>
      <c r="CK43" s="46"/>
      <c r="CL43" s="46"/>
      <c r="CM43" s="46"/>
      <c r="CN43" s="46"/>
      <c r="CO43" s="46"/>
      <c r="CP43" s="46"/>
      <c r="CQ43" s="46"/>
      <c r="CR43" s="46"/>
      <c r="CS43" s="46"/>
      <c r="CT43" s="46"/>
      <c r="CU43" s="46"/>
      <c r="CV43" s="46"/>
      <c r="CW43" s="46"/>
      <c r="CX43" s="46"/>
      <c r="CY43" s="46"/>
      <c r="CZ43" s="46"/>
      <c r="DA43" s="46"/>
    </row>
    <row r="44" spans="1:105" x14ac:dyDescent="0.3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6"/>
      <c r="BR44" s="46"/>
      <c r="BS44" s="46"/>
      <c r="BT44" s="46"/>
      <c r="BU44" s="46"/>
      <c r="BV44" s="46"/>
      <c r="BW44" s="46"/>
      <c r="BX44" s="46"/>
      <c r="BY44" s="46"/>
      <c r="BZ44" s="46"/>
      <c r="CA44" s="46"/>
      <c r="CB44" s="46"/>
      <c r="CC44" s="46"/>
      <c r="CD44" s="46"/>
      <c r="CE44" s="46"/>
      <c r="CF44" s="46"/>
      <c r="CG44" s="46"/>
      <c r="CH44" s="46"/>
      <c r="CI44" s="46"/>
      <c r="CJ44" s="46"/>
      <c r="CK44" s="46"/>
      <c r="CL44" s="46"/>
      <c r="CM44" s="46"/>
      <c r="CN44" s="46"/>
      <c r="CO44" s="46"/>
      <c r="CP44" s="46"/>
      <c r="CQ44" s="46"/>
      <c r="CR44" s="46"/>
      <c r="CS44" s="46"/>
      <c r="CT44" s="46"/>
      <c r="CU44" s="46"/>
      <c r="CV44" s="46"/>
      <c r="CW44" s="46"/>
      <c r="CX44" s="46"/>
      <c r="CY44" s="46"/>
      <c r="CZ44" s="46"/>
      <c r="DA44" s="46"/>
    </row>
    <row r="45" spans="1:105" x14ac:dyDescent="0.3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46"/>
      <c r="BU45" s="46"/>
      <c r="BV45" s="46"/>
      <c r="BW45" s="46"/>
      <c r="BX45" s="46"/>
      <c r="BY45" s="46"/>
      <c r="BZ45" s="46"/>
      <c r="CA45" s="46"/>
      <c r="CB45" s="46"/>
      <c r="CC45" s="46"/>
      <c r="CD45" s="46"/>
      <c r="CE45" s="46"/>
      <c r="CF45" s="46"/>
      <c r="CG45" s="46"/>
      <c r="CH45" s="46"/>
      <c r="CI45" s="46"/>
      <c r="CJ45" s="46"/>
      <c r="CK45" s="46"/>
      <c r="CL45" s="46"/>
      <c r="CM45" s="46"/>
      <c r="CN45" s="46"/>
      <c r="CO45" s="46"/>
      <c r="CP45" s="46"/>
      <c r="CQ45" s="46"/>
      <c r="CR45" s="46"/>
      <c r="CS45" s="46"/>
      <c r="CT45" s="46"/>
      <c r="CU45" s="46"/>
      <c r="CV45" s="46"/>
      <c r="CW45" s="46"/>
      <c r="CX45" s="46"/>
      <c r="CY45" s="46"/>
      <c r="CZ45" s="46"/>
      <c r="DA45" s="46"/>
    </row>
    <row r="46" spans="1:105" ht="18" x14ac:dyDescent="0.4">
      <c r="A46" s="46"/>
      <c r="B46" s="50" t="s">
        <v>60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46"/>
      <c r="CW46" s="46"/>
      <c r="CX46" s="46"/>
      <c r="CY46" s="46"/>
      <c r="CZ46" s="46"/>
      <c r="DA46" s="46"/>
    </row>
    <row r="47" spans="1:105" x14ac:dyDescent="0.35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46"/>
      <c r="CW47" s="46"/>
      <c r="CX47" s="46"/>
      <c r="CY47" s="46"/>
      <c r="CZ47" s="46"/>
      <c r="DA47" s="46"/>
    </row>
    <row r="48" spans="1:105" ht="18.5" thickBot="1" x14ac:dyDescent="0.45">
      <c r="A48" s="46"/>
      <c r="B48" s="51" t="s">
        <v>49</v>
      </c>
      <c r="C48" s="70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46"/>
      <c r="CW48" s="46"/>
      <c r="CX48" s="46"/>
      <c r="CY48" s="46"/>
      <c r="CZ48" s="46"/>
      <c r="DA48" s="46"/>
    </row>
    <row r="49" spans="1:105" ht="18" thickBot="1" x14ac:dyDescent="0.4">
      <c r="A49" s="46"/>
      <c r="B49" s="71" t="s">
        <v>68</v>
      </c>
      <c r="C49" s="72">
        <v>500000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46"/>
      <c r="CW49" s="46"/>
      <c r="CX49" s="46"/>
      <c r="CY49" s="46"/>
      <c r="CZ49" s="46"/>
      <c r="DA49" s="46"/>
    </row>
    <row r="50" spans="1:105" ht="18" thickBot="1" x14ac:dyDescent="0.4">
      <c r="A50" s="46"/>
      <c r="B50" s="71" t="s">
        <v>50</v>
      </c>
      <c r="C50" s="73">
        <v>0.5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46"/>
      <c r="CW50" s="46"/>
      <c r="CX50" s="46"/>
      <c r="CY50" s="46"/>
      <c r="CZ50" s="46"/>
      <c r="DA50" s="46"/>
    </row>
    <row r="51" spans="1:105" ht="18.5" thickBot="1" x14ac:dyDescent="0.45">
      <c r="A51" s="46"/>
      <c r="B51" s="71" t="s">
        <v>51</v>
      </c>
      <c r="C51" s="74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46"/>
      <c r="CU51" s="46"/>
      <c r="CV51" s="46"/>
      <c r="CW51" s="46"/>
      <c r="CX51" s="46"/>
      <c r="CY51" s="46"/>
      <c r="CZ51" s="46"/>
      <c r="DA51" s="46"/>
    </row>
    <row r="52" spans="1:105" ht="18" thickBot="1" x14ac:dyDescent="0.4">
      <c r="A52" s="46"/>
      <c r="B52" s="71" t="s">
        <v>52</v>
      </c>
      <c r="C52" s="75">
        <v>-1</v>
      </c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46"/>
      <c r="CU52" s="46"/>
      <c r="CV52" s="46"/>
      <c r="CW52" s="46"/>
      <c r="CX52" s="46"/>
      <c r="CY52" s="46"/>
      <c r="CZ52" s="46"/>
      <c r="DA52" s="46"/>
    </row>
    <row r="53" spans="1:105" x14ac:dyDescent="0.35">
      <c r="A53" s="46"/>
      <c r="B53" s="45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46"/>
      <c r="CU53" s="46"/>
      <c r="CV53" s="46"/>
      <c r="CW53" s="46"/>
      <c r="CX53" s="46"/>
      <c r="CY53" s="46"/>
      <c r="CZ53" s="46"/>
      <c r="DA53" s="46"/>
    </row>
    <row r="54" spans="1:105" ht="18" x14ac:dyDescent="0.4">
      <c r="A54" s="46"/>
      <c r="B54" s="51" t="s">
        <v>53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46"/>
      <c r="CU54" s="46"/>
      <c r="CV54" s="46"/>
      <c r="CW54" s="46"/>
      <c r="CX54" s="46"/>
      <c r="CY54" s="46"/>
      <c r="CZ54" s="46"/>
      <c r="DA54" s="46"/>
    </row>
    <row r="55" spans="1:105" ht="18" x14ac:dyDescent="0.4">
      <c r="A55" s="46"/>
      <c r="B55" s="56" t="s">
        <v>43</v>
      </c>
      <c r="C55" s="76">
        <v>0</v>
      </c>
      <c r="D55" s="76">
        <v>1</v>
      </c>
      <c r="E55" s="76">
        <v>2</v>
      </c>
      <c r="F55" s="76">
        <v>3</v>
      </c>
      <c r="G55" s="76">
        <v>4</v>
      </c>
      <c r="H55" s="76">
        <v>5</v>
      </c>
      <c r="I55" s="76">
        <v>6</v>
      </c>
      <c r="J55" s="76">
        <v>7</v>
      </c>
      <c r="K55" s="76">
        <v>8</v>
      </c>
      <c r="L55" s="76">
        <v>9</v>
      </c>
      <c r="M55" s="76">
        <v>10</v>
      </c>
      <c r="N55" s="76">
        <v>11</v>
      </c>
      <c r="O55" s="76">
        <v>12</v>
      </c>
      <c r="P55" s="76">
        <v>13</v>
      </c>
      <c r="Q55" s="76">
        <v>14</v>
      </c>
      <c r="R55" s="76">
        <v>15</v>
      </c>
      <c r="S55" s="76">
        <v>16</v>
      </c>
      <c r="T55" s="76">
        <v>17</v>
      </c>
      <c r="U55" s="76">
        <v>18</v>
      </c>
      <c r="V55" s="76">
        <v>19</v>
      </c>
      <c r="W55" s="76">
        <v>20</v>
      </c>
      <c r="X55" s="76">
        <v>21</v>
      </c>
      <c r="Y55" s="76">
        <v>22</v>
      </c>
      <c r="Z55" s="76">
        <v>23</v>
      </c>
      <c r="AA55" s="76">
        <v>24</v>
      </c>
      <c r="AB55" s="76">
        <v>25</v>
      </c>
      <c r="AC55" s="76">
        <v>26</v>
      </c>
      <c r="AD55" s="76">
        <v>27</v>
      </c>
      <c r="AE55" s="76">
        <v>28</v>
      </c>
      <c r="AF55" s="76">
        <v>29</v>
      </c>
      <c r="AG55" s="76">
        <v>30</v>
      </c>
      <c r="AH55" s="76">
        <v>31</v>
      </c>
      <c r="AI55" s="76">
        <v>32</v>
      </c>
      <c r="AJ55" s="76">
        <v>33</v>
      </c>
      <c r="AK55" s="76">
        <v>34</v>
      </c>
      <c r="AL55" s="76">
        <v>35</v>
      </c>
      <c r="AM55" s="76">
        <v>36</v>
      </c>
      <c r="AN55" s="76">
        <v>37</v>
      </c>
      <c r="AO55" s="76">
        <v>38</v>
      </c>
      <c r="AP55" s="76">
        <v>39</v>
      </c>
      <c r="AQ55" s="76">
        <v>40</v>
      </c>
      <c r="AR55" s="76">
        <v>41</v>
      </c>
      <c r="AS55" s="76">
        <v>42</v>
      </c>
      <c r="AT55" s="76">
        <v>43</v>
      </c>
      <c r="AU55" s="76">
        <v>44</v>
      </c>
      <c r="AV55" s="76">
        <v>45</v>
      </c>
      <c r="AW55" s="76">
        <v>46</v>
      </c>
      <c r="AX55" s="76">
        <v>47</v>
      </c>
      <c r="AY55" s="76">
        <v>48</v>
      </c>
      <c r="AZ55" s="76">
        <v>49</v>
      </c>
      <c r="BA55" s="76">
        <v>50</v>
      </c>
      <c r="BB55" s="76">
        <v>51</v>
      </c>
      <c r="BC55" s="76">
        <v>52</v>
      </c>
      <c r="BD55" s="76">
        <v>53</v>
      </c>
      <c r="BE55" s="76">
        <v>54</v>
      </c>
      <c r="BF55" s="76">
        <v>55</v>
      </c>
      <c r="BG55" s="76">
        <v>56</v>
      </c>
      <c r="BH55" s="76">
        <v>57</v>
      </c>
      <c r="BI55" s="76">
        <v>58</v>
      </c>
      <c r="BJ55" s="76">
        <v>59</v>
      </c>
      <c r="BK55" s="76">
        <v>60</v>
      </c>
      <c r="BL55" s="76">
        <v>61</v>
      </c>
      <c r="BM55" s="76">
        <v>62</v>
      </c>
      <c r="BN55" s="76">
        <v>63</v>
      </c>
      <c r="BO55" s="76">
        <v>64</v>
      </c>
      <c r="BP55" s="76">
        <v>65</v>
      </c>
      <c r="BQ55" s="76">
        <v>66</v>
      </c>
      <c r="BR55" s="76">
        <v>67</v>
      </c>
      <c r="BS55" s="76">
        <v>68</v>
      </c>
      <c r="BT55" s="76">
        <v>69</v>
      </c>
      <c r="BU55" s="76">
        <v>70</v>
      </c>
      <c r="BV55" s="76">
        <v>71</v>
      </c>
      <c r="BW55" s="76">
        <v>72</v>
      </c>
      <c r="BX55" s="76">
        <v>73</v>
      </c>
      <c r="BY55" s="76">
        <v>74</v>
      </c>
      <c r="BZ55" s="76">
        <v>75</v>
      </c>
      <c r="CA55" s="76">
        <v>76</v>
      </c>
      <c r="CB55" s="76">
        <v>77</v>
      </c>
      <c r="CC55" s="76">
        <v>78</v>
      </c>
      <c r="CD55" s="76">
        <v>79</v>
      </c>
      <c r="CE55" s="76">
        <v>80</v>
      </c>
      <c r="CF55" s="76">
        <v>81</v>
      </c>
      <c r="CG55" s="76">
        <v>82</v>
      </c>
      <c r="CH55" s="76">
        <v>83</v>
      </c>
      <c r="CI55" s="76">
        <v>84</v>
      </c>
      <c r="CJ55" s="76">
        <v>85</v>
      </c>
      <c r="CK55" s="76">
        <v>86</v>
      </c>
      <c r="CL55" s="76">
        <v>87</v>
      </c>
      <c r="CM55" s="76">
        <v>88</v>
      </c>
      <c r="CN55" s="76">
        <v>89</v>
      </c>
      <c r="CO55" s="76">
        <v>90</v>
      </c>
      <c r="CP55" s="46"/>
      <c r="CQ55" s="46"/>
      <c r="CR55" s="46"/>
      <c r="CS55" s="46"/>
      <c r="CT55" s="46"/>
      <c r="CU55" s="46"/>
      <c r="CV55" s="46"/>
      <c r="CW55" s="46"/>
      <c r="CX55" s="46"/>
      <c r="CY55" s="46"/>
      <c r="CZ55" s="46"/>
      <c r="DA55" s="46"/>
    </row>
    <row r="56" spans="1:105" ht="18" x14ac:dyDescent="0.4">
      <c r="A56" s="46"/>
      <c r="B56" s="52" t="s">
        <v>54</v>
      </c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77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46"/>
      <c r="CQ56" s="46"/>
      <c r="CR56" s="46"/>
      <c r="CS56" s="46"/>
      <c r="CT56" s="46"/>
      <c r="CU56" s="46"/>
      <c r="CV56" s="46"/>
      <c r="CW56" s="46"/>
      <c r="CX56" s="46"/>
      <c r="CY56" s="46"/>
      <c r="CZ56" s="46"/>
      <c r="DA56" s="46"/>
    </row>
    <row r="57" spans="1:105" ht="18" x14ac:dyDescent="0.4">
      <c r="A57" s="46"/>
      <c r="B57" s="52" t="s">
        <v>57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46"/>
      <c r="CQ57" s="46"/>
      <c r="CR57" s="46"/>
      <c r="CS57" s="46"/>
      <c r="CT57" s="46"/>
      <c r="CU57" s="46"/>
      <c r="CV57" s="46"/>
      <c r="CW57" s="46"/>
      <c r="CX57" s="46"/>
      <c r="CY57" s="46"/>
      <c r="CZ57" s="46"/>
      <c r="DA57" s="46"/>
    </row>
    <row r="58" spans="1:105" x14ac:dyDescent="0.35">
      <c r="A58" s="46"/>
      <c r="B58" s="52" t="s">
        <v>55</v>
      </c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46"/>
      <c r="CQ58" s="46"/>
      <c r="CR58" s="46"/>
      <c r="CS58" s="46"/>
      <c r="CT58" s="46"/>
      <c r="CU58" s="46"/>
      <c r="CV58" s="46"/>
      <c r="CW58" s="46"/>
      <c r="CX58" s="46"/>
      <c r="CY58" s="46"/>
      <c r="CZ58" s="46"/>
      <c r="DA58" s="46"/>
    </row>
    <row r="59" spans="1:105" ht="18" x14ac:dyDescent="0.4">
      <c r="A59" s="46"/>
      <c r="B59" s="52" t="s">
        <v>53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</row>
    <row r="60" spans="1:105" x14ac:dyDescent="0.35">
      <c r="A60" s="46"/>
      <c r="B60" s="45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  <c r="CA60" s="46"/>
      <c r="CB60" s="46"/>
      <c r="CC60" s="46"/>
      <c r="CD60" s="46"/>
      <c r="CE60" s="46"/>
      <c r="CF60" s="46"/>
      <c r="CG60" s="46"/>
      <c r="CH60" s="46"/>
      <c r="CI60" s="46"/>
      <c r="CJ60" s="46"/>
      <c r="CK60" s="46"/>
      <c r="CL60" s="46"/>
      <c r="CM60" s="46"/>
      <c r="CN60" s="46"/>
      <c r="CO60" s="46"/>
      <c r="CP60" s="46"/>
      <c r="CQ60" s="46"/>
      <c r="CR60" s="46"/>
      <c r="CS60" s="46"/>
      <c r="CT60" s="46"/>
      <c r="CU60" s="46"/>
      <c r="CV60" s="46"/>
      <c r="CW60" s="46"/>
      <c r="CX60" s="46"/>
      <c r="CY60" s="46"/>
      <c r="CZ60" s="46"/>
      <c r="DA60" s="46"/>
    </row>
    <row r="61" spans="1:105" ht="18" x14ac:dyDescent="0.4">
      <c r="A61" s="46"/>
      <c r="B61" s="51" t="s">
        <v>48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6"/>
      <c r="BT61" s="46"/>
      <c r="BU61" s="46"/>
      <c r="BV61" s="46"/>
      <c r="BW61" s="46"/>
      <c r="BX61" s="46"/>
      <c r="BY61" s="46"/>
      <c r="BZ61" s="46"/>
      <c r="CA61" s="46"/>
      <c r="CB61" s="46"/>
      <c r="CC61" s="46"/>
      <c r="CD61" s="46"/>
      <c r="CE61" s="46"/>
      <c r="CF61" s="46"/>
      <c r="CG61" s="46"/>
      <c r="CH61" s="46"/>
      <c r="CI61" s="46"/>
      <c r="CJ61" s="46"/>
      <c r="CK61" s="46"/>
      <c r="CL61" s="46"/>
      <c r="CM61" s="46"/>
      <c r="CN61" s="46"/>
      <c r="CO61" s="46"/>
      <c r="CP61" s="46"/>
      <c r="CQ61" s="46"/>
      <c r="CR61" s="46"/>
      <c r="CS61" s="46"/>
      <c r="CT61" s="46"/>
      <c r="CU61" s="46"/>
      <c r="CV61" s="46"/>
      <c r="CW61" s="46"/>
      <c r="CX61" s="46"/>
      <c r="CY61" s="46"/>
      <c r="CZ61" s="46"/>
      <c r="DA61" s="46"/>
    </row>
    <row r="62" spans="1:105" ht="18" x14ac:dyDescent="0.4">
      <c r="A62" s="46"/>
      <c r="B62" s="56" t="s">
        <v>43</v>
      </c>
      <c r="C62" s="76">
        <v>0</v>
      </c>
      <c r="D62" s="76">
        <v>1</v>
      </c>
      <c r="E62" s="76">
        <v>2</v>
      </c>
      <c r="F62" s="76">
        <v>3</v>
      </c>
      <c r="G62" s="76">
        <v>4</v>
      </c>
      <c r="H62" s="76">
        <v>5</v>
      </c>
      <c r="I62" s="76">
        <v>6</v>
      </c>
      <c r="J62" s="76">
        <v>7</v>
      </c>
      <c r="K62" s="76">
        <v>8</v>
      </c>
      <c r="L62" s="76">
        <v>9</v>
      </c>
      <c r="M62" s="76">
        <v>10</v>
      </c>
      <c r="N62" s="76">
        <v>11</v>
      </c>
      <c r="O62" s="76">
        <v>12</v>
      </c>
      <c r="P62" s="76">
        <v>13</v>
      </c>
      <c r="Q62" s="76">
        <v>14</v>
      </c>
      <c r="R62" s="76">
        <v>15</v>
      </c>
      <c r="S62" s="76">
        <v>16</v>
      </c>
      <c r="T62" s="76">
        <v>17</v>
      </c>
      <c r="U62" s="76">
        <v>18</v>
      </c>
      <c r="V62" s="76">
        <v>19</v>
      </c>
      <c r="W62" s="76">
        <v>20</v>
      </c>
      <c r="X62" s="76">
        <v>21</v>
      </c>
      <c r="Y62" s="76">
        <v>22</v>
      </c>
      <c r="Z62" s="76">
        <v>23</v>
      </c>
      <c r="AA62" s="76">
        <v>24</v>
      </c>
      <c r="AB62" s="76">
        <v>25</v>
      </c>
      <c r="AC62" s="76">
        <v>26</v>
      </c>
      <c r="AD62" s="76">
        <v>27</v>
      </c>
      <c r="AE62" s="76">
        <v>28</v>
      </c>
      <c r="AF62" s="76">
        <v>29</v>
      </c>
      <c r="AG62" s="76">
        <v>30</v>
      </c>
      <c r="AH62" s="76">
        <v>31</v>
      </c>
      <c r="AI62" s="76">
        <v>32</v>
      </c>
      <c r="AJ62" s="76">
        <v>33</v>
      </c>
      <c r="AK62" s="76">
        <v>34</v>
      </c>
      <c r="AL62" s="76">
        <v>35</v>
      </c>
      <c r="AM62" s="76">
        <v>36</v>
      </c>
      <c r="AN62" s="76">
        <v>37</v>
      </c>
      <c r="AO62" s="76">
        <v>38</v>
      </c>
      <c r="AP62" s="76">
        <v>39</v>
      </c>
      <c r="AQ62" s="76">
        <v>40</v>
      </c>
      <c r="AR62" s="76">
        <v>41</v>
      </c>
      <c r="AS62" s="76">
        <v>42</v>
      </c>
      <c r="AT62" s="76">
        <v>43</v>
      </c>
      <c r="AU62" s="76">
        <v>44</v>
      </c>
      <c r="AV62" s="76">
        <v>45</v>
      </c>
      <c r="AW62" s="76">
        <v>46</v>
      </c>
      <c r="AX62" s="76">
        <v>47</v>
      </c>
      <c r="AY62" s="76">
        <v>48</v>
      </c>
      <c r="AZ62" s="76">
        <v>49</v>
      </c>
      <c r="BA62" s="76">
        <v>50</v>
      </c>
      <c r="BB62" s="76">
        <v>51</v>
      </c>
      <c r="BC62" s="76">
        <v>52</v>
      </c>
      <c r="BD62" s="76">
        <v>53</v>
      </c>
      <c r="BE62" s="76">
        <v>54</v>
      </c>
      <c r="BF62" s="76">
        <v>55</v>
      </c>
      <c r="BG62" s="76">
        <v>56</v>
      </c>
      <c r="BH62" s="76">
        <v>57</v>
      </c>
      <c r="BI62" s="76">
        <v>58</v>
      </c>
      <c r="BJ62" s="76">
        <v>59</v>
      </c>
      <c r="BK62" s="76">
        <v>60</v>
      </c>
      <c r="BL62" s="76">
        <v>61</v>
      </c>
      <c r="BM62" s="76">
        <v>62</v>
      </c>
      <c r="BN62" s="76">
        <v>63</v>
      </c>
      <c r="BO62" s="76">
        <v>64</v>
      </c>
      <c r="BP62" s="76">
        <v>65</v>
      </c>
      <c r="BQ62" s="76">
        <v>66</v>
      </c>
      <c r="BR62" s="76">
        <v>67</v>
      </c>
      <c r="BS62" s="76">
        <v>68</v>
      </c>
      <c r="BT62" s="76">
        <v>69</v>
      </c>
      <c r="BU62" s="76">
        <v>70</v>
      </c>
      <c r="BV62" s="76">
        <v>71</v>
      </c>
      <c r="BW62" s="76">
        <v>72</v>
      </c>
      <c r="BX62" s="76">
        <v>73</v>
      </c>
      <c r="BY62" s="76">
        <v>74</v>
      </c>
      <c r="BZ62" s="76">
        <v>75</v>
      </c>
      <c r="CA62" s="76">
        <v>76</v>
      </c>
      <c r="CB62" s="76">
        <v>77</v>
      </c>
      <c r="CC62" s="76">
        <v>78</v>
      </c>
      <c r="CD62" s="76">
        <v>79</v>
      </c>
      <c r="CE62" s="76">
        <v>80</v>
      </c>
      <c r="CF62" s="76">
        <v>81</v>
      </c>
      <c r="CG62" s="76">
        <v>82</v>
      </c>
      <c r="CH62" s="76">
        <v>83</v>
      </c>
      <c r="CI62" s="76">
        <v>84</v>
      </c>
      <c r="CJ62" s="76">
        <v>85</v>
      </c>
      <c r="CK62" s="76">
        <v>86</v>
      </c>
      <c r="CL62" s="76">
        <v>87</v>
      </c>
      <c r="CM62" s="76">
        <v>88</v>
      </c>
      <c r="CN62" s="76">
        <v>89</v>
      </c>
      <c r="CO62" s="76">
        <v>90</v>
      </c>
      <c r="CP62" s="46"/>
      <c r="CQ62" s="46"/>
      <c r="CR62" s="46"/>
      <c r="CS62" s="46"/>
      <c r="CT62" s="46"/>
      <c r="CU62" s="46"/>
      <c r="CV62" s="46"/>
      <c r="CW62" s="46"/>
      <c r="CX62" s="46"/>
      <c r="CY62" s="46"/>
      <c r="CZ62" s="46"/>
      <c r="DA62" s="46"/>
    </row>
    <row r="63" spans="1:105" ht="18" x14ac:dyDescent="0.4">
      <c r="A63" s="46"/>
      <c r="B63" s="52" t="s">
        <v>61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46"/>
      <c r="CQ63" s="46"/>
      <c r="CR63" s="46"/>
      <c r="CS63" s="46"/>
      <c r="CT63" s="46"/>
      <c r="CU63" s="46"/>
      <c r="CV63" s="46"/>
      <c r="CW63" s="46"/>
      <c r="CX63" s="46"/>
      <c r="CY63" s="46"/>
      <c r="CZ63" s="46"/>
      <c r="DA63" s="46"/>
    </row>
    <row r="64" spans="1:105" ht="18" x14ac:dyDescent="0.4">
      <c r="A64" s="46"/>
      <c r="B64" s="52" t="s">
        <v>56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46"/>
      <c r="CQ64" s="46"/>
      <c r="CR64" s="46"/>
      <c r="CS64" s="46"/>
      <c r="CT64" s="46"/>
      <c r="CU64" s="46"/>
      <c r="CV64" s="46"/>
      <c r="CW64" s="46"/>
      <c r="CX64" s="46"/>
      <c r="CY64" s="46"/>
      <c r="CZ64" s="46"/>
      <c r="DA64" s="46"/>
    </row>
    <row r="65" spans="1:105" x14ac:dyDescent="0.3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  <c r="BR65" s="46"/>
      <c r="BS65" s="46"/>
      <c r="BT65" s="46"/>
      <c r="BU65" s="46"/>
      <c r="BV65" s="46"/>
      <c r="BW65" s="46"/>
      <c r="BX65" s="46"/>
      <c r="BY65" s="46"/>
      <c r="BZ65" s="46"/>
      <c r="CA65" s="46"/>
      <c r="CB65" s="46"/>
      <c r="CC65" s="46"/>
      <c r="CD65" s="46"/>
      <c r="CE65" s="46"/>
      <c r="CF65" s="46"/>
      <c r="CG65" s="46"/>
      <c r="CH65" s="46"/>
      <c r="CI65" s="46"/>
      <c r="CJ65" s="46"/>
      <c r="CK65" s="46"/>
      <c r="CL65" s="46"/>
      <c r="CM65" s="46"/>
      <c r="CN65" s="46"/>
      <c r="CO65" s="46"/>
      <c r="CP65" s="46"/>
      <c r="CQ65" s="46"/>
      <c r="CR65" s="46"/>
      <c r="CS65" s="46"/>
      <c r="CT65" s="46"/>
      <c r="CU65" s="46"/>
      <c r="CV65" s="46"/>
      <c r="CW65" s="46"/>
      <c r="CX65" s="46"/>
      <c r="CY65" s="46"/>
      <c r="CZ65" s="46"/>
      <c r="DA65" s="46"/>
    </row>
    <row r="66" spans="1:105" x14ac:dyDescent="0.3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6"/>
      <c r="BR66" s="46"/>
      <c r="BS66" s="46"/>
      <c r="BT66" s="46"/>
      <c r="BU66" s="46"/>
      <c r="BV66" s="46"/>
      <c r="BW66" s="46"/>
      <c r="BX66" s="46"/>
      <c r="BY66" s="46"/>
      <c r="BZ66" s="46"/>
      <c r="CA66" s="46"/>
      <c r="CB66" s="46"/>
      <c r="CC66" s="46"/>
      <c r="CD66" s="46"/>
      <c r="CE66" s="46"/>
      <c r="CF66" s="46"/>
      <c r="CG66" s="46"/>
      <c r="CH66" s="46"/>
      <c r="CI66" s="46"/>
      <c r="CJ66" s="46"/>
      <c r="CK66" s="46"/>
      <c r="CL66" s="46"/>
      <c r="CM66" s="46"/>
      <c r="CN66" s="46"/>
      <c r="CO66" s="46"/>
      <c r="CP66" s="46"/>
      <c r="CQ66" s="46"/>
      <c r="CR66" s="46"/>
      <c r="CS66" s="46"/>
      <c r="CT66" s="46"/>
      <c r="CU66" s="46"/>
      <c r="CV66" s="46"/>
      <c r="CW66" s="46"/>
      <c r="CX66" s="46"/>
      <c r="CY66" s="46"/>
      <c r="CZ66" s="46"/>
      <c r="DA66" s="46"/>
    </row>
    <row r="67" spans="1:105" x14ac:dyDescent="0.35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  <c r="BZ67" s="46"/>
      <c r="CA67" s="46"/>
      <c r="CB67" s="46"/>
      <c r="CC67" s="46"/>
      <c r="CD67" s="46"/>
      <c r="CE67" s="46"/>
      <c r="CF67" s="46"/>
      <c r="CG67" s="46"/>
      <c r="CH67" s="46"/>
      <c r="CI67" s="46"/>
      <c r="CJ67" s="46"/>
      <c r="CK67" s="46"/>
      <c r="CL67" s="46"/>
      <c r="CM67" s="46"/>
      <c r="CN67" s="46"/>
      <c r="CO67" s="46"/>
      <c r="CP67" s="46"/>
      <c r="CQ67" s="46"/>
      <c r="CR67" s="46"/>
      <c r="CS67" s="46"/>
      <c r="CT67" s="46"/>
      <c r="CU67" s="46"/>
      <c r="CV67" s="46"/>
      <c r="CW67" s="46"/>
      <c r="CX67" s="46"/>
      <c r="CY67" s="46"/>
      <c r="CZ67" s="46"/>
      <c r="DA67" s="46"/>
    </row>
    <row r="68" spans="1:105" x14ac:dyDescent="0.35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6"/>
      <c r="BZ68" s="46"/>
      <c r="CA68" s="46"/>
      <c r="CB68" s="46"/>
      <c r="CC68" s="46"/>
      <c r="CD68" s="46"/>
      <c r="CE68" s="46"/>
      <c r="CF68" s="46"/>
      <c r="CG68" s="46"/>
      <c r="CH68" s="46"/>
      <c r="CI68" s="46"/>
      <c r="CJ68" s="46"/>
      <c r="CK68" s="46"/>
      <c r="CL68" s="46"/>
      <c r="CM68" s="46"/>
      <c r="CN68" s="46"/>
      <c r="CO68" s="46"/>
      <c r="CP68" s="46"/>
      <c r="CQ68" s="46"/>
      <c r="CR68" s="46"/>
      <c r="CS68" s="46"/>
      <c r="CT68" s="46"/>
      <c r="CU68" s="46"/>
      <c r="CV68" s="46"/>
      <c r="CW68" s="46"/>
      <c r="CX68" s="46"/>
      <c r="CY68" s="46"/>
      <c r="CZ68" s="46"/>
      <c r="DA68" s="46"/>
    </row>
    <row r="69" spans="1:105" x14ac:dyDescent="0.3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6"/>
      <c r="BT69" s="46"/>
      <c r="BU69" s="46"/>
      <c r="BV69" s="46"/>
      <c r="BW69" s="46"/>
      <c r="BX69" s="46"/>
      <c r="BY69" s="46"/>
      <c r="BZ69" s="46"/>
      <c r="CA69" s="46"/>
      <c r="CB69" s="46"/>
      <c r="CC69" s="46"/>
      <c r="CD69" s="46"/>
      <c r="CE69" s="46"/>
      <c r="CF69" s="46"/>
      <c r="CG69" s="46"/>
      <c r="CH69" s="46"/>
      <c r="CI69" s="46"/>
      <c r="CJ69" s="46"/>
      <c r="CK69" s="46"/>
      <c r="CL69" s="46"/>
      <c r="CM69" s="46"/>
      <c r="CN69" s="46"/>
      <c r="CO69" s="46"/>
      <c r="CP69" s="46"/>
      <c r="CQ69" s="46"/>
      <c r="CR69" s="46"/>
      <c r="CS69" s="46"/>
      <c r="CT69" s="46"/>
      <c r="CU69" s="46"/>
      <c r="CV69" s="46"/>
      <c r="CW69" s="46"/>
      <c r="CX69" s="46"/>
      <c r="CY69" s="46"/>
      <c r="CZ69" s="46"/>
      <c r="DA69" s="46"/>
    </row>
    <row r="70" spans="1:105" x14ac:dyDescent="0.35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6"/>
      <c r="BR70" s="46"/>
      <c r="BS70" s="46"/>
      <c r="BT70" s="46"/>
      <c r="BU70" s="46"/>
      <c r="BV70" s="46"/>
      <c r="BW70" s="46"/>
      <c r="BX70" s="46"/>
      <c r="BY70" s="46"/>
      <c r="BZ70" s="46"/>
      <c r="CA70" s="46"/>
      <c r="CB70" s="46"/>
      <c r="CC70" s="46"/>
      <c r="CD70" s="46"/>
      <c r="CE70" s="46"/>
      <c r="CF70" s="46"/>
      <c r="CG70" s="46"/>
      <c r="CH70" s="46"/>
      <c r="CI70" s="46"/>
      <c r="CJ70" s="46"/>
      <c r="CK70" s="46"/>
      <c r="CL70" s="46"/>
      <c r="CM70" s="46"/>
      <c r="CN70" s="46"/>
      <c r="CO70" s="46"/>
      <c r="CP70" s="46"/>
      <c r="CQ70" s="46"/>
      <c r="CR70" s="46"/>
      <c r="CS70" s="46"/>
      <c r="CT70" s="46"/>
      <c r="CU70" s="46"/>
      <c r="CV70" s="46"/>
      <c r="CW70" s="46"/>
      <c r="CX70" s="46"/>
      <c r="CY70" s="46"/>
      <c r="CZ70" s="46"/>
      <c r="DA70" s="46"/>
    </row>
    <row r="71" spans="1:105" x14ac:dyDescent="0.35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  <c r="CD71" s="46"/>
      <c r="CE71" s="46"/>
      <c r="CF71" s="46"/>
      <c r="CG71" s="46"/>
      <c r="CH71" s="46"/>
      <c r="CI71" s="46"/>
      <c r="CJ71" s="46"/>
      <c r="CK71" s="46"/>
      <c r="CL71" s="46"/>
      <c r="CM71" s="46"/>
      <c r="CN71" s="46"/>
      <c r="CO71" s="46"/>
      <c r="CP71" s="46"/>
      <c r="CQ71" s="46"/>
      <c r="CR71" s="46"/>
      <c r="CS71" s="46"/>
      <c r="CT71" s="46"/>
      <c r="CU71" s="46"/>
      <c r="CV71" s="46"/>
      <c r="CW71" s="46"/>
      <c r="CX71" s="46"/>
      <c r="CY71" s="46"/>
      <c r="CZ71" s="46"/>
      <c r="DA71" s="46"/>
    </row>
    <row r="72" spans="1:105" x14ac:dyDescent="0.35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6"/>
      <c r="BR72" s="46"/>
      <c r="BS72" s="46"/>
      <c r="BT72" s="46"/>
      <c r="BU72" s="46"/>
      <c r="BV72" s="46"/>
      <c r="BW72" s="46"/>
      <c r="BX72" s="46"/>
      <c r="BY72" s="46"/>
      <c r="BZ72" s="46"/>
      <c r="CA72" s="46"/>
      <c r="CB72" s="46"/>
      <c r="CC72" s="46"/>
      <c r="CD72" s="46"/>
      <c r="CE72" s="46"/>
      <c r="CF72" s="46"/>
      <c r="CG72" s="46"/>
      <c r="CH72" s="46"/>
      <c r="CI72" s="46"/>
      <c r="CJ72" s="46"/>
      <c r="CK72" s="46"/>
      <c r="CL72" s="46"/>
      <c r="CM72" s="46"/>
      <c r="CN72" s="46"/>
      <c r="CO72" s="46"/>
      <c r="CP72" s="46"/>
      <c r="CQ72" s="46"/>
      <c r="CR72" s="46"/>
      <c r="CS72" s="46"/>
      <c r="CT72" s="46"/>
      <c r="CU72" s="46"/>
      <c r="CV72" s="46"/>
      <c r="CW72" s="46"/>
      <c r="CX72" s="46"/>
      <c r="CY72" s="46"/>
      <c r="CZ72" s="46"/>
      <c r="DA72" s="46"/>
    </row>
    <row r="73" spans="1:105" x14ac:dyDescent="0.3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6"/>
      <c r="BR73" s="46"/>
      <c r="BS73" s="46"/>
      <c r="BT73" s="46"/>
      <c r="BU73" s="46"/>
      <c r="BV73" s="46"/>
      <c r="BW73" s="46"/>
      <c r="BX73" s="46"/>
      <c r="BY73" s="46"/>
      <c r="BZ73" s="46"/>
      <c r="CA73" s="46"/>
      <c r="CB73" s="46"/>
      <c r="CC73" s="46"/>
      <c r="CD73" s="46"/>
      <c r="CE73" s="46"/>
      <c r="CF73" s="46"/>
      <c r="CG73" s="46"/>
      <c r="CH73" s="46"/>
      <c r="CI73" s="46"/>
      <c r="CJ73" s="46"/>
      <c r="CK73" s="46"/>
      <c r="CL73" s="46"/>
      <c r="CM73" s="46"/>
      <c r="CN73" s="46"/>
      <c r="CO73" s="46"/>
      <c r="CP73" s="46"/>
      <c r="CQ73" s="46"/>
      <c r="CR73" s="46"/>
      <c r="CS73" s="46"/>
      <c r="CT73" s="46"/>
      <c r="CU73" s="46"/>
      <c r="CV73" s="46"/>
      <c r="CW73" s="46"/>
      <c r="CX73" s="46"/>
      <c r="CY73" s="46"/>
      <c r="CZ73" s="46"/>
      <c r="DA73" s="46"/>
    </row>
    <row r="74" spans="1:105" x14ac:dyDescent="0.3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46"/>
      <c r="CE74" s="46"/>
      <c r="CF74" s="46"/>
      <c r="CG74" s="46"/>
      <c r="CH74" s="46"/>
      <c r="CI74" s="46"/>
      <c r="CJ74" s="46"/>
      <c r="CK74" s="46"/>
      <c r="CL74" s="46"/>
      <c r="CM74" s="46"/>
      <c r="CN74" s="46"/>
      <c r="CO74" s="46"/>
      <c r="CP74" s="46"/>
      <c r="CQ74" s="46"/>
      <c r="CR74" s="46"/>
      <c r="CS74" s="46"/>
      <c r="CT74" s="46"/>
      <c r="CU74" s="46"/>
      <c r="CV74" s="46"/>
      <c r="CW74" s="46"/>
      <c r="CX74" s="46"/>
      <c r="CY74" s="46"/>
      <c r="CZ74" s="46"/>
      <c r="DA74" s="46"/>
    </row>
    <row r="75" spans="1:105" x14ac:dyDescent="0.3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6"/>
      <c r="BR75" s="46"/>
      <c r="BS75" s="46"/>
      <c r="BT75" s="46"/>
      <c r="BU75" s="46"/>
      <c r="BV75" s="46"/>
      <c r="BW75" s="46"/>
      <c r="BX75" s="46"/>
      <c r="BY75" s="46"/>
      <c r="BZ75" s="46"/>
      <c r="CA75" s="46"/>
      <c r="CB75" s="46"/>
      <c r="CC75" s="46"/>
      <c r="CD75" s="46"/>
      <c r="CE75" s="46"/>
      <c r="CF75" s="46"/>
      <c r="CG75" s="46"/>
      <c r="CH75" s="46"/>
      <c r="CI75" s="46"/>
      <c r="CJ75" s="46"/>
      <c r="CK75" s="46"/>
      <c r="CL75" s="46"/>
      <c r="CM75" s="46"/>
      <c r="CN75" s="46"/>
      <c r="CO75" s="46"/>
      <c r="CP75" s="46"/>
      <c r="CQ75" s="46"/>
      <c r="CR75" s="46"/>
      <c r="CS75" s="46"/>
      <c r="CT75" s="46"/>
      <c r="CU75" s="46"/>
      <c r="CV75" s="46"/>
      <c r="CW75" s="46"/>
      <c r="CX75" s="46"/>
      <c r="CY75" s="46"/>
      <c r="CZ75" s="46"/>
      <c r="DA75" s="46"/>
    </row>
    <row r="76" spans="1:105" x14ac:dyDescent="0.3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6"/>
      <c r="BR76" s="46"/>
      <c r="BS76" s="46"/>
      <c r="BT76" s="46"/>
      <c r="BU76" s="46"/>
      <c r="BV76" s="46"/>
      <c r="BW76" s="46"/>
      <c r="BX76" s="46"/>
      <c r="BY76" s="46"/>
      <c r="BZ76" s="46"/>
      <c r="CA76" s="46"/>
      <c r="CB76" s="46"/>
      <c r="CC76" s="46"/>
      <c r="CD76" s="46"/>
      <c r="CE76" s="46"/>
      <c r="CF76" s="46"/>
      <c r="CG76" s="46"/>
      <c r="CH76" s="46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  <c r="CZ76" s="46"/>
      <c r="DA76" s="46"/>
    </row>
    <row r="77" spans="1:105" x14ac:dyDescent="0.35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  <c r="BT77" s="46"/>
      <c r="BU77" s="46"/>
      <c r="BV77" s="46"/>
      <c r="BW77" s="46"/>
      <c r="BX77" s="46"/>
      <c r="BY77" s="46"/>
      <c r="BZ77" s="46"/>
      <c r="CA77" s="46"/>
      <c r="CB77" s="46"/>
      <c r="CC77" s="46"/>
      <c r="CD77" s="46"/>
      <c r="CE77" s="46"/>
      <c r="CF77" s="46"/>
      <c r="CG77" s="46"/>
      <c r="CH77" s="46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  <c r="CZ77" s="46"/>
      <c r="DA77" s="46"/>
    </row>
    <row r="78" spans="1:105" x14ac:dyDescent="0.35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  <c r="BT78" s="46"/>
      <c r="BU78" s="46"/>
      <c r="BV78" s="46"/>
      <c r="BW78" s="46"/>
      <c r="BX78" s="46"/>
      <c r="BY78" s="46"/>
      <c r="BZ78" s="46"/>
      <c r="CA78" s="46"/>
      <c r="CB78" s="46"/>
      <c r="CC78" s="46"/>
      <c r="CD78" s="46"/>
      <c r="CE78" s="46"/>
      <c r="CF78" s="46"/>
      <c r="CG78" s="46"/>
      <c r="CH78" s="46"/>
      <c r="CI78" s="46"/>
      <c r="CJ78" s="46"/>
      <c r="CK78" s="46"/>
      <c r="CL78" s="46"/>
      <c r="CM78" s="46"/>
      <c r="CN78" s="46"/>
      <c r="CO78" s="46"/>
      <c r="CP78" s="46"/>
      <c r="CQ78" s="46"/>
      <c r="CR78" s="46"/>
      <c r="CS78" s="46"/>
      <c r="CT78" s="46"/>
      <c r="CU78" s="46"/>
      <c r="CV78" s="46"/>
      <c r="CW78" s="46"/>
      <c r="CX78" s="46"/>
      <c r="CY78" s="46"/>
      <c r="CZ78" s="46"/>
      <c r="DA78" s="46"/>
    </row>
    <row r="79" spans="1:105" x14ac:dyDescent="0.35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6"/>
      <c r="BR79" s="46"/>
      <c r="BS79" s="46"/>
      <c r="BT79" s="46"/>
      <c r="BU79" s="46"/>
      <c r="BV79" s="46"/>
      <c r="BW79" s="46"/>
      <c r="BX79" s="46"/>
      <c r="BY79" s="46"/>
      <c r="BZ79" s="46"/>
      <c r="CA79" s="46"/>
      <c r="CB79" s="46"/>
      <c r="CC79" s="46"/>
      <c r="CD79" s="46"/>
      <c r="CE79" s="46"/>
      <c r="CF79" s="46"/>
      <c r="CG79" s="46"/>
      <c r="CH79" s="46"/>
      <c r="CI79" s="46"/>
      <c r="CJ79" s="46"/>
      <c r="CK79" s="46"/>
      <c r="CL79" s="46"/>
      <c r="CM79" s="46"/>
      <c r="CN79" s="46"/>
      <c r="CO79" s="46"/>
      <c r="CP79" s="46"/>
      <c r="CQ79" s="46"/>
      <c r="CR79" s="46"/>
      <c r="CS79" s="46"/>
      <c r="CT79" s="46"/>
      <c r="CU79" s="46"/>
      <c r="CV79" s="46"/>
      <c r="CW79" s="46"/>
      <c r="CX79" s="46"/>
      <c r="CY79" s="46"/>
      <c r="CZ79" s="46"/>
      <c r="DA79" s="46"/>
    </row>
    <row r="80" spans="1:105" x14ac:dyDescent="0.35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6"/>
      <c r="BU80" s="46"/>
      <c r="BV80" s="46"/>
      <c r="BW80" s="46"/>
      <c r="BX80" s="46"/>
      <c r="BY80" s="46"/>
      <c r="BZ80" s="46"/>
      <c r="CA80" s="46"/>
      <c r="CB80" s="46"/>
      <c r="CC80" s="46"/>
      <c r="CD80" s="46"/>
      <c r="CE80" s="46"/>
      <c r="CF80" s="46"/>
      <c r="CG80" s="46"/>
      <c r="CH80" s="46"/>
      <c r="CI80" s="46"/>
      <c r="CJ80" s="46"/>
      <c r="CK80" s="46"/>
      <c r="CL80" s="46"/>
      <c r="CM80" s="46"/>
      <c r="CN80" s="46"/>
      <c r="CO80" s="46"/>
      <c r="CP80" s="46"/>
      <c r="CQ80" s="46"/>
      <c r="CR80" s="46"/>
      <c r="CS80" s="46"/>
      <c r="CT80" s="46"/>
      <c r="CU80" s="46"/>
      <c r="CV80" s="46"/>
      <c r="CW80" s="46"/>
      <c r="CX80" s="46"/>
      <c r="CY80" s="46"/>
      <c r="CZ80" s="46"/>
      <c r="DA80" s="46"/>
    </row>
    <row r="81" spans="1:105" x14ac:dyDescent="0.35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6"/>
      <c r="BT81" s="46"/>
      <c r="BU81" s="46"/>
      <c r="BV81" s="46"/>
      <c r="BW81" s="46"/>
      <c r="BX81" s="46"/>
      <c r="BY81" s="46"/>
      <c r="BZ81" s="46"/>
      <c r="CA81" s="46"/>
      <c r="CB81" s="46"/>
      <c r="CC81" s="46"/>
      <c r="CD81" s="46"/>
      <c r="CE81" s="46"/>
      <c r="CF81" s="46"/>
      <c r="CG81" s="46"/>
      <c r="CH81" s="46"/>
      <c r="CI81" s="46"/>
      <c r="CJ81" s="46"/>
      <c r="CK81" s="46"/>
      <c r="CL81" s="46"/>
      <c r="CM81" s="46"/>
      <c r="CN81" s="46"/>
      <c r="CO81" s="46"/>
      <c r="CP81" s="46"/>
      <c r="CQ81" s="46"/>
      <c r="CR81" s="46"/>
      <c r="CS81" s="46"/>
      <c r="CT81" s="46"/>
      <c r="CU81" s="46"/>
      <c r="CV81" s="46"/>
      <c r="CW81" s="46"/>
      <c r="CX81" s="46"/>
      <c r="CY81" s="46"/>
      <c r="CZ81" s="46"/>
      <c r="DA81" s="46"/>
    </row>
    <row r="82" spans="1:105" x14ac:dyDescent="0.35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6"/>
      <c r="BT82" s="46"/>
      <c r="BU82" s="46"/>
      <c r="BV82" s="46"/>
      <c r="BW82" s="46"/>
      <c r="BX82" s="46"/>
      <c r="BY82" s="46"/>
      <c r="BZ82" s="46"/>
      <c r="CA82" s="46"/>
      <c r="CB82" s="46"/>
      <c r="CC82" s="46"/>
      <c r="CD82" s="46"/>
      <c r="CE82" s="46"/>
      <c r="CF82" s="46"/>
      <c r="CG82" s="46"/>
      <c r="CH82" s="46"/>
      <c r="CI82" s="46"/>
      <c r="CJ82" s="46"/>
      <c r="CK82" s="46"/>
      <c r="CL82" s="46"/>
      <c r="CM82" s="46"/>
      <c r="CN82" s="46"/>
      <c r="CO82" s="46"/>
      <c r="CP82" s="46"/>
      <c r="CQ82" s="46"/>
      <c r="CR82" s="46"/>
      <c r="CS82" s="46"/>
      <c r="CT82" s="46"/>
      <c r="CU82" s="46"/>
      <c r="CV82" s="46"/>
      <c r="CW82" s="46"/>
      <c r="CX82" s="46"/>
      <c r="CY82" s="46"/>
      <c r="CZ82" s="46"/>
      <c r="DA82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dc9034-7580-41c9-a812-2b62a8df4258" xsi:nil="true"/>
    <Password xmlns="208516fb-bec9-4b51-af80-c22c81e4c800" xsi:nil="true"/>
    <ModuleName xmlns="208516fb-bec9-4b51-af80-c22c81e4c800" xsi:nil="true"/>
    <ConceptCode xmlns="208516fb-bec9-4b51-af80-c22c81e4c800" xsi:nil="true"/>
    <Sequence xmlns="208516fb-bec9-4b51-af80-c22c81e4c800" xsi:nil="true"/>
    <lcf76f155ced4ddcb4097134ff3c332f xmlns="208516fb-bec9-4b51-af80-c22c81e4c800">
      <Terms xmlns="http://schemas.microsoft.com/office/infopath/2007/PartnerControls"/>
    </lcf76f155ced4ddcb4097134ff3c332f>
    <Comment xmlns="208516fb-bec9-4b51-af80-c22c81e4c8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67A1D472FC0499AC7E3EDDEA0BE45" ma:contentTypeVersion="24" ma:contentTypeDescription="Create a new document." ma:contentTypeScope="" ma:versionID="c4f95ee37b027e73b27444f8f87dd4bb">
  <xsd:schema xmlns:xsd="http://www.w3.org/2001/XMLSchema" xmlns:xs="http://www.w3.org/2001/XMLSchema" xmlns:p="http://schemas.microsoft.com/office/2006/metadata/properties" xmlns:ns2="d9dc9034-7580-41c9-a812-2b62a8df4258" xmlns:ns3="208516fb-bec9-4b51-af80-c22c81e4c800" xmlns:ns4="c9357dfc-5c33-4d4f-b1ba-9a3a96b5474b" targetNamespace="http://schemas.microsoft.com/office/2006/metadata/properties" ma:root="true" ma:fieldsID="3d50b2f024fa7908f10f6affb74441f5" ns2:_="" ns3:_="" ns4:_="">
    <xsd:import namespace="d9dc9034-7580-41c9-a812-2b62a8df4258"/>
    <xsd:import namespace="208516fb-bec9-4b51-af80-c22c81e4c800"/>
    <xsd:import namespace="c9357dfc-5c33-4d4f-b1ba-9a3a96b5474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Sequence" minOccurs="0"/>
                <xsd:element ref="ns3:ConceptCode" minOccurs="0"/>
                <xsd:element ref="ns3:ModuleNam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Password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9034-7580-41c9-a812-2b62a8df4258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ce49362-bf96-4dc6-805a-c45b96e59ff6}" ma:internalName="TaxCatchAll" ma:showField="CatchAllData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ce49362-bf96-4dc6-805a-c45b96e59ff6}" ma:internalName="TaxCatchAllLabel" ma:readOnly="true" ma:showField="CatchAllDataLabel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516fb-bec9-4b51-af80-c22c81e4c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Sequence" ma:index="17" nillable="true" ma:displayName="Concept No" ma:description="Logical order of display" ma:format="Dropdown" ma:internalName="Sequence">
      <xsd:simpleType>
        <xsd:restriction base="dms:Text">
          <xsd:maxLength value="255"/>
        </xsd:restriction>
      </xsd:simpleType>
    </xsd:element>
    <xsd:element name="ConceptCode" ma:index="18" nillable="true" ma:displayName="Concept Code" ma:format="Dropdown" ma:indexed="true" ma:internalName="ConceptCode">
      <xsd:simpleType>
        <xsd:restriction base="dms:Text">
          <xsd:maxLength value="255"/>
        </xsd:restriction>
      </xsd:simpleType>
    </xsd:element>
    <xsd:element name="ModuleName" ma:index="19" nillable="true" ma:displayName="Module Name" ma:format="Dropdown" ma:internalName="ModuleName">
      <xsd:simpleType>
        <xsd:restriction base="dms:Text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ssword" ma:index="24" nillable="true" ma:displayName="Password" ma:format="Dropdown" ma:internalName="Password">
      <xsd:simpleType>
        <xsd:restriction base="dms:Text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53f3b1a9-51f1-41b1-ab2b-6b3ab766c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31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57dfc-5c33-4d4f-b1ba-9a3a96b5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3f3b1a9-51f1-41b1-ab2b-6b3ab766cedb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FECC70-7B2E-4DC0-A7D9-3B38B15AA407}">
  <ds:schemaRefs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d9dc9034-7580-41c9-a812-2b62a8df4258"/>
    <ds:schemaRef ds:uri="http://schemas.microsoft.com/office/2006/documentManagement/types"/>
    <ds:schemaRef ds:uri="http://schemas.microsoft.com/office/infopath/2007/PartnerControls"/>
    <ds:schemaRef ds:uri="c9357dfc-5c33-4d4f-b1ba-9a3a96b5474b"/>
    <ds:schemaRef ds:uri="208516fb-bec9-4b51-af80-c22c81e4c800"/>
  </ds:schemaRefs>
</ds:datastoreItem>
</file>

<file path=customXml/itemProps2.xml><?xml version="1.0" encoding="utf-8"?>
<ds:datastoreItem xmlns:ds="http://schemas.openxmlformats.org/officeDocument/2006/customXml" ds:itemID="{47FC0E89-8F0A-483D-B541-346D6DD512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c9034-7580-41c9-a812-2b62a8df4258"/>
    <ds:schemaRef ds:uri="208516fb-bec9-4b51-af80-c22c81e4c800"/>
    <ds:schemaRef ds:uri="c9357dfc-5c33-4d4f-b1ba-9a3a96b547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AC28B7-EC63-48D7-8729-38D651F8627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76C907B-3968-4967-875B-5D06C2DC63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SAA with CME</vt:lpstr>
      <vt:lpstr>Index Returns</vt:lpstr>
      <vt:lpstr>SAAPortfolioPerformance</vt:lpstr>
      <vt:lpstr>TAA</vt:lpstr>
      <vt:lpstr>TAAPortfolioPerformance</vt:lpstr>
      <vt:lpstr>CurrencyHedge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Marshall</dc:creator>
  <cp:keywords/>
  <dc:description/>
  <cp:lastModifiedBy>Labao, Dianne</cp:lastModifiedBy>
  <cp:revision/>
  <dcterms:created xsi:type="dcterms:W3CDTF">2023-12-16T15:41:22Z</dcterms:created>
  <dcterms:modified xsi:type="dcterms:W3CDTF">2024-02-07T17:02:51Z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0x010100A8167A1D472FC0499AC7E3EDDEA0BE45</vt:lpwstr>
  </property>
  <property fmtid="{D5CDD505-2E9C-101B-9397-08002B2CF9AE}" pid="3" name="MediaServiceImageTags">
    <vt:lpwstr/>
  </property>
</Properties>
</file>