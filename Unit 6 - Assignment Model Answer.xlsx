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2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3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4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labao\Downloads\00. CFAI Final Files\Unit 6\"/>
    </mc:Choice>
  </mc:AlternateContent>
  <xr:revisionPtr revIDLastSave="0" documentId="13_ncr:1_{4F125AC9-1FC1-4895-B00A-35F3D31B2840}" xr6:coauthVersionLast="47" xr6:coauthVersionMax="47" xr10:uidLastSave="{00000000-0000-0000-0000-000000000000}"/>
  <bookViews>
    <workbookView xWindow="15920" yWindow="-80" windowWidth="19360" windowHeight="11560" tabRatio="836" activeTab="5" xr2:uid="{697ABBC8-1090-414E-A2D1-F8BFC6A06E38}"/>
  </bookViews>
  <sheets>
    <sheet name="SAA with CME" sheetId="1" r:id="rId1"/>
    <sheet name="Index Returns" sheetId="2" r:id="rId2"/>
    <sheet name="SAAPortfolioPerformance" sheetId="3" r:id="rId3"/>
    <sheet name="TAA" sheetId="7" r:id="rId4"/>
    <sheet name="TAAPortfolioPerformance" sheetId="8" r:id="rId5"/>
    <sheet name="CurrencyHedge" sheetId="10" r:id="rId6"/>
  </sheets>
  <definedNames>
    <definedName name="_xlchart.v1.0" hidden="1">SAAPortfolioPerformance!$H$17:$H$31</definedName>
    <definedName name="_xlchart.v1.1" hidden="1">TAAPortfolioPerformance!$H$18:$H$32</definedName>
    <definedName name="solver_adj" localSheetId="0" hidden="1">'SAA with CME'!$C$17:$H$17</definedName>
    <definedName name="solver_adj" localSheetId="3" hidden="1">TAA!$C$24:$H$24</definedName>
    <definedName name="solver_cvg" localSheetId="0" hidden="1">0.0001</definedName>
    <definedName name="solver_cvg" localSheetId="3" hidden="1">0.0001</definedName>
    <definedName name="solver_drv" localSheetId="0" hidden="1">2</definedName>
    <definedName name="solver_drv" localSheetId="3" hidden="1">1</definedName>
    <definedName name="solver_eng" localSheetId="0" hidden="1">1</definedName>
    <definedName name="solver_eng" localSheetId="2" hidden="1">1</definedName>
    <definedName name="solver_eng" localSheetId="3" hidden="1">1</definedName>
    <definedName name="solver_est" localSheetId="0" hidden="1">1</definedName>
    <definedName name="solver_est" localSheetId="3" hidden="1">1</definedName>
    <definedName name="solver_itr" localSheetId="0" hidden="1">2147483647</definedName>
    <definedName name="solver_itr" localSheetId="3" hidden="1">2147483647</definedName>
    <definedName name="solver_lhs1" localSheetId="0" hidden="1">'SAA with CME'!$C$17:$H$17</definedName>
    <definedName name="solver_lhs1" localSheetId="3" hidden="1">TAA!$C$24:$H$24</definedName>
    <definedName name="solver_lhs2" localSheetId="0" hidden="1">'SAA with CME'!$I$17</definedName>
    <definedName name="solver_lhs2" localSheetId="3" hidden="1">TAA!$C$31:$H$31</definedName>
    <definedName name="solver_lhs3" localSheetId="0" hidden="1">'SAA with CME'!$I$20</definedName>
    <definedName name="solver_lhs3" localSheetId="3" hidden="1">TAA!$C$31:$H$31</definedName>
    <definedName name="solver_lhs4" localSheetId="0" hidden="1">'SAA with CME'!#REF!</definedName>
    <definedName name="solver_lhs4" localSheetId="3" hidden="1">TAA!$I$24</definedName>
    <definedName name="solver_lhs5" localSheetId="0" hidden="1">'SAA with CME'!#REF!</definedName>
    <definedName name="solver_lhs5" localSheetId="3" hidden="1">TAA!$I$27</definedName>
    <definedName name="solver_lhs6" localSheetId="0" hidden="1">'SAA with CME'!#REF!</definedName>
    <definedName name="solver_lhs7" localSheetId="0" hidden="1">'SAA with CME'!#REF!</definedName>
    <definedName name="solver_lhs8" localSheetId="0" hidden="1">'SAA with CME'!#REF!</definedName>
    <definedName name="solver_mip" localSheetId="0" hidden="1">2147483647</definedName>
    <definedName name="solver_mip" localSheetId="3" hidden="1">2147483647</definedName>
    <definedName name="solver_mni" localSheetId="0" hidden="1">30</definedName>
    <definedName name="solver_mni" localSheetId="3" hidden="1">30</definedName>
    <definedName name="solver_mrt" localSheetId="0" hidden="1">0.075</definedName>
    <definedName name="solver_mrt" localSheetId="3" hidden="1">0.075</definedName>
    <definedName name="solver_msl" localSheetId="0" hidden="1">2</definedName>
    <definedName name="solver_msl" localSheetId="3" hidden="1">2</definedName>
    <definedName name="solver_neg" localSheetId="0" hidden="1">1</definedName>
    <definedName name="solver_neg" localSheetId="2" hidden="1">1</definedName>
    <definedName name="solver_neg" localSheetId="3" hidden="1">1</definedName>
    <definedName name="solver_nod" localSheetId="0" hidden="1">2147483647</definedName>
    <definedName name="solver_nod" localSheetId="3" hidden="1">2147483647</definedName>
    <definedName name="solver_num" localSheetId="0" hidden="1">3</definedName>
    <definedName name="solver_num" localSheetId="2" hidden="1">0</definedName>
    <definedName name="solver_num" localSheetId="3" hidden="1">5</definedName>
    <definedName name="solver_nwt" localSheetId="0" hidden="1">1</definedName>
    <definedName name="solver_nwt" localSheetId="3" hidden="1">1</definedName>
    <definedName name="solver_opt" localSheetId="0" hidden="1">'SAA with CME'!$I$18</definedName>
    <definedName name="solver_opt" localSheetId="2" hidden="1">SAAPortfolioPerformance!$D$9</definedName>
    <definedName name="solver_opt" localSheetId="3" hidden="1">TAA!$I$25</definedName>
    <definedName name="solver_pre" localSheetId="0" hidden="1">0.000001</definedName>
    <definedName name="solver_pre" localSheetId="3" hidden="1">0.000001</definedName>
    <definedName name="solver_rbv" localSheetId="0" hidden="1">2</definedName>
    <definedName name="solver_rbv" localSheetId="3" hidden="1">1</definedName>
    <definedName name="solver_rel1" localSheetId="0" hidden="1">3</definedName>
    <definedName name="solver_rel1" localSheetId="3" hidden="1">3</definedName>
    <definedName name="solver_rel2" localSheetId="0" hidden="1">1</definedName>
    <definedName name="solver_rel2" localSheetId="3" hidden="1">1</definedName>
    <definedName name="solver_rel3" localSheetId="0" hidden="1">1</definedName>
    <definedName name="solver_rel3" localSheetId="3" hidden="1">3</definedName>
    <definedName name="solver_rel4" localSheetId="0" hidden="1">1</definedName>
    <definedName name="solver_rel4" localSheetId="3" hidden="1">2</definedName>
    <definedName name="solver_rel5" localSheetId="0" hidden="1">1</definedName>
    <definedName name="solver_rel5" localSheetId="3" hidden="1">1</definedName>
    <definedName name="solver_rel6" localSheetId="0" hidden="1">1</definedName>
    <definedName name="solver_rel7" localSheetId="0" hidden="1">1</definedName>
    <definedName name="solver_rel8" localSheetId="0" hidden="1">1</definedName>
    <definedName name="solver_rhs1" localSheetId="0" hidden="1">'SAA with CME'!$K$17</definedName>
    <definedName name="solver_rhs1" localSheetId="3" hidden="1">TAA!$K$24</definedName>
    <definedName name="solver_rhs2" localSheetId="0" hidden="1">1</definedName>
    <definedName name="solver_rhs2" localSheetId="3" hidden="1">20%</definedName>
    <definedName name="solver_rhs3" localSheetId="0" hidden="1">'SAA with CME'!$K$20</definedName>
    <definedName name="solver_rhs3" localSheetId="3" hidden="1">-20%</definedName>
    <definedName name="solver_rhs4" localSheetId="0" hidden="1">'SAA with CME'!#REF!</definedName>
    <definedName name="solver_rhs4" localSheetId="3" hidden="1">1</definedName>
    <definedName name="solver_rhs5" localSheetId="0" hidden="1">'SAA with CME'!#REF!</definedName>
    <definedName name="solver_rhs5" localSheetId="3" hidden="1">TAA!$K$27</definedName>
    <definedName name="solver_rhs6" localSheetId="0" hidden="1">'SAA with CME'!#REF!</definedName>
    <definedName name="solver_rhs7" localSheetId="0" hidden="1">'SAA with CME'!#REF!</definedName>
    <definedName name="solver_rhs8" localSheetId="0" hidden="1">'SAA with CME'!#REF!</definedName>
    <definedName name="solver_rlx" localSheetId="0" hidden="1">2</definedName>
    <definedName name="solver_rlx" localSheetId="3" hidden="1">2</definedName>
    <definedName name="solver_rsd" localSheetId="0" hidden="1">0</definedName>
    <definedName name="solver_rsd" localSheetId="3" hidden="1">0</definedName>
    <definedName name="solver_scl" localSheetId="0" hidden="1">2</definedName>
    <definedName name="solver_scl" localSheetId="3" hidden="1">1</definedName>
    <definedName name="solver_sho" localSheetId="0" hidden="1">2</definedName>
    <definedName name="solver_sho" localSheetId="3" hidden="1">2</definedName>
    <definedName name="solver_ssz" localSheetId="0" hidden="1">100</definedName>
    <definedName name="solver_ssz" localSheetId="3" hidden="1">100</definedName>
    <definedName name="solver_tim" localSheetId="0" hidden="1">2147483647</definedName>
    <definedName name="solver_tim" localSheetId="3" hidden="1">2147483647</definedName>
    <definedName name="solver_tol" localSheetId="0" hidden="1">0.01</definedName>
    <definedName name="solver_tol" localSheetId="3" hidden="1">0.01</definedName>
    <definedName name="solver_typ" localSheetId="0" hidden="1">1</definedName>
    <definedName name="solver_typ" localSheetId="2" hidden="1">1</definedName>
    <definedName name="solver_typ" localSheetId="3" hidden="1">1</definedName>
    <definedName name="solver_val" localSheetId="0" hidden="1">0</definedName>
    <definedName name="solver_val" localSheetId="2" hidden="1">0</definedName>
    <definedName name="solver_val" localSheetId="3" hidden="1">0</definedName>
    <definedName name="solver_ver" localSheetId="0" hidden="1">3</definedName>
    <definedName name="solver_ver" localSheetId="2" hidden="1">3</definedName>
    <definedName name="solver_ver" localSheetId="3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3" i="10" l="1"/>
  <c r="C95" i="10" s="1"/>
  <c r="C132" i="10" s="1"/>
  <c r="CO13" i="10"/>
  <c r="CO95" i="10" s="1"/>
  <c r="CO132" i="10" s="1"/>
  <c r="CN13" i="10"/>
  <c r="CN95" i="10" s="1"/>
  <c r="CN132" i="10" s="1"/>
  <c r="CM13" i="10"/>
  <c r="CM95" i="10" s="1"/>
  <c r="CM132" i="10" s="1"/>
  <c r="CL13" i="10"/>
  <c r="CL95" i="10" s="1"/>
  <c r="CL132" i="10" s="1"/>
  <c r="CK13" i="10"/>
  <c r="CK95" i="10" s="1"/>
  <c r="CK132" i="10" s="1"/>
  <c r="CJ13" i="10"/>
  <c r="CJ95" i="10" s="1"/>
  <c r="CJ132" i="10" s="1"/>
  <c r="CI13" i="10"/>
  <c r="CI95" i="10" s="1"/>
  <c r="CI132" i="10" s="1"/>
  <c r="CH13" i="10"/>
  <c r="CH95" i="10" s="1"/>
  <c r="CH132" i="10" s="1"/>
  <c r="CG13" i="10"/>
  <c r="CG95" i="10" s="1"/>
  <c r="CG132" i="10" s="1"/>
  <c r="CF13" i="10"/>
  <c r="CF95" i="10" s="1"/>
  <c r="CF132" i="10" s="1"/>
  <c r="CE13" i="10"/>
  <c r="CE95" i="10" s="1"/>
  <c r="CE132" i="10" s="1"/>
  <c r="CD13" i="10"/>
  <c r="CD95" i="10" s="1"/>
  <c r="CD132" i="10" s="1"/>
  <c r="CC13" i="10"/>
  <c r="CC95" i="10" s="1"/>
  <c r="CC132" i="10" s="1"/>
  <c r="CB13" i="10"/>
  <c r="CB95" i="10" s="1"/>
  <c r="CB132" i="10" s="1"/>
  <c r="CA13" i="10"/>
  <c r="CA95" i="10" s="1"/>
  <c r="CA132" i="10" s="1"/>
  <c r="BZ13" i="10"/>
  <c r="BZ95" i="10" s="1"/>
  <c r="BZ132" i="10" s="1"/>
  <c r="BY13" i="10"/>
  <c r="BY95" i="10" s="1"/>
  <c r="BY132" i="10" s="1"/>
  <c r="BX13" i="10"/>
  <c r="BX95" i="10" s="1"/>
  <c r="BX132" i="10" s="1"/>
  <c r="BW13" i="10"/>
  <c r="BW95" i="10" s="1"/>
  <c r="BW132" i="10" s="1"/>
  <c r="BV13" i="10"/>
  <c r="BV95" i="10" s="1"/>
  <c r="BV132" i="10" s="1"/>
  <c r="BU13" i="10"/>
  <c r="BU95" i="10" s="1"/>
  <c r="BU132" i="10" s="1"/>
  <c r="BT13" i="10"/>
  <c r="BT95" i="10" s="1"/>
  <c r="BT132" i="10" s="1"/>
  <c r="BS13" i="10"/>
  <c r="BS95" i="10" s="1"/>
  <c r="BS132" i="10" s="1"/>
  <c r="BR13" i="10"/>
  <c r="BR95" i="10" s="1"/>
  <c r="BR132" i="10" s="1"/>
  <c r="BQ13" i="10"/>
  <c r="BQ95" i="10" s="1"/>
  <c r="BQ132" i="10" s="1"/>
  <c r="BP13" i="10"/>
  <c r="BP95" i="10" s="1"/>
  <c r="BP132" i="10" s="1"/>
  <c r="BO13" i="10"/>
  <c r="BO95" i="10" s="1"/>
  <c r="BO132" i="10" s="1"/>
  <c r="BN13" i="10"/>
  <c r="BN95" i="10" s="1"/>
  <c r="BN132" i="10" s="1"/>
  <c r="BM13" i="10"/>
  <c r="BM95" i="10" s="1"/>
  <c r="BM132" i="10" s="1"/>
  <c r="BL13" i="10"/>
  <c r="BL95" i="10" s="1"/>
  <c r="BL132" i="10" s="1"/>
  <c r="BK13" i="10"/>
  <c r="BK95" i="10" s="1"/>
  <c r="BK132" i="10" s="1"/>
  <c r="BJ13" i="10"/>
  <c r="BJ95" i="10" s="1"/>
  <c r="BJ132" i="10" s="1"/>
  <c r="BI13" i="10"/>
  <c r="BI95" i="10" s="1"/>
  <c r="BI132" i="10" s="1"/>
  <c r="BH13" i="10"/>
  <c r="BH95" i="10" s="1"/>
  <c r="BH132" i="10" s="1"/>
  <c r="BG13" i="10"/>
  <c r="BG95" i="10" s="1"/>
  <c r="BG132" i="10" s="1"/>
  <c r="BF13" i="10"/>
  <c r="BF95" i="10" s="1"/>
  <c r="BF132" i="10" s="1"/>
  <c r="BE13" i="10"/>
  <c r="BE95" i="10" s="1"/>
  <c r="BE132" i="10" s="1"/>
  <c r="BD13" i="10"/>
  <c r="BD95" i="10" s="1"/>
  <c r="BD132" i="10" s="1"/>
  <c r="BC13" i="10"/>
  <c r="BC95" i="10" s="1"/>
  <c r="BC132" i="10" s="1"/>
  <c r="BB13" i="10"/>
  <c r="BB95" i="10" s="1"/>
  <c r="BB132" i="10" s="1"/>
  <c r="BA13" i="10"/>
  <c r="BA95" i="10" s="1"/>
  <c r="BA132" i="10" s="1"/>
  <c r="AZ13" i="10"/>
  <c r="AZ95" i="10" s="1"/>
  <c r="AZ132" i="10" s="1"/>
  <c r="AY13" i="10"/>
  <c r="AY95" i="10" s="1"/>
  <c r="AY132" i="10" s="1"/>
  <c r="AX13" i="10"/>
  <c r="AX95" i="10" s="1"/>
  <c r="AX132" i="10" s="1"/>
  <c r="AW13" i="10"/>
  <c r="AW95" i="10" s="1"/>
  <c r="AW132" i="10" s="1"/>
  <c r="AV13" i="10"/>
  <c r="AV95" i="10" s="1"/>
  <c r="AV132" i="10" s="1"/>
  <c r="AU13" i="10"/>
  <c r="AU95" i="10" s="1"/>
  <c r="AU132" i="10" s="1"/>
  <c r="AT13" i="10"/>
  <c r="AT95" i="10" s="1"/>
  <c r="AT132" i="10" s="1"/>
  <c r="AS13" i="10"/>
  <c r="AS95" i="10" s="1"/>
  <c r="AS132" i="10" s="1"/>
  <c r="AR13" i="10"/>
  <c r="AR95" i="10" s="1"/>
  <c r="AR132" i="10" s="1"/>
  <c r="AQ13" i="10"/>
  <c r="AQ95" i="10" s="1"/>
  <c r="AQ132" i="10" s="1"/>
  <c r="AP13" i="10"/>
  <c r="AP95" i="10" s="1"/>
  <c r="AP132" i="10" s="1"/>
  <c r="AO13" i="10"/>
  <c r="AO95" i="10" s="1"/>
  <c r="AO132" i="10" s="1"/>
  <c r="AN13" i="10"/>
  <c r="AN95" i="10" s="1"/>
  <c r="AN132" i="10" s="1"/>
  <c r="AM13" i="10"/>
  <c r="AM95" i="10" s="1"/>
  <c r="AM132" i="10" s="1"/>
  <c r="AL13" i="10"/>
  <c r="AL95" i="10" s="1"/>
  <c r="AL132" i="10" s="1"/>
  <c r="AK13" i="10"/>
  <c r="AK95" i="10" s="1"/>
  <c r="AK132" i="10" s="1"/>
  <c r="AJ13" i="10"/>
  <c r="AJ95" i="10" s="1"/>
  <c r="AJ132" i="10" s="1"/>
  <c r="AI13" i="10"/>
  <c r="AI95" i="10" s="1"/>
  <c r="AI132" i="10" s="1"/>
  <c r="AH13" i="10"/>
  <c r="AH95" i="10" s="1"/>
  <c r="AH132" i="10" s="1"/>
  <c r="AG13" i="10"/>
  <c r="AG95" i="10" s="1"/>
  <c r="AG132" i="10" s="1"/>
  <c r="AF13" i="10"/>
  <c r="AF95" i="10" s="1"/>
  <c r="AF132" i="10" s="1"/>
  <c r="AE13" i="10"/>
  <c r="AE95" i="10" s="1"/>
  <c r="AE132" i="10" s="1"/>
  <c r="AD13" i="10"/>
  <c r="AD95" i="10" s="1"/>
  <c r="AD132" i="10" s="1"/>
  <c r="AC13" i="10"/>
  <c r="AC95" i="10" s="1"/>
  <c r="AC132" i="10" s="1"/>
  <c r="AB13" i="10"/>
  <c r="AB95" i="10" s="1"/>
  <c r="AB132" i="10" s="1"/>
  <c r="AA13" i="10"/>
  <c r="AA95" i="10" s="1"/>
  <c r="AA132" i="10" s="1"/>
  <c r="Z13" i="10"/>
  <c r="Z95" i="10" s="1"/>
  <c r="Z132" i="10" s="1"/>
  <c r="Y13" i="10"/>
  <c r="Y95" i="10" s="1"/>
  <c r="Y132" i="10" s="1"/>
  <c r="X13" i="10"/>
  <c r="X95" i="10" s="1"/>
  <c r="X132" i="10" s="1"/>
  <c r="W13" i="10"/>
  <c r="W95" i="10" s="1"/>
  <c r="W132" i="10" s="1"/>
  <c r="V13" i="10"/>
  <c r="V95" i="10" s="1"/>
  <c r="V132" i="10" s="1"/>
  <c r="U13" i="10"/>
  <c r="U95" i="10" s="1"/>
  <c r="U132" i="10" s="1"/>
  <c r="T13" i="10"/>
  <c r="T95" i="10" s="1"/>
  <c r="T132" i="10" s="1"/>
  <c r="S13" i="10"/>
  <c r="S95" i="10" s="1"/>
  <c r="S132" i="10" s="1"/>
  <c r="R13" i="10"/>
  <c r="R95" i="10" s="1"/>
  <c r="R132" i="10" s="1"/>
  <c r="Q13" i="10"/>
  <c r="Q95" i="10" s="1"/>
  <c r="Q132" i="10" s="1"/>
  <c r="P13" i="10"/>
  <c r="P95" i="10" s="1"/>
  <c r="P132" i="10" s="1"/>
  <c r="O13" i="10"/>
  <c r="O95" i="10" s="1"/>
  <c r="O132" i="10" s="1"/>
  <c r="N13" i="10"/>
  <c r="N95" i="10" s="1"/>
  <c r="N132" i="10" s="1"/>
  <c r="M13" i="10"/>
  <c r="M95" i="10" s="1"/>
  <c r="M132" i="10" s="1"/>
  <c r="L13" i="10"/>
  <c r="L95" i="10" s="1"/>
  <c r="L132" i="10" s="1"/>
  <c r="K13" i="10"/>
  <c r="K95" i="10" s="1"/>
  <c r="K132" i="10" s="1"/>
  <c r="J13" i="10"/>
  <c r="J95" i="10" s="1"/>
  <c r="J132" i="10" s="1"/>
  <c r="I13" i="10"/>
  <c r="I95" i="10" s="1"/>
  <c r="I132" i="10" s="1"/>
  <c r="H13" i="10"/>
  <c r="H95" i="10" s="1"/>
  <c r="H132" i="10" s="1"/>
  <c r="G13" i="10"/>
  <c r="G95" i="10" s="1"/>
  <c r="G132" i="10" s="1"/>
  <c r="F13" i="10"/>
  <c r="F95" i="10" s="1"/>
  <c r="F132" i="10" s="1"/>
  <c r="E13" i="10"/>
  <c r="E95" i="10" s="1"/>
  <c r="E132" i="10" s="1"/>
  <c r="D13" i="10"/>
  <c r="D95" i="10" s="1"/>
  <c r="D132" i="10" s="1"/>
  <c r="C8" i="10"/>
  <c r="CJ18" i="10" s="1"/>
  <c r="CJ22" i="10" s="1"/>
  <c r="BL56" i="10" l="1"/>
  <c r="BK56" i="10"/>
  <c r="AF56" i="10"/>
  <c r="AE56" i="10"/>
  <c r="CJ56" i="10"/>
  <c r="BD56" i="10"/>
  <c r="X56" i="10"/>
  <c r="CI56" i="10"/>
  <c r="BC56" i="10"/>
  <c r="W56" i="10"/>
  <c r="CB56" i="10"/>
  <c r="AV56" i="10"/>
  <c r="P56" i="10"/>
  <c r="CA56" i="10"/>
  <c r="AU56" i="10"/>
  <c r="O56" i="10"/>
  <c r="BT56" i="10"/>
  <c r="AN56" i="10"/>
  <c r="H56" i="10"/>
  <c r="BS56" i="10"/>
  <c r="AM56" i="10"/>
  <c r="G56" i="10"/>
  <c r="CH56" i="10"/>
  <c r="BZ56" i="10"/>
  <c r="BR56" i="10"/>
  <c r="BJ56" i="10"/>
  <c r="BB56" i="10"/>
  <c r="AT56" i="10"/>
  <c r="AL56" i="10"/>
  <c r="AD56" i="10"/>
  <c r="V56" i="10"/>
  <c r="N56" i="10"/>
  <c r="F56" i="10"/>
  <c r="CO56" i="10"/>
  <c r="BI56" i="10"/>
  <c r="AS56" i="10"/>
  <c r="U56" i="10"/>
  <c r="CN56" i="10"/>
  <c r="CF56" i="10"/>
  <c r="BX56" i="10"/>
  <c r="BP56" i="10"/>
  <c r="BH56" i="10"/>
  <c r="AZ56" i="10"/>
  <c r="AR56" i="10"/>
  <c r="AJ56" i="10"/>
  <c r="AB56" i="10"/>
  <c r="T56" i="10"/>
  <c r="L56" i="10"/>
  <c r="D56" i="10"/>
  <c r="BQ56" i="10"/>
  <c r="AK56" i="10"/>
  <c r="E56" i="10"/>
  <c r="C56" i="10"/>
  <c r="CM56" i="10"/>
  <c r="CE56" i="10"/>
  <c r="BW56" i="10"/>
  <c r="BO56" i="10"/>
  <c r="BG56" i="10"/>
  <c r="AY56" i="10"/>
  <c r="AQ56" i="10"/>
  <c r="AI56" i="10"/>
  <c r="AA56" i="10"/>
  <c r="S56" i="10"/>
  <c r="K56" i="10"/>
  <c r="BY56" i="10"/>
  <c r="BA56" i="10"/>
  <c r="M56" i="10"/>
  <c r="CL56" i="10"/>
  <c r="CD56" i="10"/>
  <c r="BV56" i="10"/>
  <c r="BN56" i="10"/>
  <c r="BF56" i="10"/>
  <c r="AX56" i="10"/>
  <c r="AP56" i="10"/>
  <c r="AH56" i="10"/>
  <c r="Z56" i="10"/>
  <c r="R56" i="10"/>
  <c r="J56" i="10"/>
  <c r="CG56" i="10"/>
  <c r="AC56" i="10"/>
  <c r="CK56" i="10"/>
  <c r="CC56" i="10"/>
  <c r="BU56" i="10"/>
  <c r="BM56" i="10"/>
  <c r="BE56" i="10"/>
  <c r="AW56" i="10"/>
  <c r="AO56" i="10"/>
  <c r="AG56" i="10"/>
  <c r="Y56" i="10"/>
  <c r="Q56" i="10"/>
  <c r="I56" i="10"/>
  <c r="C18" i="10"/>
  <c r="C22" i="10" s="1"/>
  <c r="C51" i="10" s="1"/>
  <c r="CD18" i="10"/>
  <c r="CD22" i="10" s="1"/>
  <c r="CD23" i="10" s="1"/>
  <c r="CD58" i="10" s="1"/>
  <c r="CD64" i="10" s="1"/>
  <c r="AD18" i="10"/>
  <c r="AD22" i="10" s="1"/>
  <c r="AD23" i="10" s="1"/>
  <c r="AD58" i="10" s="1"/>
  <c r="AD64" i="10" s="1"/>
  <c r="E18" i="10"/>
  <c r="E22" i="10" s="1"/>
  <c r="E23" i="10" s="1"/>
  <c r="E58" i="10" s="1"/>
  <c r="E64" i="10" s="1"/>
  <c r="R18" i="10"/>
  <c r="R22" i="10" s="1"/>
  <c r="R23" i="10" s="1"/>
  <c r="R58" i="10" s="1"/>
  <c r="R64" i="10" s="1"/>
  <c r="AQ18" i="10"/>
  <c r="AQ22" i="10" s="1"/>
  <c r="AQ23" i="10" s="1"/>
  <c r="AQ58" i="10" s="1"/>
  <c r="AQ64" i="10" s="1"/>
  <c r="BE18" i="10"/>
  <c r="BE22" i="10" s="1"/>
  <c r="BE23" i="10" s="1"/>
  <c r="BE58" i="10" s="1"/>
  <c r="BE64" i="10" s="1"/>
  <c r="BQ18" i="10"/>
  <c r="BQ22" i="10" s="1"/>
  <c r="F18" i="10"/>
  <c r="F22" i="10" s="1"/>
  <c r="F23" i="10" s="1"/>
  <c r="F58" i="10" s="1"/>
  <c r="F64" i="10" s="1"/>
  <c r="S18" i="10"/>
  <c r="S22" i="10" s="1"/>
  <c r="AG18" i="10"/>
  <c r="AG22" i="10" s="1"/>
  <c r="AG23" i="10" s="1"/>
  <c r="AG58" i="10" s="1"/>
  <c r="AG64" i="10" s="1"/>
  <c r="AS18" i="10"/>
  <c r="AS22" i="10" s="1"/>
  <c r="BF18" i="10"/>
  <c r="BF22" i="10" s="1"/>
  <c r="BF23" i="10" s="1"/>
  <c r="BF58" i="10" s="1"/>
  <c r="BF64" i="10" s="1"/>
  <c r="BR18" i="10"/>
  <c r="BR22" i="10" s="1"/>
  <c r="BR23" i="10" s="1"/>
  <c r="BR58" i="10" s="1"/>
  <c r="BR64" i="10" s="1"/>
  <c r="CE18" i="10"/>
  <c r="CE22" i="10" s="1"/>
  <c r="I18" i="10"/>
  <c r="I22" i="10" s="1"/>
  <c r="I23" i="10" s="1"/>
  <c r="I58" i="10" s="1"/>
  <c r="I64" i="10" s="1"/>
  <c r="U18" i="10"/>
  <c r="U22" i="10" s="1"/>
  <c r="AH18" i="10"/>
  <c r="AH22" i="10" s="1"/>
  <c r="AH23" i="10" s="1"/>
  <c r="AH58" i="10" s="1"/>
  <c r="AH64" i="10" s="1"/>
  <c r="AT18" i="10"/>
  <c r="AT22" i="10" s="1"/>
  <c r="BG18" i="10"/>
  <c r="BG22" i="10" s="1"/>
  <c r="BG23" i="10" s="1"/>
  <c r="BG58" i="10" s="1"/>
  <c r="BG64" i="10" s="1"/>
  <c r="BU18" i="10"/>
  <c r="BU22" i="10" s="1"/>
  <c r="BU23" i="10" s="1"/>
  <c r="BU58" i="10" s="1"/>
  <c r="BU64" i="10" s="1"/>
  <c r="CG18" i="10"/>
  <c r="CG22" i="10" s="1"/>
  <c r="CG23" i="10" s="1"/>
  <c r="CG58" i="10" s="1"/>
  <c r="CG64" i="10" s="1"/>
  <c r="J18" i="10"/>
  <c r="J22" i="10" s="1"/>
  <c r="J23" i="10" s="1"/>
  <c r="J58" i="10" s="1"/>
  <c r="J64" i="10" s="1"/>
  <c r="V18" i="10"/>
  <c r="V22" i="10" s="1"/>
  <c r="AI18" i="10"/>
  <c r="AI22" i="10" s="1"/>
  <c r="AI23" i="10" s="1"/>
  <c r="AI58" i="10" s="1"/>
  <c r="AI64" i="10" s="1"/>
  <c r="AW18" i="10"/>
  <c r="AW22" i="10" s="1"/>
  <c r="AW23" i="10" s="1"/>
  <c r="AW58" i="10" s="1"/>
  <c r="AW64" i="10" s="1"/>
  <c r="BI18" i="10"/>
  <c r="BI22" i="10" s="1"/>
  <c r="BI23" i="10" s="1"/>
  <c r="BI58" i="10" s="1"/>
  <c r="BI64" i="10" s="1"/>
  <c r="BV18" i="10"/>
  <c r="BV22" i="10" s="1"/>
  <c r="BV23" i="10" s="1"/>
  <c r="BV58" i="10" s="1"/>
  <c r="BV64" i="10" s="1"/>
  <c r="CH18" i="10"/>
  <c r="CH22" i="10" s="1"/>
  <c r="CH23" i="10" s="1"/>
  <c r="CH58" i="10" s="1"/>
  <c r="CH64" i="10" s="1"/>
  <c r="K18" i="10"/>
  <c r="K22" i="10" s="1"/>
  <c r="K23" i="10" s="1"/>
  <c r="K58" i="10" s="1"/>
  <c r="K64" i="10" s="1"/>
  <c r="Y18" i="10"/>
  <c r="Y22" i="10" s="1"/>
  <c r="AK18" i="10"/>
  <c r="AK22" i="10" s="1"/>
  <c r="AX18" i="10"/>
  <c r="AX22" i="10" s="1"/>
  <c r="BJ18" i="10"/>
  <c r="BJ22" i="10" s="1"/>
  <c r="BJ23" i="10" s="1"/>
  <c r="BJ58" i="10" s="1"/>
  <c r="BJ64" i="10" s="1"/>
  <c r="BW18" i="10"/>
  <c r="BW22" i="10" s="1"/>
  <c r="CK18" i="10"/>
  <c r="CK22" i="10" s="1"/>
  <c r="M18" i="10"/>
  <c r="M22" i="10" s="1"/>
  <c r="Z18" i="10"/>
  <c r="Z22" i="10" s="1"/>
  <c r="AL18" i="10"/>
  <c r="AL22" i="10" s="1"/>
  <c r="AL23" i="10" s="1"/>
  <c r="AL58" i="10" s="1"/>
  <c r="AL64" i="10" s="1"/>
  <c r="AY18" i="10"/>
  <c r="AY22" i="10" s="1"/>
  <c r="BM18" i="10"/>
  <c r="BM22" i="10" s="1"/>
  <c r="BY18" i="10"/>
  <c r="BY22" i="10" s="1"/>
  <c r="BY23" i="10" s="1"/>
  <c r="BY58" i="10" s="1"/>
  <c r="BY64" i="10" s="1"/>
  <c r="CL18" i="10"/>
  <c r="CL22" i="10" s="1"/>
  <c r="CL23" i="10" s="1"/>
  <c r="CL58" i="10" s="1"/>
  <c r="CL64" i="10" s="1"/>
  <c r="N18" i="10"/>
  <c r="N22" i="10" s="1"/>
  <c r="AA18" i="10"/>
  <c r="AA22" i="10" s="1"/>
  <c r="AA23" i="10" s="1"/>
  <c r="AA58" i="10" s="1"/>
  <c r="AA64" i="10" s="1"/>
  <c r="AO18" i="10"/>
  <c r="AO22" i="10" s="1"/>
  <c r="AO23" i="10" s="1"/>
  <c r="AO58" i="10" s="1"/>
  <c r="AO64" i="10" s="1"/>
  <c r="BA18" i="10"/>
  <c r="BA22" i="10" s="1"/>
  <c r="BN18" i="10"/>
  <c r="BN22" i="10" s="1"/>
  <c r="BN23" i="10" s="1"/>
  <c r="BN58" i="10" s="1"/>
  <c r="BN64" i="10" s="1"/>
  <c r="BZ18" i="10"/>
  <c r="BZ22" i="10" s="1"/>
  <c r="BZ23" i="10" s="1"/>
  <c r="BZ58" i="10" s="1"/>
  <c r="BZ64" i="10" s="1"/>
  <c r="CM18" i="10"/>
  <c r="CM22" i="10" s="1"/>
  <c r="CM23" i="10" s="1"/>
  <c r="CM58" i="10" s="1"/>
  <c r="CM64" i="10" s="1"/>
  <c r="Q18" i="10"/>
  <c r="Q22" i="10" s="1"/>
  <c r="AC18" i="10"/>
  <c r="AC22" i="10" s="1"/>
  <c r="AC23" i="10" s="1"/>
  <c r="AC58" i="10" s="1"/>
  <c r="AC64" i="10" s="1"/>
  <c r="AP18" i="10"/>
  <c r="AP22" i="10" s="1"/>
  <c r="AP23" i="10" s="1"/>
  <c r="AP58" i="10" s="1"/>
  <c r="AP64" i="10" s="1"/>
  <c r="BB18" i="10"/>
  <c r="BB22" i="10" s="1"/>
  <c r="BO18" i="10"/>
  <c r="BO22" i="10" s="1"/>
  <c r="CC18" i="10"/>
  <c r="CC22" i="10" s="1"/>
  <c r="CC23" i="10" s="1"/>
  <c r="CC58" i="10" s="1"/>
  <c r="CC64" i="10" s="1"/>
  <c r="CO18" i="10"/>
  <c r="CO22" i="10" s="1"/>
  <c r="CO23" i="10" s="1"/>
  <c r="CO58" i="10" s="1"/>
  <c r="CO64" i="10" s="1"/>
  <c r="CJ23" i="10"/>
  <c r="CJ58" i="10" s="1"/>
  <c r="CJ64" i="10" s="1"/>
  <c r="D18" i="10"/>
  <c r="D22" i="10" s="1"/>
  <c r="L18" i="10"/>
  <c r="L22" i="10" s="1"/>
  <c r="T18" i="10"/>
  <c r="T22" i="10" s="1"/>
  <c r="AB18" i="10"/>
  <c r="AB22" i="10" s="1"/>
  <c r="AJ18" i="10"/>
  <c r="AJ22" i="10" s="1"/>
  <c r="AR18" i="10"/>
  <c r="AR22" i="10" s="1"/>
  <c r="AZ18" i="10"/>
  <c r="AZ22" i="10" s="1"/>
  <c r="BH18" i="10"/>
  <c r="BH22" i="10" s="1"/>
  <c r="BP18" i="10"/>
  <c r="BP22" i="10" s="1"/>
  <c r="BX18" i="10"/>
  <c r="BX22" i="10" s="1"/>
  <c r="CF18" i="10"/>
  <c r="CF22" i="10" s="1"/>
  <c r="CN18" i="10"/>
  <c r="CN22" i="10" s="1"/>
  <c r="G18" i="10"/>
  <c r="G22" i="10" s="1"/>
  <c r="O18" i="10"/>
  <c r="O22" i="10" s="1"/>
  <c r="W18" i="10"/>
  <c r="W22" i="10" s="1"/>
  <c r="AE18" i="10"/>
  <c r="AE22" i="10" s="1"/>
  <c r="AM18" i="10"/>
  <c r="AM22" i="10" s="1"/>
  <c r="AU18" i="10"/>
  <c r="AU22" i="10" s="1"/>
  <c r="BC18" i="10"/>
  <c r="BC22" i="10" s="1"/>
  <c r="BK18" i="10"/>
  <c r="BK22" i="10" s="1"/>
  <c r="BS18" i="10"/>
  <c r="BS22" i="10" s="1"/>
  <c r="CA18" i="10"/>
  <c r="CA22" i="10" s="1"/>
  <c r="CI18" i="10"/>
  <c r="CI22" i="10" s="1"/>
  <c r="H18" i="10"/>
  <c r="H22" i="10" s="1"/>
  <c r="P18" i="10"/>
  <c r="P22" i="10" s="1"/>
  <c r="X18" i="10"/>
  <c r="X22" i="10" s="1"/>
  <c r="AF18" i="10"/>
  <c r="AF22" i="10" s="1"/>
  <c r="AN18" i="10"/>
  <c r="AN22" i="10" s="1"/>
  <c r="AV18" i="10"/>
  <c r="AV22" i="10" s="1"/>
  <c r="BD18" i="10"/>
  <c r="BD22" i="10" s="1"/>
  <c r="BL18" i="10"/>
  <c r="BL22" i="10" s="1"/>
  <c r="BT18" i="10"/>
  <c r="BT22" i="10" s="1"/>
  <c r="CB18" i="10"/>
  <c r="CB22" i="10" s="1"/>
  <c r="J57" i="10" l="1"/>
  <c r="BV57" i="10"/>
  <c r="AA57" i="10"/>
  <c r="CM57" i="10"/>
  <c r="R57" i="10"/>
  <c r="CD57" i="10"/>
  <c r="AI57" i="10"/>
  <c r="G57" i="10"/>
  <c r="Q57" i="10"/>
  <c r="AC57" i="10"/>
  <c r="AM57" i="10"/>
  <c r="AW57" i="10"/>
  <c r="BI57" i="10"/>
  <c r="BS57" i="10"/>
  <c r="CC57" i="10"/>
  <c r="CO57" i="10"/>
  <c r="AS57" i="10"/>
  <c r="CI57" i="10"/>
  <c r="P57" i="10"/>
  <c r="BR57" i="10"/>
  <c r="H57" i="10"/>
  <c r="T57" i="10"/>
  <c r="AD57" i="10"/>
  <c r="AN57" i="10"/>
  <c r="AZ57" i="10"/>
  <c r="BJ57" i="10"/>
  <c r="BT57" i="10"/>
  <c r="CF57" i="10"/>
  <c r="C57" i="10"/>
  <c r="M57" i="10"/>
  <c r="BC57" i="10"/>
  <c r="CN57" i="10"/>
  <c r="I57" i="10"/>
  <c r="U57" i="10"/>
  <c r="AE57" i="10"/>
  <c r="AO57" i="10"/>
  <c r="BA57" i="10"/>
  <c r="BK57" i="10"/>
  <c r="BU57" i="10"/>
  <c r="CG57" i="10"/>
  <c r="W57" i="10"/>
  <c r="BY57" i="10"/>
  <c r="AB57" i="10"/>
  <c r="L57" i="10"/>
  <c r="V57" i="10"/>
  <c r="AF57" i="10"/>
  <c r="AR57" i="10"/>
  <c r="BB57" i="10"/>
  <c r="BL57" i="10"/>
  <c r="BX57" i="10"/>
  <c r="CH57" i="10"/>
  <c r="AG57" i="10"/>
  <c r="BM57" i="10"/>
  <c r="BH57" i="10"/>
  <c r="D57" i="10"/>
  <c r="N57" i="10"/>
  <c r="X57" i="10"/>
  <c r="AJ57" i="10"/>
  <c r="AT57" i="10"/>
  <c r="BD57" i="10"/>
  <c r="BP57" i="10"/>
  <c r="BZ57" i="10"/>
  <c r="CJ57" i="10"/>
  <c r="O57" i="10"/>
  <c r="AK57" i="10"/>
  <c r="BE57" i="10"/>
  <c r="CA57" i="10"/>
  <c r="AV57" i="10"/>
  <c r="E57" i="10"/>
  <c r="Y57" i="10"/>
  <c r="AU57" i="10"/>
  <c r="BQ57" i="10"/>
  <c r="CK57" i="10"/>
  <c r="F57" i="10"/>
  <c r="AL57" i="10"/>
  <c r="CB57" i="10"/>
  <c r="Z57" i="10"/>
  <c r="CL57" i="10"/>
  <c r="AQ57" i="10"/>
  <c r="AY57" i="10"/>
  <c r="AP57" i="10"/>
  <c r="BG57" i="10"/>
  <c r="AH57" i="10"/>
  <c r="AX57" i="10"/>
  <c r="BO57" i="10"/>
  <c r="BF57" i="10"/>
  <c r="K57" i="10"/>
  <c r="BW57" i="10"/>
  <c r="BN57" i="10"/>
  <c r="S57" i="10"/>
  <c r="CE57" i="10"/>
  <c r="C23" i="10"/>
  <c r="C27" i="10"/>
  <c r="C127" i="10"/>
  <c r="C90" i="10"/>
  <c r="C96" i="10" s="1"/>
  <c r="AP27" i="10"/>
  <c r="BW27" i="10"/>
  <c r="AT27" i="10"/>
  <c r="BM27" i="10"/>
  <c r="AY27" i="10"/>
  <c r="AK27" i="10"/>
  <c r="V27" i="10"/>
  <c r="AT23" i="10"/>
  <c r="AX27" i="10"/>
  <c r="BO27" i="10"/>
  <c r="CL27" i="10"/>
  <c r="U27" i="10"/>
  <c r="CJ27" i="10"/>
  <c r="AD27" i="10"/>
  <c r="BW23" i="10"/>
  <c r="Q27" i="10"/>
  <c r="N27" i="10"/>
  <c r="CK27" i="10"/>
  <c r="BG27" i="10"/>
  <c r="AC27" i="10"/>
  <c r="R27" i="10"/>
  <c r="S27" i="10"/>
  <c r="BQ27" i="10"/>
  <c r="AX23" i="10"/>
  <c r="BZ27" i="10"/>
  <c r="BM23" i="10"/>
  <c r="AH27" i="10"/>
  <c r="CD27" i="10"/>
  <c r="S23" i="10"/>
  <c r="AS27" i="10"/>
  <c r="CC27" i="10"/>
  <c r="BV27" i="10"/>
  <c r="CM27" i="10"/>
  <c r="BY27" i="10"/>
  <c r="AY23" i="10"/>
  <c r="E27" i="10"/>
  <c r="BI27" i="10"/>
  <c r="AO27" i="10"/>
  <c r="BF27" i="10"/>
  <c r="AG27" i="10"/>
  <c r="BQ23" i="10"/>
  <c r="BU27" i="10"/>
  <c r="BJ27" i="10"/>
  <c r="AW27" i="10"/>
  <c r="Q23" i="10"/>
  <c r="AA27" i="10"/>
  <c r="F27" i="10"/>
  <c r="AI27" i="10"/>
  <c r="BB27" i="10"/>
  <c r="BA27" i="10"/>
  <c r="AL27" i="10"/>
  <c r="Y27" i="10"/>
  <c r="CE27" i="10"/>
  <c r="CO27" i="10"/>
  <c r="N23" i="10"/>
  <c r="CK23" i="10"/>
  <c r="AS23" i="10"/>
  <c r="AQ27" i="10"/>
  <c r="U23" i="10"/>
  <c r="Z27" i="10"/>
  <c r="CG27" i="10"/>
  <c r="BR27" i="10"/>
  <c r="K27" i="10"/>
  <c r="CH27" i="10"/>
  <c r="M27" i="10"/>
  <c r="BO23" i="10"/>
  <c r="BN27" i="10"/>
  <c r="Z23" i="10"/>
  <c r="AK23" i="10"/>
  <c r="AK58" i="10" s="1"/>
  <c r="AK64" i="10" s="1"/>
  <c r="I27" i="10"/>
  <c r="V23" i="10"/>
  <c r="BB23" i="10"/>
  <c r="CE23" i="10"/>
  <c r="CE58" i="10" s="1"/>
  <c r="CE64" i="10" s="1"/>
  <c r="BA23" i="10"/>
  <c r="M23" i="10"/>
  <c r="Y23" i="10"/>
  <c r="J27" i="10"/>
  <c r="BE27" i="10"/>
  <c r="AF23" i="10"/>
  <c r="AF58" i="10" s="1"/>
  <c r="AF64" i="10" s="1"/>
  <c r="AF27" i="10"/>
  <c r="BX23" i="10"/>
  <c r="BX58" i="10" s="1"/>
  <c r="BX64" i="10" s="1"/>
  <c r="BX27" i="10"/>
  <c r="BI97" i="10"/>
  <c r="E97" i="10"/>
  <c r="CB27" i="10"/>
  <c r="CB23" i="10"/>
  <c r="CB58" i="10" s="1"/>
  <c r="CB64" i="10" s="1"/>
  <c r="P27" i="10"/>
  <c r="P23" i="10"/>
  <c r="P58" i="10" s="1"/>
  <c r="P64" i="10" s="1"/>
  <c r="AM27" i="10"/>
  <c r="AM23" i="10"/>
  <c r="AM58" i="10" s="1"/>
  <c r="AM64" i="10" s="1"/>
  <c r="BP27" i="10"/>
  <c r="BP23" i="10"/>
  <c r="BP58" i="10" s="1"/>
  <c r="BP64" i="10" s="1"/>
  <c r="D27" i="10"/>
  <c r="D23" i="10"/>
  <c r="D58" i="10" s="1"/>
  <c r="D64" i="10" s="1"/>
  <c r="AG97" i="10"/>
  <c r="J97" i="10"/>
  <c r="BT27" i="10"/>
  <c r="BT23" i="10"/>
  <c r="BT58" i="10" s="1"/>
  <c r="BT64" i="10" s="1"/>
  <c r="H27" i="10"/>
  <c r="H23" i="10"/>
  <c r="H58" i="10" s="1"/>
  <c r="H64" i="10" s="1"/>
  <c r="AE23" i="10"/>
  <c r="AE58" i="10" s="1"/>
  <c r="AE64" i="10" s="1"/>
  <c r="AE27" i="10"/>
  <c r="BH27" i="10"/>
  <c r="BH23" i="10"/>
  <c r="BH58" i="10" s="1"/>
  <c r="BH64" i="10" s="1"/>
  <c r="CO97" i="10"/>
  <c r="CM97" i="10"/>
  <c r="BF97" i="10"/>
  <c r="BJ97" i="10"/>
  <c r="K97" i="10"/>
  <c r="F97" i="10"/>
  <c r="AW97" i="10"/>
  <c r="AQ97" i="10"/>
  <c r="BL23" i="10"/>
  <c r="BL58" i="10" s="1"/>
  <c r="BL64" i="10" s="1"/>
  <c r="BL27" i="10"/>
  <c r="CI27" i="10"/>
  <c r="CI23" i="10"/>
  <c r="CI58" i="10" s="1"/>
  <c r="CI64" i="10" s="1"/>
  <c r="W27" i="10"/>
  <c r="W23" i="10"/>
  <c r="W58" i="10" s="1"/>
  <c r="W64" i="10" s="1"/>
  <c r="AZ23" i="10"/>
  <c r="AZ58" i="10" s="1"/>
  <c r="AZ64" i="10" s="1"/>
  <c r="AZ27" i="10"/>
  <c r="AP97" i="10"/>
  <c r="AO97" i="10"/>
  <c r="BU97" i="10"/>
  <c r="AH97" i="10"/>
  <c r="X27" i="10"/>
  <c r="X23" i="10"/>
  <c r="X58" i="10" s="1"/>
  <c r="X64" i="10" s="1"/>
  <c r="T23" i="10"/>
  <c r="T58" i="10" s="1"/>
  <c r="T64" i="10" s="1"/>
  <c r="T27" i="10"/>
  <c r="AU27" i="10"/>
  <c r="AU23" i="10"/>
  <c r="AU58" i="10" s="1"/>
  <c r="AU64" i="10" s="1"/>
  <c r="BG97" i="10"/>
  <c r="BD27" i="10"/>
  <c r="BD23" i="10"/>
  <c r="BD58" i="10" s="1"/>
  <c r="BD64" i="10" s="1"/>
  <c r="O27" i="10"/>
  <c r="O23" i="10"/>
  <c r="O58" i="10" s="1"/>
  <c r="O64" i="10" s="1"/>
  <c r="CC97" i="10"/>
  <c r="CJ97" i="10"/>
  <c r="AA97" i="10"/>
  <c r="AL97" i="10"/>
  <c r="AI97" i="10"/>
  <c r="AV27" i="10"/>
  <c r="AV23" i="10"/>
  <c r="AV58" i="10" s="1"/>
  <c r="AV64" i="10" s="1"/>
  <c r="BS27" i="10"/>
  <c r="BS23" i="10"/>
  <c r="BS58" i="10" s="1"/>
  <c r="BS64" i="10" s="1"/>
  <c r="G27" i="10"/>
  <c r="G23" i="10"/>
  <c r="G58" i="10" s="1"/>
  <c r="G64" i="10" s="1"/>
  <c r="AJ23" i="10"/>
  <c r="AJ58" i="10" s="1"/>
  <c r="AJ64" i="10" s="1"/>
  <c r="AJ27" i="10"/>
  <c r="CD97" i="10"/>
  <c r="CF23" i="10"/>
  <c r="CF58" i="10" s="1"/>
  <c r="CF64" i="10" s="1"/>
  <c r="CF27" i="10"/>
  <c r="L23" i="10"/>
  <c r="L58" i="10" s="1"/>
  <c r="L64" i="10" s="1"/>
  <c r="L27" i="10"/>
  <c r="BE97" i="10"/>
  <c r="CA27" i="10"/>
  <c r="CA23" i="10"/>
  <c r="CA58" i="10" s="1"/>
  <c r="CA64" i="10" s="1"/>
  <c r="AR23" i="10"/>
  <c r="AR58" i="10" s="1"/>
  <c r="AR64" i="10" s="1"/>
  <c r="AR27" i="10"/>
  <c r="AC97" i="10"/>
  <c r="BZ97" i="10"/>
  <c r="CL97" i="10"/>
  <c r="BR97" i="10"/>
  <c r="CH97" i="10"/>
  <c r="AD97" i="10"/>
  <c r="AN23" i="10"/>
  <c r="AN58" i="10" s="1"/>
  <c r="AN64" i="10" s="1"/>
  <c r="AN27" i="10"/>
  <c r="BK23" i="10"/>
  <c r="BK58" i="10" s="1"/>
  <c r="BK64" i="10" s="1"/>
  <c r="BK27" i="10"/>
  <c r="CN27" i="10"/>
  <c r="CN23" i="10"/>
  <c r="CN58" i="10" s="1"/>
  <c r="CN64" i="10" s="1"/>
  <c r="AB27" i="10"/>
  <c r="AB23" i="10"/>
  <c r="AB58" i="10" s="1"/>
  <c r="AB64" i="10" s="1"/>
  <c r="CG97" i="10"/>
  <c r="BY97" i="10"/>
  <c r="BC27" i="10"/>
  <c r="BC23" i="10"/>
  <c r="BC58" i="10" s="1"/>
  <c r="BC64" i="10" s="1"/>
  <c r="BN97" i="10"/>
  <c r="I97" i="10"/>
  <c r="BV97" i="10"/>
  <c r="R97" i="10"/>
  <c r="AX97" i="10" l="1"/>
  <c r="AX58" i="10"/>
  <c r="AX64" i="10" s="1"/>
  <c r="Q97" i="10"/>
  <c r="Q58" i="10"/>
  <c r="Q64" i="10" s="1"/>
  <c r="S97" i="10"/>
  <c r="S134" i="10" s="1"/>
  <c r="S58" i="10"/>
  <c r="S64" i="10" s="1"/>
  <c r="J28" i="10"/>
  <c r="C58" i="10"/>
  <c r="C64" i="10" s="1"/>
  <c r="BB97" i="10"/>
  <c r="BB58" i="10"/>
  <c r="BB64" i="10" s="1"/>
  <c r="N97" i="10"/>
  <c r="N58" i="10"/>
  <c r="N64" i="10" s="1"/>
  <c r="Y97" i="10"/>
  <c r="Y134" i="10" s="1"/>
  <c r="Y58" i="10"/>
  <c r="Y64" i="10" s="1"/>
  <c r="Z97" i="10"/>
  <c r="Z134" i="10" s="1"/>
  <c r="Z58" i="10"/>
  <c r="Z64" i="10" s="1"/>
  <c r="V97" i="10"/>
  <c r="V58" i="10"/>
  <c r="V64" i="10" s="1"/>
  <c r="BW97" i="10"/>
  <c r="BW58" i="10"/>
  <c r="BW64" i="10" s="1"/>
  <c r="M97" i="10"/>
  <c r="M102" i="10" s="1"/>
  <c r="M141" i="10" s="1"/>
  <c r="M58" i="10"/>
  <c r="M64" i="10" s="1"/>
  <c r="U97" i="10"/>
  <c r="U134" i="10" s="1"/>
  <c r="U58" i="10"/>
  <c r="U64" i="10" s="1"/>
  <c r="AY97" i="10"/>
  <c r="AY58" i="10"/>
  <c r="AY64" i="10" s="1"/>
  <c r="BA97" i="10"/>
  <c r="BA58" i="10"/>
  <c r="BA64" i="10" s="1"/>
  <c r="BO97" i="10"/>
  <c r="BO134" i="10" s="1"/>
  <c r="BO58" i="10"/>
  <c r="BO64" i="10" s="1"/>
  <c r="BM97" i="10"/>
  <c r="BM134" i="10" s="1"/>
  <c r="BM58" i="10"/>
  <c r="BM64" i="10" s="1"/>
  <c r="CK97" i="10"/>
  <c r="CK58" i="10"/>
  <c r="CK64" i="10" s="1"/>
  <c r="AT97" i="10"/>
  <c r="AT58" i="10"/>
  <c r="AT64" i="10" s="1"/>
  <c r="AS97" i="10"/>
  <c r="AS134" i="10" s="1"/>
  <c r="AS58" i="10"/>
  <c r="AS64" i="10" s="1"/>
  <c r="BQ97" i="10"/>
  <c r="BQ134" i="10" s="1"/>
  <c r="BQ58" i="10"/>
  <c r="BQ64" i="10" s="1"/>
  <c r="C133" i="10"/>
  <c r="CG59" i="10"/>
  <c r="AR59" i="10"/>
  <c r="BW59" i="10"/>
  <c r="CF59" i="10"/>
  <c r="BI59" i="10"/>
  <c r="AQ59" i="10"/>
  <c r="T59" i="10"/>
  <c r="AC59" i="10"/>
  <c r="AB59" i="10"/>
  <c r="AA59" i="10"/>
  <c r="CE59" i="10"/>
  <c r="BH59" i="10"/>
  <c r="AK59" i="10"/>
  <c r="K59" i="10"/>
  <c r="D59" i="10"/>
  <c r="BY59" i="10"/>
  <c r="BG59" i="10"/>
  <c r="AJ59" i="10"/>
  <c r="AZ59" i="10"/>
  <c r="CM59" i="10"/>
  <c r="BP59" i="10"/>
  <c r="CO59" i="10"/>
  <c r="BX59" i="10"/>
  <c r="AI59" i="10"/>
  <c r="L59" i="10"/>
  <c r="CN59" i="10"/>
  <c r="E59" i="10"/>
  <c r="CI59" i="10"/>
  <c r="AE59" i="10"/>
  <c r="CL59" i="10"/>
  <c r="BC59" i="10"/>
  <c r="P59" i="10"/>
  <c r="I59" i="10"/>
  <c r="AN59" i="10"/>
  <c r="BE59" i="10"/>
  <c r="AW59" i="10"/>
  <c r="AG59" i="10"/>
  <c r="CC59" i="10"/>
  <c r="BU59" i="10"/>
  <c r="AU59" i="10"/>
  <c r="CH59" i="10"/>
  <c r="BV59" i="10"/>
  <c r="AF59" i="10"/>
  <c r="CD59" i="10"/>
  <c r="BK59" i="10"/>
  <c r="BS59" i="10"/>
  <c r="AH59" i="10"/>
  <c r="W59" i="10"/>
  <c r="H59" i="10"/>
  <c r="BD59" i="10"/>
  <c r="AO59" i="10"/>
  <c r="BB59" i="10"/>
  <c r="AX59" i="10"/>
  <c r="BR59" i="10"/>
  <c r="CB59" i="10"/>
  <c r="BZ59" i="10"/>
  <c r="BN59" i="10"/>
  <c r="AD59" i="10"/>
  <c r="R59" i="10"/>
  <c r="BT59" i="10"/>
  <c r="X59" i="10"/>
  <c r="AP59" i="10"/>
  <c r="CA59" i="10"/>
  <c r="AV59" i="10"/>
  <c r="CK59" i="10"/>
  <c r="BJ59" i="10"/>
  <c r="BL59" i="10"/>
  <c r="CJ59" i="10"/>
  <c r="F59" i="10"/>
  <c r="BF59" i="10"/>
  <c r="G59" i="10"/>
  <c r="V59" i="10"/>
  <c r="J59" i="10"/>
  <c r="O59" i="10"/>
  <c r="AM59" i="10"/>
  <c r="AL59" i="10"/>
  <c r="CL96" i="10"/>
  <c r="CF96" i="10"/>
  <c r="AZ96" i="10"/>
  <c r="CI96" i="10"/>
  <c r="BJ96" i="10"/>
  <c r="BJ98" i="10" s="1"/>
  <c r="BJ103" i="10" s="1"/>
  <c r="BJ139" i="10" s="1"/>
  <c r="BO96" i="10"/>
  <c r="W96" i="10"/>
  <c r="BK96" i="10"/>
  <c r="BR96" i="10"/>
  <c r="BR98" i="10" s="1"/>
  <c r="BR103" i="10" s="1"/>
  <c r="BR139" i="10" s="1"/>
  <c r="V96" i="10"/>
  <c r="V98" i="10" s="1"/>
  <c r="V103" i="10" s="1"/>
  <c r="V139" i="10" s="1"/>
  <c r="M96" i="10"/>
  <c r="BT96" i="10"/>
  <c r="BE96" i="10"/>
  <c r="BE98" i="10" s="1"/>
  <c r="BE103" i="10" s="1"/>
  <c r="BE139" i="10" s="1"/>
  <c r="CJ96" i="10"/>
  <c r="CJ98" i="10" s="1"/>
  <c r="CJ103" i="10" s="1"/>
  <c r="CJ139" i="10" s="1"/>
  <c r="CA96" i="10"/>
  <c r="BY96" i="10"/>
  <c r="BY98" i="10" s="1"/>
  <c r="BY103" i="10" s="1"/>
  <c r="BY139" i="10" s="1"/>
  <c r="AV96" i="10"/>
  <c r="AM96" i="10"/>
  <c r="BH96" i="10"/>
  <c r="AP96" i="10"/>
  <c r="AP98" i="10" s="1"/>
  <c r="AP103" i="10" s="1"/>
  <c r="AP139" i="10" s="1"/>
  <c r="BI96" i="10"/>
  <c r="BI98" i="10" s="1"/>
  <c r="BI103" i="10" s="1"/>
  <c r="BI139" i="10" s="1"/>
  <c r="Z96" i="10"/>
  <c r="CD28" i="10"/>
  <c r="AO28" i="10"/>
  <c r="AG96" i="10"/>
  <c r="AG98" i="10" s="1"/>
  <c r="AG103" i="10" s="1"/>
  <c r="AG139" i="10" s="1"/>
  <c r="H96" i="10"/>
  <c r="D96" i="10"/>
  <c r="CB96" i="10"/>
  <c r="AX96" i="10"/>
  <c r="AX98" i="10" s="1"/>
  <c r="AX103" i="10" s="1"/>
  <c r="AX139" i="10" s="1"/>
  <c r="CG96" i="10"/>
  <c r="CG98" i="10" s="1"/>
  <c r="CG103" i="10" s="1"/>
  <c r="CG139" i="10" s="1"/>
  <c r="BR28" i="10"/>
  <c r="Y28" i="10"/>
  <c r="BL96" i="10"/>
  <c r="S96" i="10"/>
  <c r="AU96" i="10"/>
  <c r="AB96" i="10"/>
  <c r="CD96" i="10"/>
  <c r="CD98" i="10" s="1"/>
  <c r="CD103" i="10" s="1"/>
  <c r="CD139" i="10" s="1"/>
  <c r="BV28" i="10"/>
  <c r="BB96" i="10"/>
  <c r="BB98" i="10" s="1"/>
  <c r="BB103" i="10" s="1"/>
  <c r="BB139" i="10" s="1"/>
  <c r="AQ96" i="10"/>
  <c r="AQ98" i="10" s="1"/>
  <c r="AQ103" i="10" s="1"/>
  <c r="AQ139" i="10" s="1"/>
  <c r="N96" i="10"/>
  <c r="N98" i="10" s="1"/>
  <c r="N103" i="10" s="1"/>
  <c r="N139" i="10" s="1"/>
  <c r="CK96" i="10"/>
  <c r="CK98" i="10" s="1"/>
  <c r="CK103" i="10" s="1"/>
  <c r="CK139" i="10" s="1"/>
  <c r="BS96" i="10"/>
  <c r="U96" i="10"/>
  <c r="CG28" i="10"/>
  <c r="AE96" i="10"/>
  <c r="BU96" i="10"/>
  <c r="BU98" i="10" s="1"/>
  <c r="BU103" i="10" s="1"/>
  <c r="BU139" i="10" s="1"/>
  <c r="BD96" i="10"/>
  <c r="AL96" i="10"/>
  <c r="AL98" i="10" s="1"/>
  <c r="AL103" i="10" s="1"/>
  <c r="AL139" i="10" s="1"/>
  <c r="R96" i="10"/>
  <c r="R98" i="10" s="1"/>
  <c r="R103" i="10" s="1"/>
  <c r="R139" i="10" s="1"/>
  <c r="BA96" i="10"/>
  <c r="BA98" i="10" s="1"/>
  <c r="BA103" i="10" s="1"/>
  <c r="BA139" i="10" s="1"/>
  <c r="AK28" i="10"/>
  <c r="CF133" i="10"/>
  <c r="AT133" i="10"/>
  <c r="AE133" i="10"/>
  <c r="AS133" i="10"/>
  <c r="P133" i="10"/>
  <c r="CB133" i="10"/>
  <c r="T133" i="10"/>
  <c r="Q133" i="10"/>
  <c r="CA133" i="10"/>
  <c r="AR133" i="10"/>
  <c r="E133" i="10"/>
  <c r="AJ133" i="10"/>
  <c r="N133" i="10"/>
  <c r="BK133" i="10"/>
  <c r="M133" i="10"/>
  <c r="BY133" i="10"/>
  <c r="AV133" i="10"/>
  <c r="AO133" i="10"/>
  <c r="AB133" i="10"/>
  <c r="BC133" i="10"/>
  <c r="CH133" i="10"/>
  <c r="AZ133" i="10"/>
  <c r="U133" i="10"/>
  <c r="CG133" i="10"/>
  <c r="BD133" i="10"/>
  <c r="AW133" i="10"/>
  <c r="CN133" i="10"/>
  <c r="BQ133" i="10"/>
  <c r="O133" i="10"/>
  <c r="D133" i="10"/>
  <c r="BS133" i="10"/>
  <c r="AC133" i="10"/>
  <c r="CO133" i="10"/>
  <c r="BL133" i="10"/>
  <c r="BM133" i="10"/>
  <c r="G133" i="10"/>
  <c r="AN133" i="10"/>
  <c r="AD133" i="10"/>
  <c r="BR133" i="10"/>
  <c r="AM133" i="10"/>
  <c r="BH133" i="10"/>
  <c r="W133" i="10"/>
  <c r="L133" i="10"/>
  <c r="AK133" i="10"/>
  <c r="H133" i="10"/>
  <c r="BT133" i="10"/>
  <c r="AP133" i="10"/>
  <c r="AL133" i="10"/>
  <c r="F133" i="10"/>
  <c r="BJ133" i="10"/>
  <c r="BP133" i="10"/>
  <c r="BB133" i="10"/>
  <c r="BA133" i="10"/>
  <c r="X133" i="10"/>
  <c r="CJ133" i="10"/>
  <c r="BZ133" i="10"/>
  <c r="AU133" i="10"/>
  <c r="V133" i="10"/>
  <c r="CI133" i="10"/>
  <c r="BX133" i="10"/>
  <c r="BI133" i="10"/>
  <c r="AF133" i="10"/>
  <c r="I133" i="10"/>
  <c r="Z133" i="10"/>
  <c r="AX133" i="10"/>
  <c r="CD133" i="10"/>
  <c r="S133" i="10"/>
  <c r="BU133" i="10"/>
  <c r="R133" i="10"/>
  <c r="AA133" i="10"/>
  <c r="CC133" i="10"/>
  <c r="BF133" i="10"/>
  <c r="AI133" i="10"/>
  <c r="Y133" i="10"/>
  <c r="CK133" i="10"/>
  <c r="BN133" i="10"/>
  <c r="AQ133" i="10"/>
  <c r="AG133" i="10"/>
  <c r="J133" i="10"/>
  <c r="BV133" i="10"/>
  <c r="BW133" i="10"/>
  <c r="CL133" i="10"/>
  <c r="BE133" i="10"/>
  <c r="AH133" i="10"/>
  <c r="K133" i="10"/>
  <c r="BG133" i="10"/>
  <c r="BO133" i="10"/>
  <c r="CE133" i="10"/>
  <c r="CM133" i="10"/>
  <c r="AY133" i="10"/>
  <c r="AS96" i="10"/>
  <c r="C97" i="10"/>
  <c r="C102" i="10" s="1"/>
  <c r="C28" i="10"/>
  <c r="AK97" i="10"/>
  <c r="AK134" i="10" s="1"/>
  <c r="AC28" i="10"/>
  <c r="CE28" i="10"/>
  <c r="CH28" i="10"/>
  <c r="AA28" i="10"/>
  <c r="R28" i="10"/>
  <c r="BJ28" i="10"/>
  <c r="N28" i="10"/>
  <c r="AX28" i="10"/>
  <c r="I96" i="10"/>
  <c r="I98" i="10" s="1"/>
  <c r="I103" i="10" s="1"/>
  <c r="I139" i="10" s="1"/>
  <c r="L96" i="10"/>
  <c r="BX96" i="10"/>
  <c r="CE96" i="10"/>
  <c r="BZ96" i="10"/>
  <c r="BZ98" i="10" s="1"/>
  <c r="BZ103" i="10" s="1"/>
  <c r="BZ139" i="10" s="1"/>
  <c r="BP96" i="10"/>
  <c r="BG96" i="10"/>
  <c r="BG98" i="10" s="1"/>
  <c r="BG103" i="10" s="1"/>
  <c r="BG139" i="10" s="1"/>
  <c r="AW96" i="10"/>
  <c r="AW98" i="10" s="1"/>
  <c r="AW103" i="10" s="1"/>
  <c r="AW139" i="10" s="1"/>
  <c r="AH96" i="10"/>
  <c r="AH98" i="10" s="1"/>
  <c r="AH103" i="10" s="1"/>
  <c r="AH139" i="10" s="1"/>
  <c r="E96" i="10"/>
  <c r="E98" i="10" s="1"/>
  <c r="E103" i="10" s="1"/>
  <c r="E139" i="10" s="1"/>
  <c r="BQ96" i="10"/>
  <c r="BC96" i="10"/>
  <c r="K96" i="10"/>
  <c r="K98" i="10" s="1"/>
  <c r="K103" i="10" s="1"/>
  <c r="K139" i="10" s="1"/>
  <c r="T96" i="10"/>
  <c r="AD96" i="10"/>
  <c r="AD98" i="10" s="1"/>
  <c r="AD103" i="10" s="1"/>
  <c r="AD139" i="10" s="1"/>
  <c r="X96" i="10"/>
  <c r="O96" i="10"/>
  <c r="F96" i="10"/>
  <c r="F98" i="10" s="1"/>
  <c r="F103" i="10" s="1"/>
  <c r="F139" i="10" s="1"/>
  <c r="CM96" i="10"/>
  <c r="CM98" i="10" s="1"/>
  <c r="CM103" i="10" s="1"/>
  <c r="CM139" i="10" s="1"/>
  <c r="CC96" i="10"/>
  <c r="CC98" i="10" s="1"/>
  <c r="CC103" i="10" s="1"/>
  <c r="CC139" i="10" s="1"/>
  <c r="BF96" i="10"/>
  <c r="BF98" i="10" s="1"/>
  <c r="BF103" i="10" s="1"/>
  <c r="BF139" i="10" s="1"/>
  <c r="AC96" i="10"/>
  <c r="AC98" i="10" s="1"/>
  <c r="AC103" i="10" s="1"/>
  <c r="AC139" i="10" s="1"/>
  <c r="CO96" i="10"/>
  <c r="CO98" i="10" s="1"/>
  <c r="CO103" i="10" s="1"/>
  <c r="CO139" i="10" s="1"/>
  <c r="AO96" i="10"/>
  <c r="AO98" i="10" s="1"/>
  <c r="AO103" i="10" s="1"/>
  <c r="AO139" i="10" s="1"/>
  <c r="AR96" i="10"/>
  <c r="AN96" i="10"/>
  <c r="AI96" i="10"/>
  <c r="AI98" i="10" s="1"/>
  <c r="AI103" i="10" s="1"/>
  <c r="AI139" i="10" s="1"/>
  <c r="Y96" i="10"/>
  <c r="P96" i="10"/>
  <c r="G96" i="10"/>
  <c r="CN96" i="10"/>
  <c r="BN96" i="10"/>
  <c r="BN98" i="10" s="1"/>
  <c r="BN103" i="10" s="1"/>
  <c r="BN139" i="10" s="1"/>
  <c r="AK96" i="10"/>
  <c r="CH96" i="10"/>
  <c r="CH98" i="10" s="1"/>
  <c r="CH103" i="10" s="1"/>
  <c r="CH139" i="10" s="1"/>
  <c r="AF96" i="10"/>
  <c r="BM96" i="10"/>
  <c r="BW96" i="10"/>
  <c r="BW98" i="10" s="1"/>
  <c r="BW103" i="10" s="1"/>
  <c r="BW139" i="10" s="1"/>
  <c r="AY96" i="10"/>
  <c r="AY98" i="10" s="1"/>
  <c r="AY103" i="10" s="1"/>
  <c r="AY139" i="10" s="1"/>
  <c r="AT96" i="10"/>
  <c r="AT98" i="10" s="1"/>
  <c r="AT103" i="10" s="1"/>
  <c r="AT139" i="10" s="1"/>
  <c r="AJ96" i="10"/>
  <c r="AA96" i="10"/>
  <c r="AA98" i="10" s="1"/>
  <c r="AA103" i="10" s="1"/>
  <c r="AA139" i="10" s="1"/>
  <c r="Q96" i="10"/>
  <c r="Q98" i="10" s="1"/>
  <c r="Q103" i="10" s="1"/>
  <c r="Q139" i="10" s="1"/>
  <c r="J96" i="10"/>
  <c r="J98" i="10" s="1"/>
  <c r="J103" i="10" s="1"/>
  <c r="J139" i="10" s="1"/>
  <c r="BV96" i="10"/>
  <c r="BV98" i="10" s="1"/>
  <c r="BV103" i="10" s="1"/>
  <c r="BV139" i="10" s="1"/>
  <c r="CE97" i="10"/>
  <c r="CE134" i="10" s="1"/>
  <c r="AS28" i="10"/>
  <c r="BM28" i="10"/>
  <c r="S28" i="10"/>
  <c r="CK28" i="10"/>
  <c r="Q28" i="10"/>
  <c r="I28" i="10"/>
  <c r="BQ28" i="10"/>
  <c r="Z28" i="10"/>
  <c r="CL28" i="10"/>
  <c r="AI28" i="10"/>
  <c r="BW28" i="10"/>
  <c r="AY28" i="10"/>
  <c r="BY28" i="10"/>
  <c r="BO28" i="10"/>
  <c r="CJ28" i="10"/>
  <c r="AW28" i="10"/>
  <c r="CO28" i="10"/>
  <c r="BN28" i="10"/>
  <c r="V28" i="10"/>
  <c r="AD28" i="10"/>
  <c r="BZ28" i="10"/>
  <c r="BE28" i="10"/>
  <c r="AT28" i="10"/>
  <c r="BG28" i="10"/>
  <c r="AH28" i="10"/>
  <c r="AP28" i="10"/>
  <c r="F28" i="10"/>
  <c r="BF28" i="10"/>
  <c r="CC28" i="10"/>
  <c r="AL28" i="10"/>
  <c r="AQ28" i="10"/>
  <c r="K28" i="10"/>
  <c r="AG28" i="10"/>
  <c r="BU28" i="10"/>
  <c r="CM28" i="10"/>
  <c r="E28" i="10"/>
  <c r="BA28" i="10"/>
  <c r="U28" i="10"/>
  <c r="BI28" i="10"/>
  <c r="M28" i="10"/>
  <c r="BB28" i="10"/>
  <c r="I102" i="10"/>
  <c r="I141" i="10" s="1"/>
  <c r="I134" i="10"/>
  <c r="BK97" i="10"/>
  <c r="BK28" i="10"/>
  <c r="AQ134" i="10"/>
  <c r="AQ102" i="10"/>
  <c r="AQ141" i="10" s="1"/>
  <c r="CA97" i="10"/>
  <c r="CA28" i="10"/>
  <c r="W97" i="10"/>
  <c r="W28" i="10"/>
  <c r="AG102" i="10"/>
  <c r="AG141" i="10" s="1"/>
  <c r="AG134" i="10"/>
  <c r="BN134" i="10"/>
  <c r="BN102" i="10"/>
  <c r="BN141" i="10" s="1"/>
  <c r="BY134" i="10"/>
  <c r="BY102" i="10"/>
  <c r="BY141" i="10" s="1"/>
  <c r="CL134" i="10"/>
  <c r="CL102" i="10"/>
  <c r="CL141" i="10" s="1"/>
  <c r="AJ97" i="10"/>
  <c r="AJ28" i="10"/>
  <c r="AA134" i="10"/>
  <c r="AA102" i="10"/>
  <c r="AA141" i="10" s="1"/>
  <c r="AV28" i="10"/>
  <c r="AV97" i="10"/>
  <c r="O97" i="10"/>
  <c r="O28" i="10"/>
  <c r="AU97" i="10"/>
  <c r="AU28" i="10"/>
  <c r="BU102" i="10"/>
  <c r="BU141" i="10" s="1"/>
  <c r="BU134" i="10"/>
  <c r="CM134" i="10"/>
  <c r="CM102" i="10"/>
  <c r="CM141" i="10" s="1"/>
  <c r="CL98" i="10"/>
  <c r="CL103" i="10" s="1"/>
  <c r="CL139" i="10" s="1"/>
  <c r="J134" i="10"/>
  <c r="J102" i="10"/>
  <c r="J141" i="10" s="1"/>
  <c r="D97" i="10"/>
  <c r="D28" i="10"/>
  <c r="CB28" i="10"/>
  <c r="CB97" i="10"/>
  <c r="AO134" i="10"/>
  <c r="AO102" i="10"/>
  <c r="AO141" i="10" s="1"/>
  <c r="H28" i="10"/>
  <c r="H97" i="10"/>
  <c r="E134" i="10"/>
  <c r="E102" i="10"/>
  <c r="E141" i="10" s="1"/>
  <c r="BB134" i="10"/>
  <c r="BB102" i="10"/>
  <c r="BB141" i="10" s="1"/>
  <c r="AR97" i="10"/>
  <c r="AR28" i="10"/>
  <c r="AL134" i="10"/>
  <c r="AL102" i="10"/>
  <c r="AL141" i="10" s="1"/>
  <c r="K134" i="10"/>
  <c r="K102" i="10"/>
  <c r="K141" i="10" s="1"/>
  <c r="AE97" i="10"/>
  <c r="AE28" i="10"/>
  <c r="V134" i="10"/>
  <c r="V102" i="10"/>
  <c r="V141" i="10" s="1"/>
  <c r="AN28" i="10"/>
  <c r="AN97" i="10"/>
  <c r="L97" i="10"/>
  <c r="L28" i="10"/>
  <c r="U102" i="10"/>
  <c r="U141" i="10" s="1"/>
  <c r="T97" i="10"/>
  <c r="T28" i="10"/>
  <c r="BJ134" i="10"/>
  <c r="BJ102" i="10"/>
  <c r="BJ141" i="10" s="1"/>
  <c r="BC97" i="10"/>
  <c r="BC28" i="10"/>
  <c r="AB97" i="10"/>
  <c r="AB28" i="10"/>
  <c r="G97" i="10"/>
  <c r="G28" i="10"/>
  <c r="CJ134" i="10"/>
  <c r="CJ102" i="10"/>
  <c r="CJ141" i="10" s="1"/>
  <c r="X28" i="10"/>
  <c r="X97" i="10"/>
  <c r="CI97" i="10"/>
  <c r="CI28" i="10"/>
  <c r="AW134" i="10"/>
  <c r="AW102" i="10"/>
  <c r="AW141" i="10" s="1"/>
  <c r="AM97" i="10"/>
  <c r="AM28" i="10"/>
  <c r="Q134" i="10"/>
  <c r="Q102" i="10"/>
  <c r="Q141" i="10" s="1"/>
  <c r="AZ97" i="10"/>
  <c r="AZ28" i="10"/>
  <c r="BA134" i="10"/>
  <c r="BA102" i="10"/>
  <c r="BA141" i="10" s="1"/>
  <c r="R134" i="10"/>
  <c r="R102" i="10"/>
  <c r="R141" i="10" s="1"/>
  <c r="N134" i="10"/>
  <c r="N102" i="10"/>
  <c r="N141" i="10" s="1"/>
  <c r="AD134" i="10"/>
  <c r="AD102" i="10"/>
  <c r="AD141" i="10" s="1"/>
  <c r="BZ134" i="10"/>
  <c r="BZ102" i="10"/>
  <c r="BZ141" i="10" s="1"/>
  <c r="BE102" i="10"/>
  <c r="BE141" i="10" s="1"/>
  <c r="BE134" i="10"/>
  <c r="CF97" i="10"/>
  <c r="CF28" i="10"/>
  <c r="AI134" i="10"/>
  <c r="AI102" i="10"/>
  <c r="AI141" i="10" s="1"/>
  <c r="BW102" i="10"/>
  <c r="BW141" i="10" s="1"/>
  <c r="BW134" i="10"/>
  <c r="AY134" i="10"/>
  <c r="AY102" i="10"/>
  <c r="AY141" i="10" s="1"/>
  <c r="BT28" i="10"/>
  <c r="BT97" i="10"/>
  <c r="BI134" i="10"/>
  <c r="BI102" i="10"/>
  <c r="BI141" i="10" s="1"/>
  <c r="BX97" i="10"/>
  <c r="BX28" i="10"/>
  <c r="BP97" i="10"/>
  <c r="BP28" i="10"/>
  <c r="AS102" i="10"/>
  <c r="AS141" i="10" s="1"/>
  <c r="CK134" i="10"/>
  <c r="CK102" i="10"/>
  <c r="CK141" i="10" s="1"/>
  <c r="CN28" i="10"/>
  <c r="CN97" i="10"/>
  <c r="BS97" i="10"/>
  <c r="BS28" i="10"/>
  <c r="CC134" i="10"/>
  <c r="CC102" i="10"/>
  <c r="CC141" i="10" s="1"/>
  <c r="CO134" i="10"/>
  <c r="CO102" i="10"/>
  <c r="CO141" i="10" s="1"/>
  <c r="P28" i="10"/>
  <c r="P97" i="10"/>
  <c r="BR134" i="10"/>
  <c r="BR102" i="10"/>
  <c r="BR141" i="10" s="1"/>
  <c r="AX134" i="10"/>
  <c r="AX102" i="10"/>
  <c r="AX141" i="10" s="1"/>
  <c r="BD28" i="10"/>
  <c r="BD97" i="10"/>
  <c r="BV134" i="10"/>
  <c r="BV102" i="10"/>
  <c r="BV141" i="10" s="1"/>
  <c r="CG134" i="10"/>
  <c r="CG102" i="10"/>
  <c r="CG141" i="10" s="1"/>
  <c r="CH134" i="10"/>
  <c r="CH102" i="10"/>
  <c r="CH141" i="10" s="1"/>
  <c r="AC134" i="10"/>
  <c r="AC102" i="10"/>
  <c r="AC141" i="10" s="1"/>
  <c r="CD134" i="10"/>
  <c r="CD102" i="10"/>
  <c r="CD141" i="10" s="1"/>
  <c r="AT134" i="10"/>
  <c r="AT102" i="10"/>
  <c r="AT141" i="10" s="1"/>
  <c r="BG134" i="10"/>
  <c r="BG102" i="10"/>
  <c r="BG141" i="10" s="1"/>
  <c r="AH134" i="10"/>
  <c r="AH102" i="10"/>
  <c r="AH141" i="10" s="1"/>
  <c r="AP134" i="10"/>
  <c r="AP102" i="10"/>
  <c r="AP141" i="10" s="1"/>
  <c r="BL97" i="10"/>
  <c r="BL28" i="10"/>
  <c r="F134" i="10"/>
  <c r="F102" i="10"/>
  <c r="F141" i="10" s="1"/>
  <c r="BF134" i="10"/>
  <c r="BF102" i="10"/>
  <c r="BF141" i="10" s="1"/>
  <c r="BH97" i="10"/>
  <c r="BH28" i="10"/>
  <c r="AF97" i="10"/>
  <c r="AF28" i="10"/>
  <c r="Q59" i="10" l="1"/>
  <c r="M59" i="10"/>
  <c r="Y59" i="10"/>
  <c r="Z102" i="10"/>
  <c r="Z141" i="10" s="1"/>
  <c r="U98" i="10"/>
  <c r="U103" i="10" s="1"/>
  <c r="U139" i="10" s="1"/>
  <c r="BQ102" i="10"/>
  <c r="BQ141" i="10" s="1"/>
  <c r="BM102" i="10"/>
  <c r="BM141" i="10" s="1"/>
  <c r="BA59" i="10"/>
  <c r="N59" i="10"/>
  <c r="BQ59" i="10"/>
  <c r="BO102" i="10"/>
  <c r="BO141" i="10" s="1"/>
  <c r="Y102" i="10"/>
  <c r="Y141" i="10" s="1"/>
  <c r="AY59" i="10"/>
  <c r="BO59" i="10"/>
  <c r="S102" i="10"/>
  <c r="S141" i="10" s="1"/>
  <c r="AT59" i="10"/>
  <c r="S59" i="10"/>
  <c r="M98" i="10"/>
  <c r="M103" i="10" s="1"/>
  <c r="M139" i="10" s="1"/>
  <c r="BM59" i="10"/>
  <c r="Z59" i="10"/>
  <c r="S98" i="10"/>
  <c r="S103" i="10" s="1"/>
  <c r="S139" i="10" s="1"/>
  <c r="C59" i="10"/>
  <c r="AS98" i="10"/>
  <c r="AS103" i="10" s="1"/>
  <c r="AS139" i="10" s="1"/>
  <c r="M134" i="10"/>
  <c r="M135" i="10" s="1"/>
  <c r="BM98" i="10"/>
  <c r="BM103" i="10" s="1"/>
  <c r="BM139" i="10" s="1"/>
  <c r="Y98" i="10"/>
  <c r="Y103" i="10" s="1"/>
  <c r="Y139" i="10" s="1"/>
  <c r="Z98" i="10"/>
  <c r="Z103" i="10" s="1"/>
  <c r="Z139" i="10" s="1"/>
  <c r="BO98" i="10"/>
  <c r="BO103" i="10" s="1"/>
  <c r="BO139" i="10" s="1"/>
  <c r="U59" i="10"/>
  <c r="BQ98" i="10"/>
  <c r="BQ103" i="10" s="1"/>
  <c r="BQ139" i="10" s="1"/>
  <c r="AS59" i="10"/>
  <c r="CF98" i="10"/>
  <c r="CF103" i="10" s="1"/>
  <c r="CF139" i="10" s="1"/>
  <c r="CI98" i="10"/>
  <c r="CI103" i="10" s="1"/>
  <c r="CI139" i="10" s="1"/>
  <c r="BK98" i="10"/>
  <c r="BK103" i="10" s="1"/>
  <c r="BK139" i="10" s="1"/>
  <c r="W98" i="10"/>
  <c r="W103" i="10" s="1"/>
  <c r="W139" i="10" s="1"/>
  <c r="BT98" i="10"/>
  <c r="BT103" i="10" s="1"/>
  <c r="BT139" i="10" s="1"/>
  <c r="BS98" i="10"/>
  <c r="BS103" i="10" s="1"/>
  <c r="BS139" i="10" s="1"/>
  <c r="BH98" i="10"/>
  <c r="BH103" i="10" s="1"/>
  <c r="BH139" i="10" s="1"/>
  <c r="U135" i="10"/>
  <c r="CA98" i="10"/>
  <c r="CA103" i="10" s="1"/>
  <c r="CA139" i="10" s="1"/>
  <c r="AP135" i="10"/>
  <c r="BY135" i="10"/>
  <c r="H98" i="10"/>
  <c r="H103" i="10" s="1"/>
  <c r="H139" i="10" s="1"/>
  <c r="AA135" i="10"/>
  <c r="AK102" i="10"/>
  <c r="AK141" i="10" s="1"/>
  <c r="AE98" i="10"/>
  <c r="AE103" i="10" s="1"/>
  <c r="AE139" i="10" s="1"/>
  <c r="X98" i="10"/>
  <c r="X103" i="10" s="1"/>
  <c r="X139" i="10" s="1"/>
  <c r="AU98" i="10"/>
  <c r="AU103" i="10" s="1"/>
  <c r="AU139" i="10" s="1"/>
  <c r="CL135" i="10"/>
  <c r="BF135" i="10"/>
  <c r="AR98" i="10"/>
  <c r="AR103" i="10" s="1"/>
  <c r="AR139" i="10" s="1"/>
  <c r="BL98" i="10"/>
  <c r="BL103" i="10" s="1"/>
  <c r="BL139" i="10" s="1"/>
  <c r="CH135" i="10"/>
  <c r="AS135" i="10"/>
  <c r="BM135" i="10"/>
  <c r="BB135" i="10"/>
  <c r="AK98" i="10"/>
  <c r="AK103" i="10" s="1"/>
  <c r="AK139" i="10" s="1"/>
  <c r="AC135" i="10"/>
  <c r="BV135" i="10"/>
  <c r="CB98" i="10"/>
  <c r="CB103" i="10" s="1"/>
  <c r="CB139" i="10" s="1"/>
  <c r="BD98" i="10"/>
  <c r="BD103" i="10" s="1"/>
  <c r="BD139" i="10" s="1"/>
  <c r="CG135" i="10"/>
  <c r="Q135" i="10"/>
  <c r="AB98" i="10"/>
  <c r="AB103" i="10" s="1"/>
  <c r="AB139" i="10" s="1"/>
  <c r="BZ135" i="10"/>
  <c r="Z135" i="10"/>
  <c r="AK135" i="10"/>
  <c r="BQ135" i="10"/>
  <c r="S135" i="10"/>
  <c r="E135" i="10"/>
  <c r="AT135" i="10"/>
  <c r="BE135" i="10"/>
  <c r="AD135" i="10"/>
  <c r="AO135" i="10"/>
  <c r="BJ135" i="10"/>
  <c r="AW135" i="10"/>
  <c r="V135" i="10"/>
  <c r="AY135" i="10"/>
  <c r="CD135" i="10"/>
  <c r="AG135" i="10"/>
  <c r="AX135" i="10"/>
  <c r="CO135" i="10"/>
  <c r="BW135" i="10"/>
  <c r="BU135" i="10"/>
  <c r="AI135" i="10"/>
  <c r="BI135" i="10"/>
  <c r="F135" i="10"/>
  <c r="BA135" i="10"/>
  <c r="N135" i="10"/>
  <c r="J135" i="10"/>
  <c r="BR135" i="10"/>
  <c r="CC135" i="10"/>
  <c r="CJ135" i="10"/>
  <c r="I135" i="10"/>
  <c r="AL135" i="10"/>
  <c r="R135" i="10"/>
  <c r="BG135" i="10"/>
  <c r="CM135" i="10"/>
  <c r="K135" i="10"/>
  <c r="G98" i="10"/>
  <c r="G103" i="10" s="1"/>
  <c r="G139" i="10" s="1"/>
  <c r="CE135" i="10"/>
  <c r="CN98" i="10"/>
  <c r="CN103" i="10" s="1"/>
  <c r="CN139" i="10" s="1"/>
  <c r="Y135" i="10"/>
  <c r="CK135" i="10"/>
  <c r="AH135" i="10"/>
  <c r="BN135" i="10"/>
  <c r="AQ135" i="10"/>
  <c r="BO135" i="10"/>
  <c r="L98" i="10"/>
  <c r="L103" i="10" s="1"/>
  <c r="L139" i="10" s="1"/>
  <c r="AN98" i="10"/>
  <c r="AN103" i="10" s="1"/>
  <c r="AN139" i="10" s="1"/>
  <c r="C141" i="10"/>
  <c r="C134" i="10"/>
  <c r="C135" i="10" s="1"/>
  <c r="C140" i="10" s="1"/>
  <c r="C98" i="10"/>
  <c r="AJ98" i="10"/>
  <c r="AJ103" i="10" s="1"/>
  <c r="AJ139" i="10" s="1"/>
  <c r="CE98" i="10"/>
  <c r="CE103" i="10" s="1"/>
  <c r="CE139" i="10" s="1"/>
  <c r="P98" i="10"/>
  <c r="P103" i="10" s="1"/>
  <c r="P139" i="10" s="1"/>
  <c r="BP98" i="10"/>
  <c r="BP103" i="10" s="1"/>
  <c r="BP139" i="10" s="1"/>
  <c r="CE102" i="10"/>
  <c r="CE141" i="10" s="1"/>
  <c r="BX102" i="10"/>
  <c r="BX141" i="10" s="1"/>
  <c r="BX134" i="10"/>
  <c r="BX135" i="10" s="1"/>
  <c r="BD134" i="10"/>
  <c r="BD135" i="10" s="1"/>
  <c r="BD102" i="10"/>
  <c r="BD141" i="10" s="1"/>
  <c r="G134" i="10"/>
  <c r="G135" i="10" s="1"/>
  <c r="G102" i="10"/>
  <c r="G141" i="10" s="1"/>
  <c r="T102" i="10"/>
  <c r="T141" i="10" s="1"/>
  <c r="T134" i="10"/>
  <c r="T135" i="10" s="1"/>
  <c r="O134" i="10"/>
  <c r="O135" i="10" s="1"/>
  <c r="O102" i="10"/>
  <c r="O141" i="10" s="1"/>
  <c r="AM134" i="10"/>
  <c r="AM135" i="10" s="1"/>
  <c r="AM102" i="10"/>
  <c r="AM141" i="10" s="1"/>
  <c r="D134" i="10"/>
  <c r="D135" i="10" s="1"/>
  <c r="D102" i="10"/>
  <c r="D141" i="10" s="1"/>
  <c r="AM98" i="10"/>
  <c r="AM103" i="10" s="1"/>
  <c r="AM139" i="10" s="1"/>
  <c r="AV134" i="10"/>
  <c r="AV135" i="10" s="1"/>
  <c r="AV102" i="10"/>
  <c r="AV141" i="10" s="1"/>
  <c r="BS134" i="10"/>
  <c r="BS135" i="10" s="1"/>
  <c r="BS102" i="10"/>
  <c r="BS141" i="10" s="1"/>
  <c r="O98" i="10"/>
  <c r="O103" i="10" s="1"/>
  <c r="O139" i="10" s="1"/>
  <c r="CI134" i="10"/>
  <c r="CI135" i="10" s="1"/>
  <c r="CI102" i="10"/>
  <c r="CI141" i="10" s="1"/>
  <c r="AB102" i="10"/>
  <c r="AB141" i="10" s="1"/>
  <c r="AB134" i="10"/>
  <c r="AB135" i="10" s="1"/>
  <c r="AR134" i="10"/>
  <c r="AR135" i="10" s="1"/>
  <c r="AR102" i="10"/>
  <c r="AR141" i="10" s="1"/>
  <c r="D98" i="10"/>
  <c r="D103" i="10" s="1"/>
  <c r="D139" i="10" s="1"/>
  <c r="AV98" i="10"/>
  <c r="AV103" i="10" s="1"/>
  <c r="AV139" i="10" s="1"/>
  <c r="W134" i="10"/>
  <c r="W135" i="10" s="1"/>
  <c r="W102" i="10"/>
  <c r="W141" i="10" s="1"/>
  <c r="CN102" i="10"/>
  <c r="CN141" i="10" s="1"/>
  <c r="CN134" i="10"/>
  <c r="CN135" i="10" s="1"/>
  <c r="AF134" i="10"/>
  <c r="AF135" i="10" s="1"/>
  <c r="AF102" i="10"/>
  <c r="AF141" i="10" s="1"/>
  <c r="BH102" i="10"/>
  <c r="BH141" i="10" s="1"/>
  <c r="BH134" i="10"/>
  <c r="BH135" i="10" s="1"/>
  <c r="BP134" i="10"/>
  <c r="BP135" i="10" s="1"/>
  <c r="BP102" i="10"/>
  <c r="BP141" i="10" s="1"/>
  <c r="CF102" i="10"/>
  <c r="CF141" i="10" s="1"/>
  <c r="CF134" i="10"/>
  <c r="CF135" i="10" s="1"/>
  <c r="T98" i="10"/>
  <c r="T103" i="10" s="1"/>
  <c r="T139" i="10" s="1"/>
  <c r="BC134" i="10"/>
  <c r="BC135" i="10" s="1"/>
  <c r="BC140" i="10" s="1"/>
  <c r="BC102" i="10"/>
  <c r="BC141" i="10" s="1"/>
  <c r="L102" i="10"/>
  <c r="L141" i="10" s="1"/>
  <c r="L134" i="10"/>
  <c r="L135" i="10" s="1"/>
  <c r="AE134" i="10"/>
  <c r="AE135" i="10" s="1"/>
  <c r="AE102" i="10"/>
  <c r="AE141" i="10" s="1"/>
  <c r="BX98" i="10"/>
  <c r="BX103" i="10" s="1"/>
  <c r="BX139" i="10" s="1"/>
  <c r="H134" i="10"/>
  <c r="H135" i="10" s="1"/>
  <c r="H102" i="10"/>
  <c r="H141" i="10" s="1"/>
  <c r="CA134" i="10"/>
  <c r="CA135" i="10" s="1"/>
  <c r="CA102" i="10"/>
  <c r="CA141" i="10" s="1"/>
  <c r="X134" i="10"/>
  <c r="X135" i="10" s="1"/>
  <c r="X102" i="10"/>
  <c r="X141" i="10" s="1"/>
  <c r="BL134" i="10"/>
  <c r="BL135" i="10" s="1"/>
  <c r="BL102" i="10"/>
  <c r="BL141" i="10" s="1"/>
  <c r="P134" i="10"/>
  <c r="P135" i="10" s="1"/>
  <c r="P102" i="10"/>
  <c r="P141" i="10" s="1"/>
  <c r="AZ102" i="10"/>
  <c r="AZ141" i="10" s="1"/>
  <c r="AZ134" i="10"/>
  <c r="AZ135" i="10" s="1"/>
  <c r="AN134" i="10"/>
  <c r="AN135" i="10" s="1"/>
  <c r="AN102" i="10"/>
  <c r="AN141" i="10" s="1"/>
  <c r="BK134" i="10"/>
  <c r="BK135" i="10" s="1"/>
  <c r="BK102" i="10"/>
  <c r="BK141" i="10" s="1"/>
  <c r="AF98" i="10"/>
  <c r="AF103" i="10" s="1"/>
  <c r="AF139" i="10" s="1"/>
  <c r="BT134" i="10"/>
  <c r="BT135" i="10" s="1"/>
  <c r="BT102" i="10"/>
  <c r="BT141" i="10" s="1"/>
  <c r="BC98" i="10"/>
  <c r="BC103" i="10" s="1"/>
  <c r="BC139" i="10" s="1"/>
  <c r="CB134" i="10"/>
  <c r="CB135" i="10" s="1"/>
  <c r="CB102" i="10"/>
  <c r="CB141" i="10" s="1"/>
  <c r="AZ98" i="10"/>
  <c r="AZ103" i="10" s="1"/>
  <c r="AZ139" i="10" s="1"/>
  <c r="AU134" i="10"/>
  <c r="AU135" i="10" s="1"/>
  <c r="AU102" i="10"/>
  <c r="AU141" i="10" s="1"/>
  <c r="AJ102" i="10"/>
  <c r="AJ141" i="10" s="1"/>
  <c r="AJ134" i="10"/>
  <c r="AJ135" i="10" s="1"/>
  <c r="BA63" i="10" l="1"/>
  <c r="AM63" i="10"/>
  <c r="AU63" i="10"/>
  <c r="BB63" i="10"/>
  <c r="AV63" i="10"/>
  <c r="BF63" i="10"/>
  <c r="K63" i="10"/>
  <c r="CG63" i="10"/>
  <c r="AR63" i="10"/>
  <c r="G63" i="10"/>
  <c r="BE63" i="10"/>
  <c r="AI63" i="10"/>
  <c r="CN63" i="10"/>
  <c r="BQ63" i="10"/>
  <c r="AX63" i="10"/>
  <c r="CB63" i="10"/>
  <c r="Z63" i="10"/>
  <c r="M63" i="10"/>
  <c r="BS63" i="10"/>
  <c r="C103" i="10"/>
  <c r="C139" i="10" s="1"/>
  <c r="AE63" i="10"/>
  <c r="AY63" i="10"/>
  <c r="AD63" i="10"/>
  <c r="CL63" i="10"/>
  <c r="CF63" i="10"/>
  <c r="BT63" i="10"/>
  <c r="L63" i="10"/>
  <c r="AC63" i="10"/>
  <c r="AQ63" i="10"/>
  <c r="AP63" i="10"/>
  <c r="BM63" i="10"/>
  <c r="W63" i="10"/>
  <c r="D63" i="10"/>
  <c r="AW63" i="10"/>
  <c r="AG63" i="10"/>
  <c r="BH63" i="10"/>
  <c r="BL63" i="10"/>
  <c r="P63" i="10"/>
  <c r="BP63" i="10"/>
  <c r="S63" i="10"/>
  <c r="F63" i="10"/>
  <c r="U63" i="10"/>
  <c r="BZ63" i="10"/>
  <c r="BV63" i="10"/>
  <c r="AF63" i="10"/>
  <c r="CD63" i="10"/>
  <c r="AJ63" i="10"/>
  <c r="O63" i="10"/>
  <c r="CC63" i="10"/>
  <c r="CH63" i="10"/>
  <c r="AZ63" i="10"/>
  <c r="AL63" i="10"/>
  <c r="T63" i="10"/>
  <c r="CA63" i="10"/>
  <c r="Q63" i="10"/>
  <c r="AO63" i="10"/>
  <c r="R63" i="10"/>
  <c r="BC63" i="10"/>
  <c r="BO63" i="10"/>
  <c r="BR63" i="10"/>
  <c r="AB63" i="10"/>
  <c r="I63" i="10"/>
  <c r="CI63" i="10"/>
  <c r="CM63" i="10"/>
  <c r="C63" i="10"/>
  <c r="AA63" i="10"/>
  <c r="CK63" i="10"/>
  <c r="CE63" i="10"/>
  <c r="BJ63" i="10"/>
  <c r="N63" i="10"/>
  <c r="BI63" i="10"/>
  <c r="X63" i="10"/>
  <c r="BD63" i="10"/>
  <c r="BU63" i="10"/>
  <c r="H63" i="10"/>
  <c r="E63" i="10"/>
  <c r="AN63" i="10"/>
  <c r="BY63" i="10"/>
  <c r="V63" i="10"/>
  <c r="AS63" i="10"/>
  <c r="BG63" i="10"/>
  <c r="J63" i="10"/>
  <c r="BK63" i="10"/>
  <c r="AK63" i="10"/>
  <c r="CJ63" i="10"/>
  <c r="Y63" i="10"/>
  <c r="AH63" i="10"/>
  <c r="BW63" i="10"/>
  <c r="AT63" i="10"/>
  <c r="BN63" i="10"/>
  <c r="BX63" i="10"/>
  <c r="CO63" i="10"/>
  <c r="CJ140" i="10"/>
  <c r="P140" i="10"/>
  <c r="AG140" i="10"/>
  <c r="AI140" i="10"/>
  <c r="Z140" i="10"/>
  <c r="G140" i="10"/>
  <c r="BY140" i="10"/>
  <c r="BB140" i="10"/>
  <c r="J140" i="10"/>
  <c r="I140" i="10"/>
  <c r="BG140" i="10"/>
  <c r="AN140" i="10"/>
  <c r="BQ140" i="10"/>
  <c r="BF140" i="10"/>
  <c r="BU140" i="10"/>
  <c r="AE140" i="10"/>
  <c r="AD140" i="10"/>
  <c r="S140" i="10"/>
  <c r="BM140" i="10"/>
  <c r="X140" i="10"/>
  <c r="L140" i="10"/>
  <c r="BP140" i="10"/>
  <c r="AA140" i="10"/>
  <c r="AU140" i="10"/>
  <c r="AQ140" i="10"/>
  <c r="AP140" i="10"/>
  <c r="W140" i="10"/>
  <c r="CI140" i="10"/>
  <c r="Q140" i="10"/>
  <c r="AX140" i="10"/>
  <c r="R140" i="10"/>
  <c r="K140" i="10"/>
  <c r="BK140" i="10"/>
  <c r="BH140" i="10"/>
  <c r="D140" i="10"/>
  <c r="O140" i="10"/>
  <c r="BD140" i="10"/>
  <c r="BE140" i="10"/>
  <c r="Y140" i="10"/>
  <c r="BZ140" i="10"/>
  <c r="CH140" i="10"/>
  <c r="CB140" i="10"/>
  <c r="BL140" i="10"/>
  <c r="CA140" i="10"/>
  <c r="M140" i="10"/>
  <c r="BX140" i="10"/>
  <c r="AC140" i="10"/>
  <c r="AH140" i="10"/>
  <c r="BJ140" i="10"/>
  <c r="AT140" i="10"/>
  <c r="H140" i="10"/>
  <c r="AF140" i="10"/>
  <c r="AR140" i="10"/>
  <c r="U140" i="10"/>
  <c r="AO140" i="10"/>
  <c r="F140" i="10"/>
  <c r="BI140" i="10"/>
  <c r="CC140" i="10"/>
  <c r="CE140" i="10"/>
  <c r="AJ140" i="10"/>
  <c r="AZ140" i="10"/>
  <c r="N140" i="10"/>
  <c r="BT140" i="10"/>
  <c r="BN140" i="10"/>
  <c r="CF140" i="10"/>
  <c r="CN140" i="10"/>
  <c r="AB140" i="10"/>
  <c r="AV140" i="10"/>
  <c r="AY140" i="10"/>
  <c r="BA140" i="10"/>
  <c r="BO140" i="10"/>
  <c r="AS140" i="10"/>
  <c r="CG140" i="10"/>
  <c r="V140" i="10"/>
  <c r="E140" i="10"/>
  <c r="AW140" i="10"/>
  <c r="CM140" i="10"/>
  <c r="AK140" i="10"/>
  <c r="BS140" i="10"/>
  <c r="AM140" i="10"/>
  <c r="T140" i="10"/>
  <c r="BV140" i="10"/>
  <c r="AL140" i="10"/>
  <c r="CL140" i="10"/>
  <c r="BW140" i="10"/>
  <c r="CK140" i="10"/>
  <c r="CD140" i="10"/>
  <c r="CO140" i="10"/>
  <c r="BR140" i="10"/>
  <c r="D15" i="7"/>
  <c r="E15" i="7"/>
  <c r="F15" i="7"/>
  <c r="G15" i="7"/>
  <c r="H15" i="7"/>
  <c r="D16" i="7" a="1"/>
  <c r="D16" i="7" s="1"/>
  <c r="E16" i="7" a="1"/>
  <c r="E16" i="7" s="1"/>
  <c r="F16" i="7" a="1"/>
  <c r="F16" i="7" s="1"/>
  <c r="G16" i="7" a="1"/>
  <c r="G16" i="7" s="1"/>
  <c r="H16" i="7" a="1"/>
  <c r="H16" i="7" s="1"/>
  <c r="C16" i="7" a="1"/>
  <c r="C16" i="7" s="1"/>
  <c r="B12" i="8"/>
  <c r="B11" i="3"/>
  <c r="C15" i="7"/>
  <c r="B3" i="8"/>
  <c r="B25" i="8" l="1"/>
  <c r="C25" i="8" s="1"/>
  <c r="D25" i="8" s="1"/>
  <c r="E25" i="8" s="1"/>
  <c r="F25" i="8" s="1"/>
  <c r="G25" i="8" s="1"/>
  <c r="H25" i="8" s="1"/>
  <c r="B18" i="8"/>
  <c r="C18" i="8" s="1"/>
  <c r="D18" i="8" s="1"/>
  <c r="E18" i="8" s="1"/>
  <c r="F18" i="8" s="1"/>
  <c r="G18" i="8" s="1"/>
  <c r="H18" i="8" s="1"/>
  <c r="B28" i="8"/>
  <c r="C28" i="8" s="1"/>
  <c r="D28" i="8" s="1"/>
  <c r="E28" i="8" s="1"/>
  <c r="F28" i="8" s="1"/>
  <c r="G28" i="8" s="1"/>
  <c r="H28" i="8" s="1"/>
  <c r="B22" i="8"/>
  <c r="C22" i="8" s="1"/>
  <c r="D22" i="8" s="1"/>
  <c r="E22" i="8" s="1"/>
  <c r="F22" i="8" s="1"/>
  <c r="G22" i="8" s="1"/>
  <c r="H22" i="8" s="1"/>
  <c r="I22" i="8" s="1"/>
  <c r="B20" i="8"/>
  <c r="C20" i="8" s="1"/>
  <c r="D20" i="8" s="1"/>
  <c r="E20" i="8" s="1"/>
  <c r="F20" i="8" s="1"/>
  <c r="G20" i="8" s="1"/>
  <c r="H20" i="8" s="1"/>
  <c r="I20" i="8" s="1"/>
  <c r="B27" i="8"/>
  <c r="C27" i="8" s="1"/>
  <c r="D27" i="8" s="1"/>
  <c r="E27" i="8" s="1"/>
  <c r="F27" i="8" s="1"/>
  <c r="G27" i="8" s="1"/>
  <c r="H27" i="8" s="1"/>
  <c r="I27" i="8" s="1"/>
  <c r="B19" i="8"/>
  <c r="C19" i="8" s="1"/>
  <c r="D19" i="8" s="1"/>
  <c r="E19" i="8" s="1"/>
  <c r="F19" i="8" s="1"/>
  <c r="G19" i="8" s="1"/>
  <c r="H19" i="8" s="1"/>
  <c r="I19" i="8" s="1"/>
  <c r="B21" i="8"/>
  <c r="C21" i="8" s="1"/>
  <c r="D21" i="8" s="1"/>
  <c r="E21" i="8" s="1"/>
  <c r="F21" i="8" s="1"/>
  <c r="G21" i="8" s="1"/>
  <c r="H21" i="8" s="1"/>
  <c r="B29" i="8"/>
  <c r="C29" i="8" s="1"/>
  <c r="D29" i="8" s="1"/>
  <c r="E29" i="8" s="1"/>
  <c r="F29" i="8" s="1"/>
  <c r="G29" i="8" s="1"/>
  <c r="H29" i="8" s="1"/>
  <c r="I29" i="8" s="1"/>
  <c r="B23" i="8"/>
  <c r="C23" i="8" s="1"/>
  <c r="D23" i="8" s="1"/>
  <c r="E23" i="8" s="1"/>
  <c r="F23" i="8" s="1"/>
  <c r="G23" i="8" s="1"/>
  <c r="H23" i="8" s="1"/>
  <c r="B26" i="8"/>
  <c r="C26" i="8" s="1"/>
  <c r="D26" i="8" s="1"/>
  <c r="E26" i="8" s="1"/>
  <c r="F26" i="8" s="1"/>
  <c r="G26" i="8" s="1"/>
  <c r="H26" i="8" s="1"/>
  <c r="I26" i="8" s="1"/>
  <c r="B24" i="8"/>
  <c r="C24" i="8" s="1"/>
  <c r="D24" i="8" s="1"/>
  <c r="E24" i="8" s="1"/>
  <c r="F24" i="8" s="1"/>
  <c r="G24" i="8" s="1"/>
  <c r="H24" i="8" s="1"/>
  <c r="B4" i="8"/>
  <c r="B59" i="8" s="1"/>
  <c r="C59" i="8" s="1"/>
  <c r="D59" i="8" s="1"/>
  <c r="E59" i="8" s="1"/>
  <c r="F59" i="8" s="1"/>
  <c r="G59" i="8" s="1"/>
  <c r="I59" i="8" s="1"/>
  <c r="I24" i="7"/>
  <c r="I18" i="8" l="1"/>
  <c r="B40" i="8"/>
  <c r="C40" i="8" s="1"/>
  <c r="D40" i="8" s="1"/>
  <c r="E40" i="8" s="1"/>
  <c r="F40" i="8" s="1"/>
  <c r="G40" i="8" s="1"/>
  <c r="H40" i="8" s="1"/>
  <c r="I25" i="8"/>
  <c r="B48" i="8"/>
  <c r="C48" i="8" s="1"/>
  <c r="D48" i="8" s="1"/>
  <c r="E48" i="8" s="1"/>
  <c r="F48" i="8" s="1"/>
  <c r="G48" i="8" s="1"/>
  <c r="I48" i="8" s="1"/>
  <c r="B51" i="8"/>
  <c r="C51" i="8" s="1"/>
  <c r="D51" i="8" s="1"/>
  <c r="E51" i="8" s="1"/>
  <c r="F51" i="8" s="1"/>
  <c r="G51" i="8" s="1"/>
  <c r="I51" i="8" s="1"/>
  <c r="B65" i="8"/>
  <c r="C65" i="8" s="1"/>
  <c r="D65" i="8" s="1"/>
  <c r="E65" i="8" s="1"/>
  <c r="F65" i="8" s="1"/>
  <c r="G65" i="8" s="1"/>
  <c r="I65" i="8" s="1"/>
  <c r="I28" i="8"/>
  <c r="I21" i="8"/>
  <c r="I24" i="8"/>
  <c r="B78" i="8"/>
  <c r="C78" i="8" s="1"/>
  <c r="D78" i="8" s="1"/>
  <c r="E78" i="8" s="1"/>
  <c r="F78" i="8" s="1"/>
  <c r="G78" i="8" s="1"/>
  <c r="I78" i="8" s="1"/>
  <c r="I23" i="8"/>
  <c r="B69" i="8"/>
  <c r="C69" i="8" s="1"/>
  <c r="D69" i="8" s="1"/>
  <c r="E69" i="8" s="1"/>
  <c r="F69" i="8" s="1"/>
  <c r="G69" i="8" s="1"/>
  <c r="I69" i="8" s="1"/>
  <c r="B68" i="8"/>
  <c r="C68" i="8" s="1"/>
  <c r="D68" i="8" s="1"/>
  <c r="E68" i="8" s="1"/>
  <c r="F68" i="8" s="1"/>
  <c r="G68" i="8" s="1"/>
  <c r="B67" i="8"/>
  <c r="C67" i="8" s="1"/>
  <c r="D67" i="8" s="1"/>
  <c r="E67" i="8" s="1"/>
  <c r="F67" i="8" s="1"/>
  <c r="G67" i="8" s="1"/>
  <c r="B82" i="8"/>
  <c r="C82" i="8" s="1"/>
  <c r="D82" i="8" s="1"/>
  <c r="E82" i="8" s="1"/>
  <c r="F82" i="8" s="1"/>
  <c r="G82" i="8" s="1"/>
  <c r="B79" i="8"/>
  <c r="C79" i="8" s="1"/>
  <c r="D79" i="8" s="1"/>
  <c r="E79" i="8" s="1"/>
  <c r="F79" i="8" s="1"/>
  <c r="G79" i="8" s="1"/>
  <c r="B60" i="8"/>
  <c r="C60" i="8" s="1"/>
  <c r="D60" i="8" s="1"/>
  <c r="E60" i="8" s="1"/>
  <c r="F60" i="8" s="1"/>
  <c r="G60" i="8" s="1"/>
  <c r="B50" i="8"/>
  <c r="C50" i="8" s="1"/>
  <c r="D50" i="8" s="1"/>
  <c r="E50" i="8" s="1"/>
  <c r="F50" i="8" s="1"/>
  <c r="G50" i="8" s="1"/>
  <c r="B49" i="8"/>
  <c r="C49" i="8" s="1"/>
  <c r="D49" i="8" s="1"/>
  <c r="E49" i="8" s="1"/>
  <c r="F49" i="8" s="1"/>
  <c r="G49" i="8" s="1"/>
  <c r="B62" i="8"/>
  <c r="C62" i="8" s="1"/>
  <c r="D62" i="8" s="1"/>
  <c r="E62" i="8" s="1"/>
  <c r="F62" i="8" s="1"/>
  <c r="G62" i="8" s="1"/>
  <c r="B47" i="8"/>
  <c r="C47" i="8" s="1"/>
  <c r="D47" i="8" s="1"/>
  <c r="E47" i="8" s="1"/>
  <c r="F47" i="8" s="1"/>
  <c r="G47" i="8" s="1"/>
  <c r="H59" i="8"/>
  <c r="B58" i="8"/>
  <c r="C58" i="8" s="1"/>
  <c r="D58" i="8" s="1"/>
  <c r="E58" i="8" s="1"/>
  <c r="F58" i="8" s="1"/>
  <c r="G58" i="8" s="1"/>
  <c r="B43" i="8"/>
  <c r="C43" i="8" s="1"/>
  <c r="D43" i="8" s="1"/>
  <c r="E43" i="8" s="1"/>
  <c r="F43" i="8" s="1"/>
  <c r="G43" i="8" s="1"/>
  <c r="B71" i="8"/>
  <c r="C71" i="8" s="1"/>
  <c r="D71" i="8" s="1"/>
  <c r="E71" i="8" s="1"/>
  <c r="F71" i="8" s="1"/>
  <c r="G71" i="8" s="1"/>
  <c r="B55" i="8"/>
  <c r="C55" i="8" s="1"/>
  <c r="D55" i="8" s="1"/>
  <c r="E55" i="8" s="1"/>
  <c r="F55" i="8" s="1"/>
  <c r="G55" i="8" s="1"/>
  <c r="B30" i="8"/>
  <c r="C30" i="8" s="1"/>
  <c r="D30" i="8" s="1"/>
  <c r="E30" i="8" s="1"/>
  <c r="F30" i="8" s="1"/>
  <c r="G30" i="8" s="1"/>
  <c r="B45" i="8"/>
  <c r="C45" i="8" s="1"/>
  <c r="D45" i="8" s="1"/>
  <c r="E45" i="8" s="1"/>
  <c r="F45" i="8" s="1"/>
  <c r="G45" i="8" s="1"/>
  <c r="B44" i="8"/>
  <c r="C44" i="8" s="1"/>
  <c r="D44" i="8" s="1"/>
  <c r="E44" i="8" s="1"/>
  <c r="F44" i="8" s="1"/>
  <c r="G44" i="8" s="1"/>
  <c r="B36" i="8"/>
  <c r="C36" i="8" s="1"/>
  <c r="D36" i="8" s="1"/>
  <c r="E36" i="8" s="1"/>
  <c r="F36" i="8" s="1"/>
  <c r="G36" i="8" s="1"/>
  <c r="B54" i="8"/>
  <c r="C54" i="8" s="1"/>
  <c r="D54" i="8" s="1"/>
  <c r="E54" i="8" s="1"/>
  <c r="F54" i="8" s="1"/>
  <c r="G54" i="8" s="1"/>
  <c r="B75" i="8"/>
  <c r="C75" i="8" s="1"/>
  <c r="D75" i="8" s="1"/>
  <c r="E75" i="8" s="1"/>
  <c r="F75" i="8" s="1"/>
  <c r="G75" i="8" s="1"/>
  <c r="B38" i="8"/>
  <c r="C38" i="8" s="1"/>
  <c r="D38" i="8" s="1"/>
  <c r="E38" i="8" s="1"/>
  <c r="F38" i="8" s="1"/>
  <c r="G38" i="8" s="1"/>
  <c r="B61" i="8"/>
  <c r="C61" i="8" s="1"/>
  <c r="D61" i="8" s="1"/>
  <c r="E61" i="8" s="1"/>
  <c r="F61" i="8" s="1"/>
  <c r="G61" i="8" s="1"/>
  <c r="B70" i="8"/>
  <c r="C70" i="8" s="1"/>
  <c r="D70" i="8" s="1"/>
  <c r="E70" i="8" s="1"/>
  <c r="F70" i="8" s="1"/>
  <c r="G70" i="8" s="1"/>
  <c r="B33" i="8"/>
  <c r="C33" i="8" s="1"/>
  <c r="D33" i="8" s="1"/>
  <c r="E33" i="8" s="1"/>
  <c r="F33" i="8" s="1"/>
  <c r="G33" i="8" s="1"/>
  <c r="B41" i="8"/>
  <c r="C41" i="8" s="1"/>
  <c r="D41" i="8" s="1"/>
  <c r="E41" i="8" s="1"/>
  <c r="F41" i="8" s="1"/>
  <c r="G41" i="8" s="1"/>
  <c r="B46" i="8"/>
  <c r="C46" i="8" s="1"/>
  <c r="D46" i="8" s="1"/>
  <c r="E46" i="8" s="1"/>
  <c r="F46" i="8" s="1"/>
  <c r="G46" i="8" s="1"/>
  <c r="B31" i="8"/>
  <c r="C31" i="8" s="1"/>
  <c r="D31" i="8" s="1"/>
  <c r="E31" i="8" s="1"/>
  <c r="F31" i="8" s="1"/>
  <c r="G31" i="8" s="1"/>
  <c r="B72" i="8"/>
  <c r="C72" i="8" s="1"/>
  <c r="D72" i="8" s="1"/>
  <c r="E72" i="8" s="1"/>
  <c r="F72" i="8" s="1"/>
  <c r="G72" i="8" s="1"/>
  <c r="B37" i="8"/>
  <c r="C37" i="8" s="1"/>
  <c r="D37" i="8" s="1"/>
  <c r="E37" i="8" s="1"/>
  <c r="F37" i="8" s="1"/>
  <c r="G37" i="8" s="1"/>
  <c r="B39" i="8"/>
  <c r="C39" i="8" s="1"/>
  <c r="D39" i="8" s="1"/>
  <c r="E39" i="8" s="1"/>
  <c r="F39" i="8" s="1"/>
  <c r="G39" i="8" s="1"/>
  <c r="B83" i="8"/>
  <c r="C83" i="8" s="1"/>
  <c r="D83" i="8" s="1"/>
  <c r="E83" i="8" s="1"/>
  <c r="F83" i="8" s="1"/>
  <c r="G83" i="8" s="1"/>
  <c r="B35" i="8"/>
  <c r="C35" i="8" s="1"/>
  <c r="D35" i="8" s="1"/>
  <c r="E35" i="8" s="1"/>
  <c r="F35" i="8" s="1"/>
  <c r="G35" i="8" s="1"/>
  <c r="B53" i="8"/>
  <c r="C53" i="8" s="1"/>
  <c r="D53" i="8" s="1"/>
  <c r="E53" i="8" s="1"/>
  <c r="F53" i="8" s="1"/>
  <c r="G53" i="8" s="1"/>
  <c r="B52" i="8"/>
  <c r="C52" i="8" s="1"/>
  <c r="D52" i="8" s="1"/>
  <c r="E52" i="8" s="1"/>
  <c r="F52" i="8" s="1"/>
  <c r="G52" i="8" s="1"/>
  <c r="B42" i="8"/>
  <c r="C42" i="8" s="1"/>
  <c r="D42" i="8" s="1"/>
  <c r="E42" i="8" s="1"/>
  <c r="F42" i="8" s="1"/>
  <c r="G42" i="8" s="1"/>
  <c r="B74" i="8"/>
  <c r="C74" i="8" s="1"/>
  <c r="D74" i="8" s="1"/>
  <c r="E74" i="8" s="1"/>
  <c r="F74" i="8" s="1"/>
  <c r="G74" i="8" s="1"/>
  <c r="B64" i="8"/>
  <c r="C64" i="8" s="1"/>
  <c r="D64" i="8" s="1"/>
  <c r="E64" i="8" s="1"/>
  <c r="F64" i="8" s="1"/>
  <c r="G64" i="8" s="1"/>
  <c r="B85" i="8"/>
  <c r="C85" i="8" s="1"/>
  <c r="D85" i="8" s="1"/>
  <c r="E85" i="8" s="1"/>
  <c r="F85" i="8" s="1"/>
  <c r="G85" i="8" s="1"/>
  <c r="B34" i="8"/>
  <c r="C34" i="8" s="1"/>
  <c r="D34" i="8" s="1"/>
  <c r="E34" i="8" s="1"/>
  <c r="F34" i="8" s="1"/>
  <c r="G34" i="8" s="1"/>
  <c r="B84" i="8"/>
  <c r="C84" i="8" s="1"/>
  <c r="D84" i="8" s="1"/>
  <c r="E84" i="8" s="1"/>
  <c r="F84" i="8" s="1"/>
  <c r="G84" i="8" s="1"/>
  <c r="B81" i="8"/>
  <c r="C81" i="8" s="1"/>
  <c r="D81" i="8" s="1"/>
  <c r="E81" i="8" s="1"/>
  <c r="F81" i="8" s="1"/>
  <c r="G81" i="8" s="1"/>
  <c r="B32" i="8"/>
  <c r="C32" i="8" s="1"/>
  <c r="D32" i="8" s="1"/>
  <c r="E32" i="8" s="1"/>
  <c r="F32" i="8" s="1"/>
  <c r="G32" i="8" s="1"/>
  <c r="B57" i="8"/>
  <c r="C57" i="8" s="1"/>
  <c r="D57" i="8" s="1"/>
  <c r="E57" i="8" s="1"/>
  <c r="F57" i="8" s="1"/>
  <c r="G57" i="8" s="1"/>
  <c r="B80" i="8"/>
  <c r="C80" i="8" s="1"/>
  <c r="D80" i="8" s="1"/>
  <c r="E80" i="8" s="1"/>
  <c r="F80" i="8" s="1"/>
  <c r="G80" i="8" s="1"/>
  <c r="B63" i="8"/>
  <c r="C63" i="8" s="1"/>
  <c r="D63" i="8" s="1"/>
  <c r="E63" i="8" s="1"/>
  <c r="F63" i="8" s="1"/>
  <c r="G63" i="8" s="1"/>
  <c r="B56" i="8"/>
  <c r="C56" i="8" s="1"/>
  <c r="D56" i="8" s="1"/>
  <c r="E56" i="8" s="1"/>
  <c r="F56" i="8" s="1"/>
  <c r="G56" i="8" s="1"/>
  <c r="B77" i="8"/>
  <c r="C77" i="8" s="1"/>
  <c r="D77" i="8" s="1"/>
  <c r="E77" i="8" s="1"/>
  <c r="F77" i="8" s="1"/>
  <c r="G77" i="8" s="1"/>
  <c r="B76" i="8"/>
  <c r="C76" i="8" s="1"/>
  <c r="D76" i="8" s="1"/>
  <c r="E76" i="8" s="1"/>
  <c r="F76" i="8" s="1"/>
  <c r="G76" i="8" s="1"/>
  <c r="B73" i="8"/>
  <c r="C73" i="8" s="1"/>
  <c r="D73" i="8" s="1"/>
  <c r="E73" i="8" s="1"/>
  <c r="F73" i="8" s="1"/>
  <c r="G73" i="8" s="1"/>
  <c r="B86" i="8"/>
  <c r="C86" i="8" s="1"/>
  <c r="D86" i="8" s="1"/>
  <c r="E86" i="8" s="1"/>
  <c r="F86" i="8" s="1"/>
  <c r="G86" i="8" s="1"/>
  <c r="B66" i="8"/>
  <c r="C66" i="8" s="1"/>
  <c r="D66" i="8" s="1"/>
  <c r="E66" i="8" s="1"/>
  <c r="F66" i="8" s="1"/>
  <c r="G66" i="8" s="1"/>
  <c r="D20" i="7"/>
  <c r="D31" i="7" s="1"/>
  <c r="E20" i="7"/>
  <c r="E31" i="7" s="1"/>
  <c r="F20" i="7"/>
  <c r="F31" i="7" s="1"/>
  <c r="G20" i="7"/>
  <c r="G31" i="7" s="1"/>
  <c r="H20" i="7"/>
  <c r="H31" i="7" s="1"/>
  <c r="C20" i="7"/>
  <c r="C31" i="7" s="1"/>
  <c r="I40" i="8" l="1"/>
  <c r="H51" i="8"/>
  <c r="H65" i="8"/>
  <c r="H48" i="8"/>
  <c r="H78" i="8"/>
  <c r="H68" i="8"/>
  <c r="I68" i="8"/>
  <c r="H69" i="8"/>
  <c r="I66" i="8"/>
  <c r="H66" i="8"/>
  <c r="H37" i="8"/>
  <c r="I37" i="8" s="1"/>
  <c r="H44" i="8"/>
  <c r="I44" i="8" s="1"/>
  <c r="H34" i="8"/>
  <c r="I34" i="8" s="1"/>
  <c r="I49" i="8"/>
  <c r="H49" i="8"/>
  <c r="H32" i="8"/>
  <c r="I32" i="8" s="1"/>
  <c r="H50" i="8"/>
  <c r="I50" i="8"/>
  <c r="I53" i="8"/>
  <c r="H53" i="8"/>
  <c r="H43" i="8"/>
  <c r="I43" i="8" s="1"/>
  <c r="H35" i="8"/>
  <c r="I35" i="8" s="1"/>
  <c r="H31" i="8"/>
  <c r="I31" i="8" s="1"/>
  <c r="I61" i="8"/>
  <c r="H61" i="8"/>
  <c r="I58" i="8"/>
  <c r="H58" i="8"/>
  <c r="H62" i="8"/>
  <c r="I62" i="8"/>
  <c r="H33" i="8"/>
  <c r="I33" i="8" s="1"/>
  <c r="I54" i="8"/>
  <c r="H54" i="8"/>
  <c r="H57" i="8"/>
  <c r="I57" i="8"/>
  <c r="I70" i="8"/>
  <c r="H70" i="8"/>
  <c r="I83" i="8"/>
  <c r="H83" i="8"/>
  <c r="H36" i="8"/>
  <c r="I36" i="8" s="1"/>
  <c r="H47" i="8"/>
  <c r="I47" i="8"/>
  <c r="I60" i="8"/>
  <c r="H60" i="8"/>
  <c r="I63" i="8"/>
  <c r="H63" i="8"/>
  <c r="H41" i="8"/>
  <c r="I41" i="8" s="1"/>
  <c r="I86" i="8"/>
  <c r="H86" i="8"/>
  <c r="I55" i="8"/>
  <c r="H55" i="8"/>
  <c r="I73" i="8"/>
  <c r="H73" i="8"/>
  <c r="H71" i="8"/>
  <c r="I71" i="8"/>
  <c r="I64" i="8"/>
  <c r="H64" i="8"/>
  <c r="I45" i="8"/>
  <c r="H45" i="8"/>
  <c r="H38" i="8"/>
  <c r="I38" i="8" s="1"/>
  <c r="I77" i="8"/>
  <c r="H77" i="8"/>
  <c r="I84" i="8"/>
  <c r="H84" i="8"/>
  <c r="I74" i="8"/>
  <c r="H74" i="8"/>
  <c r="H30" i="8"/>
  <c r="I79" i="8"/>
  <c r="H79" i="8"/>
  <c r="H80" i="8"/>
  <c r="I80" i="8"/>
  <c r="I52" i="8"/>
  <c r="H52" i="8"/>
  <c r="I67" i="8"/>
  <c r="H67" i="8"/>
  <c r="H72" i="8"/>
  <c r="I72" i="8"/>
  <c r="I85" i="8"/>
  <c r="H85" i="8"/>
  <c r="I76" i="8"/>
  <c r="H76" i="8"/>
  <c r="I46" i="8"/>
  <c r="H46" i="8"/>
  <c r="H81" i="8"/>
  <c r="I81" i="8"/>
  <c r="I56" i="8"/>
  <c r="H56" i="8"/>
  <c r="H42" i="8"/>
  <c r="I42" i="8" s="1"/>
  <c r="H39" i="8"/>
  <c r="I39" i="8" s="1"/>
  <c r="H75" i="8"/>
  <c r="I75" i="8"/>
  <c r="H82" i="8"/>
  <c r="I82" i="8"/>
  <c r="B9" i="7"/>
  <c r="B10" i="7"/>
  <c r="B11" i="7"/>
  <c r="B12" i="7"/>
  <c r="B13" i="7"/>
  <c r="B8" i="7"/>
  <c r="D7" i="7"/>
  <c r="E7" i="7"/>
  <c r="F7" i="7"/>
  <c r="G7" i="7"/>
  <c r="H7" i="7"/>
  <c r="C7" i="7"/>
  <c r="C3" i="7"/>
  <c r="I30" i="8" l="1"/>
  <c r="F4" i="8"/>
  <c r="F3" i="8"/>
  <c r="D25" i="7"/>
  <c r="E25" i="7"/>
  <c r="H25" i="7"/>
  <c r="C25" i="7"/>
  <c r="F25" i="7"/>
  <c r="G25" i="7"/>
  <c r="C4" i="7"/>
  <c r="D19" i="7"/>
  <c r="E19" i="7"/>
  <c r="F19" i="7"/>
  <c r="G19" i="7"/>
  <c r="H19" i="7"/>
  <c r="C19" i="7"/>
  <c r="F11" i="7"/>
  <c r="D10" i="7"/>
  <c r="H12" i="7"/>
  <c r="C12" i="7"/>
  <c r="F13" i="7"/>
  <c r="C8" i="7"/>
  <c r="H9" i="7"/>
  <c r="H10" i="7"/>
  <c r="D9" i="7"/>
  <c r="H8" i="7"/>
  <c r="D12" i="7"/>
  <c r="E8" i="7"/>
  <c r="E11" i="7"/>
  <c r="G9" i="7"/>
  <c r="E10" i="7"/>
  <c r="G12" i="7"/>
  <c r="B3" i="3" l="1"/>
  <c r="I25" i="7"/>
  <c r="D23" i="7"/>
  <c r="E23" i="7"/>
  <c r="F23" i="7"/>
  <c r="G23" i="7"/>
  <c r="H23" i="7"/>
  <c r="C23" i="7"/>
  <c r="F12" i="7"/>
  <c r="H11" i="7"/>
  <c r="C13" i="7"/>
  <c r="F8" i="7"/>
  <c r="D13" i="7"/>
  <c r="G11" i="7"/>
  <c r="G10" i="7"/>
  <c r="F9" i="7"/>
  <c r="C10" i="7"/>
  <c r="C11" i="7"/>
  <c r="E13" i="7"/>
  <c r="G8" i="7"/>
  <c r="E9" i="7"/>
  <c r="D8" i="7"/>
  <c r="E12" i="7"/>
  <c r="F10" i="7"/>
  <c r="C9" i="7"/>
  <c r="H13" i="7"/>
  <c r="D11" i="7"/>
  <c r="G13" i="7"/>
  <c r="I26" i="7" l="1" a="1"/>
  <c r="I26" i="7" s="1"/>
  <c r="I27" i="7" s="1"/>
  <c r="I29" i="7" s="1"/>
  <c r="B36" i="3"/>
  <c r="C36" i="3" s="1"/>
  <c r="D36" i="3" s="1"/>
  <c r="E36" i="3" s="1"/>
  <c r="F36" i="3" s="1"/>
  <c r="G36" i="3" s="1"/>
  <c r="B44" i="3"/>
  <c r="C44" i="3" s="1"/>
  <c r="D44" i="3" s="1"/>
  <c r="E44" i="3" s="1"/>
  <c r="F44" i="3" s="1"/>
  <c r="G44" i="3" s="1"/>
  <c r="I46" i="3"/>
  <c r="H49" i="3"/>
  <c r="H51" i="3"/>
  <c r="H53" i="3"/>
  <c r="H55" i="3"/>
  <c r="H57" i="3"/>
  <c r="H59" i="3"/>
  <c r="H61" i="3"/>
  <c r="H63" i="3"/>
  <c r="H65" i="3"/>
  <c r="H67" i="3"/>
  <c r="H69" i="3"/>
  <c r="I72" i="3"/>
  <c r="I74" i="3"/>
  <c r="I76" i="3"/>
  <c r="I78" i="3"/>
  <c r="H80" i="3"/>
  <c r="B82" i="3"/>
  <c r="C82" i="3" s="1"/>
  <c r="D82" i="3" s="1"/>
  <c r="E82" i="3" s="1"/>
  <c r="F82" i="3" s="1"/>
  <c r="G82" i="3" s="1"/>
  <c r="B17" i="3"/>
  <c r="C17" i="3" s="1"/>
  <c r="D17" i="3" s="1"/>
  <c r="E17" i="3" s="1"/>
  <c r="F17" i="3" s="1"/>
  <c r="G17" i="3" s="1"/>
  <c r="B22" i="3"/>
  <c r="B31" i="3"/>
  <c r="C31" i="3" s="1"/>
  <c r="D31" i="3" s="1"/>
  <c r="E31" i="3" s="1"/>
  <c r="F31" i="3" s="1"/>
  <c r="G31" i="3" s="1"/>
  <c r="B39" i="3"/>
  <c r="C39" i="3" s="1"/>
  <c r="D39" i="3" s="1"/>
  <c r="E39" i="3" s="1"/>
  <c r="F39" i="3" s="1"/>
  <c r="G39" i="3" s="1"/>
  <c r="H44" i="3"/>
  <c r="B47" i="3"/>
  <c r="C47" i="3" s="1"/>
  <c r="D47" i="3" s="1"/>
  <c r="E47" i="3" s="1"/>
  <c r="F47" i="3" s="1"/>
  <c r="G47" i="3" s="1"/>
  <c r="I49" i="3"/>
  <c r="I51" i="3"/>
  <c r="I53" i="3"/>
  <c r="I55" i="3"/>
  <c r="I57" i="3"/>
  <c r="I59" i="3"/>
  <c r="I61" i="3"/>
  <c r="I63" i="3"/>
  <c r="I65" i="3"/>
  <c r="I67" i="3"/>
  <c r="I69" i="3"/>
  <c r="H71" i="3"/>
  <c r="B73" i="3"/>
  <c r="C73" i="3" s="1"/>
  <c r="D73" i="3" s="1"/>
  <c r="E73" i="3" s="1"/>
  <c r="F73" i="3" s="1"/>
  <c r="G73" i="3" s="1"/>
  <c r="B75" i="3"/>
  <c r="C75" i="3" s="1"/>
  <c r="D75" i="3" s="1"/>
  <c r="E75" i="3" s="1"/>
  <c r="F75" i="3" s="1"/>
  <c r="G75" i="3" s="1"/>
  <c r="B77" i="3"/>
  <c r="C77" i="3" s="1"/>
  <c r="D77" i="3" s="1"/>
  <c r="E77" i="3" s="1"/>
  <c r="F77" i="3" s="1"/>
  <c r="G77" i="3" s="1"/>
  <c r="B79" i="3"/>
  <c r="C79" i="3" s="1"/>
  <c r="D79" i="3" s="1"/>
  <c r="E79" i="3" s="1"/>
  <c r="F79" i="3" s="1"/>
  <c r="G79" i="3" s="1"/>
  <c r="I80" i="3"/>
  <c r="B24" i="3"/>
  <c r="C24" i="3" s="1"/>
  <c r="D24" i="3" s="1"/>
  <c r="E24" i="3" s="1"/>
  <c r="F24" i="3" s="1"/>
  <c r="G24" i="3" s="1"/>
  <c r="B27" i="3"/>
  <c r="C27" i="3" s="1"/>
  <c r="D27" i="3" s="1"/>
  <c r="E27" i="3" s="1"/>
  <c r="F27" i="3" s="1"/>
  <c r="G27" i="3" s="1"/>
  <c r="B34" i="3"/>
  <c r="C34" i="3" s="1"/>
  <c r="D34" i="3" s="1"/>
  <c r="E34" i="3" s="1"/>
  <c r="F34" i="3" s="1"/>
  <c r="G34" i="3" s="1"/>
  <c r="B42" i="3"/>
  <c r="C42" i="3" s="1"/>
  <c r="D42" i="3" s="1"/>
  <c r="E42" i="3" s="1"/>
  <c r="F42" i="3" s="1"/>
  <c r="G42" i="3" s="1"/>
  <c r="I44" i="3"/>
  <c r="H47" i="3"/>
  <c r="B50" i="3"/>
  <c r="C50" i="3" s="1"/>
  <c r="D50" i="3" s="1"/>
  <c r="E50" i="3" s="1"/>
  <c r="F50" i="3" s="1"/>
  <c r="G50" i="3" s="1"/>
  <c r="B52" i="3"/>
  <c r="C52" i="3" s="1"/>
  <c r="D52" i="3" s="1"/>
  <c r="E52" i="3" s="1"/>
  <c r="F52" i="3" s="1"/>
  <c r="G52" i="3" s="1"/>
  <c r="B54" i="3"/>
  <c r="C54" i="3" s="1"/>
  <c r="D54" i="3" s="1"/>
  <c r="E54" i="3" s="1"/>
  <c r="F54" i="3" s="1"/>
  <c r="G54" i="3" s="1"/>
  <c r="B56" i="3"/>
  <c r="C56" i="3" s="1"/>
  <c r="D56" i="3" s="1"/>
  <c r="E56" i="3" s="1"/>
  <c r="F56" i="3" s="1"/>
  <c r="G56" i="3" s="1"/>
  <c r="B58" i="3"/>
  <c r="C58" i="3" s="1"/>
  <c r="D58" i="3" s="1"/>
  <c r="E58" i="3" s="1"/>
  <c r="F58" i="3" s="1"/>
  <c r="G58" i="3" s="1"/>
  <c r="B60" i="3"/>
  <c r="C60" i="3" s="1"/>
  <c r="D60" i="3" s="1"/>
  <c r="E60" i="3" s="1"/>
  <c r="F60" i="3" s="1"/>
  <c r="G60" i="3" s="1"/>
  <c r="B62" i="3"/>
  <c r="C62" i="3" s="1"/>
  <c r="D62" i="3" s="1"/>
  <c r="E62" i="3" s="1"/>
  <c r="F62" i="3" s="1"/>
  <c r="G62" i="3" s="1"/>
  <c r="B64" i="3"/>
  <c r="C64" i="3" s="1"/>
  <c r="D64" i="3" s="1"/>
  <c r="E64" i="3" s="1"/>
  <c r="F64" i="3" s="1"/>
  <c r="G64" i="3" s="1"/>
  <c r="B66" i="3"/>
  <c r="C66" i="3" s="1"/>
  <c r="D66" i="3" s="1"/>
  <c r="E66" i="3" s="1"/>
  <c r="F66" i="3" s="1"/>
  <c r="G66" i="3" s="1"/>
  <c r="B68" i="3"/>
  <c r="C68" i="3" s="1"/>
  <c r="D68" i="3" s="1"/>
  <c r="E68" i="3" s="1"/>
  <c r="F68" i="3" s="1"/>
  <c r="G68" i="3" s="1"/>
  <c r="B70" i="3"/>
  <c r="C70" i="3" s="1"/>
  <c r="D70" i="3" s="1"/>
  <c r="E70" i="3" s="1"/>
  <c r="F70" i="3" s="1"/>
  <c r="G70" i="3" s="1"/>
  <c r="I71" i="3"/>
  <c r="H73" i="3"/>
  <c r="H77" i="3"/>
  <c r="B18" i="3"/>
  <c r="C18" i="3" s="1"/>
  <c r="D18" i="3" s="1"/>
  <c r="E18" i="3" s="1"/>
  <c r="F18" i="3" s="1"/>
  <c r="G18" i="3" s="1"/>
  <c r="B29" i="3"/>
  <c r="C29" i="3" s="1"/>
  <c r="D29" i="3" s="1"/>
  <c r="E29" i="3" s="1"/>
  <c r="F29" i="3" s="1"/>
  <c r="G29" i="3" s="1"/>
  <c r="B37" i="3"/>
  <c r="C37" i="3" s="1"/>
  <c r="D37" i="3" s="1"/>
  <c r="E37" i="3" s="1"/>
  <c r="F37" i="3" s="1"/>
  <c r="G37" i="3" s="1"/>
  <c r="B45" i="3"/>
  <c r="C45" i="3" s="1"/>
  <c r="D45" i="3" s="1"/>
  <c r="E45" i="3" s="1"/>
  <c r="F45" i="3" s="1"/>
  <c r="G45" i="3" s="1"/>
  <c r="I47" i="3"/>
  <c r="H50" i="3"/>
  <c r="H54" i="3"/>
  <c r="H58" i="3"/>
  <c r="H62" i="3"/>
  <c r="H66" i="3"/>
  <c r="B72" i="3"/>
  <c r="C72" i="3" s="1"/>
  <c r="D72" i="3" s="1"/>
  <c r="E72" i="3" s="1"/>
  <c r="F72" i="3" s="1"/>
  <c r="G72" i="3" s="1"/>
  <c r="I73" i="3"/>
  <c r="H75" i="3"/>
  <c r="I77" i="3"/>
  <c r="H79" i="3"/>
  <c r="B20" i="3"/>
  <c r="C20" i="3" s="1"/>
  <c r="D20" i="3" s="1"/>
  <c r="E20" i="3" s="1"/>
  <c r="F20" i="3" s="1"/>
  <c r="G20" i="3" s="1"/>
  <c r="B25" i="3"/>
  <c r="C25" i="3" s="1"/>
  <c r="D25" i="3" s="1"/>
  <c r="E25" i="3" s="1"/>
  <c r="F25" i="3" s="1"/>
  <c r="G25" i="3" s="1"/>
  <c r="B40" i="3"/>
  <c r="C40" i="3" s="1"/>
  <c r="D40" i="3" s="1"/>
  <c r="E40" i="3" s="1"/>
  <c r="F40" i="3" s="1"/>
  <c r="G40" i="3" s="1"/>
  <c r="H45" i="3"/>
  <c r="I50" i="3"/>
  <c r="I54" i="3"/>
  <c r="I58" i="3"/>
  <c r="I62" i="3"/>
  <c r="I66" i="3"/>
  <c r="B74" i="3"/>
  <c r="C74" i="3" s="1"/>
  <c r="D74" i="3" s="1"/>
  <c r="E74" i="3" s="1"/>
  <c r="F74" i="3" s="1"/>
  <c r="G74" i="3" s="1"/>
  <c r="B78" i="3"/>
  <c r="C78" i="3" s="1"/>
  <c r="D78" i="3" s="1"/>
  <c r="E78" i="3" s="1"/>
  <c r="F78" i="3" s="1"/>
  <c r="G78" i="3" s="1"/>
  <c r="B81" i="3"/>
  <c r="C81" i="3" s="1"/>
  <c r="D81" i="3" s="1"/>
  <c r="E81" i="3" s="1"/>
  <c r="F81" i="3" s="1"/>
  <c r="G81" i="3" s="1"/>
  <c r="H82" i="3"/>
  <c r="B84" i="3"/>
  <c r="C84" i="3" s="1"/>
  <c r="D84" i="3" s="1"/>
  <c r="E84" i="3" s="1"/>
  <c r="F84" i="3" s="1"/>
  <c r="G84" i="3" s="1"/>
  <c r="B83" i="3"/>
  <c r="C83" i="3" s="1"/>
  <c r="D83" i="3" s="1"/>
  <c r="E83" i="3" s="1"/>
  <c r="F83" i="3" s="1"/>
  <c r="G83" i="3" s="1"/>
  <c r="B71" i="3"/>
  <c r="C71" i="3" s="1"/>
  <c r="D71" i="3" s="1"/>
  <c r="E71" i="3" s="1"/>
  <c r="F71" i="3" s="1"/>
  <c r="G71" i="3" s="1"/>
  <c r="H56" i="3"/>
  <c r="I81" i="3"/>
  <c r="B23" i="3"/>
  <c r="C23" i="3" s="1"/>
  <c r="D23" i="3" s="1"/>
  <c r="E23" i="3" s="1"/>
  <c r="F23" i="3" s="1"/>
  <c r="G23" i="3" s="1"/>
  <c r="B43" i="3"/>
  <c r="C43" i="3" s="1"/>
  <c r="D43" i="3" s="1"/>
  <c r="E43" i="3" s="1"/>
  <c r="F43" i="3" s="1"/>
  <c r="G43" i="3" s="1"/>
  <c r="H60" i="3"/>
  <c r="B76" i="3"/>
  <c r="C76" i="3" s="1"/>
  <c r="D76" i="3" s="1"/>
  <c r="E76" i="3" s="1"/>
  <c r="F76" i="3" s="1"/>
  <c r="G76" i="3" s="1"/>
  <c r="I52" i="3"/>
  <c r="B65" i="3"/>
  <c r="C65" i="3" s="1"/>
  <c r="D65" i="3" s="1"/>
  <c r="E65" i="3" s="1"/>
  <c r="F65" i="3" s="1"/>
  <c r="G65" i="3" s="1"/>
  <c r="B19" i="3"/>
  <c r="C19" i="3" s="1"/>
  <c r="D19" i="3" s="1"/>
  <c r="E19" i="3" s="1"/>
  <c r="F19" i="3" s="1"/>
  <c r="G19" i="3" s="1"/>
  <c r="B61" i="3"/>
  <c r="C61" i="3" s="1"/>
  <c r="D61" i="3" s="1"/>
  <c r="E61" i="3" s="1"/>
  <c r="F61" i="3" s="1"/>
  <c r="G61" i="3" s="1"/>
  <c r="H76" i="3"/>
  <c r="I83" i="3"/>
  <c r="B35" i="3"/>
  <c r="C35" i="3" s="1"/>
  <c r="D35" i="3" s="1"/>
  <c r="E35" i="3" s="1"/>
  <c r="F35" i="3" s="1"/>
  <c r="G35" i="3" s="1"/>
  <c r="I45" i="3"/>
  <c r="B51" i="3"/>
  <c r="C51" i="3" s="1"/>
  <c r="D51" i="3" s="1"/>
  <c r="E51" i="3" s="1"/>
  <c r="F51" i="3" s="1"/>
  <c r="G51" i="3" s="1"/>
  <c r="B55" i="3"/>
  <c r="C55" i="3" s="1"/>
  <c r="D55" i="3" s="1"/>
  <c r="E55" i="3" s="1"/>
  <c r="F55" i="3" s="1"/>
  <c r="G55" i="3" s="1"/>
  <c r="B59" i="3"/>
  <c r="C59" i="3" s="1"/>
  <c r="D59" i="3" s="1"/>
  <c r="E59" i="3" s="1"/>
  <c r="F59" i="3" s="1"/>
  <c r="G59" i="3" s="1"/>
  <c r="B63" i="3"/>
  <c r="C63" i="3" s="1"/>
  <c r="D63" i="3" s="1"/>
  <c r="E63" i="3" s="1"/>
  <c r="F63" i="3" s="1"/>
  <c r="G63" i="3" s="1"/>
  <c r="B67" i="3"/>
  <c r="C67" i="3" s="1"/>
  <c r="D67" i="3" s="1"/>
  <c r="E67" i="3" s="1"/>
  <c r="F67" i="3" s="1"/>
  <c r="G67" i="3" s="1"/>
  <c r="H70" i="3"/>
  <c r="I82" i="3"/>
  <c r="H78" i="3"/>
  <c r="I75" i="3"/>
  <c r="H84" i="3"/>
  <c r="H52" i="3"/>
  <c r="H68" i="3"/>
  <c r="I60" i="3"/>
  <c r="B85" i="3"/>
  <c r="C85" i="3" s="1"/>
  <c r="D85" i="3" s="1"/>
  <c r="E85" i="3" s="1"/>
  <c r="F85" i="3" s="1"/>
  <c r="G85" i="3" s="1"/>
  <c r="B33" i="3"/>
  <c r="C33" i="3" s="1"/>
  <c r="D33" i="3" s="1"/>
  <c r="E33" i="3" s="1"/>
  <c r="F33" i="3" s="1"/>
  <c r="G33" i="3" s="1"/>
  <c r="B53" i="3"/>
  <c r="C53" i="3" s="1"/>
  <c r="D53" i="3" s="1"/>
  <c r="E53" i="3" s="1"/>
  <c r="F53" i="3" s="1"/>
  <c r="G53" i="3" s="1"/>
  <c r="H72" i="3"/>
  <c r="B21" i="3"/>
  <c r="C21" i="3" s="1"/>
  <c r="D21" i="3" s="1"/>
  <c r="E21" i="3" s="1"/>
  <c r="F21" i="3" s="1"/>
  <c r="G21" i="3" s="1"/>
  <c r="B30" i="3"/>
  <c r="C30" i="3" s="1"/>
  <c r="D30" i="3" s="1"/>
  <c r="E30" i="3" s="1"/>
  <c r="F30" i="3" s="1"/>
  <c r="G30" i="3" s="1"/>
  <c r="B46" i="3"/>
  <c r="C46" i="3" s="1"/>
  <c r="D46" i="3" s="1"/>
  <c r="E46" i="3" s="1"/>
  <c r="F46" i="3" s="1"/>
  <c r="G46" i="3" s="1"/>
  <c r="I70" i="3"/>
  <c r="H85" i="3"/>
  <c r="H81" i="3"/>
  <c r="I85" i="3"/>
  <c r="B32" i="3"/>
  <c r="C32" i="3" s="1"/>
  <c r="D32" i="3" s="1"/>
  <c r="E32" i="3" s="1"/>
  <c r="F32" i="3" s="1"/>
  <c r="G32" i="3" s="1"/>
  <c r="B48" i="3"/>
  <c r="C48" i="3" s="1"/>
  <c r="D48" i="3" s="1"/>
  <c r="E48" i="3" s="1"/>
  <c r="F48" i="3" s="1"/>
  <c r="G48" i="3" s="1"/>
  <c r="H64" i="3"/>
  <c r="I79" i="3"/>
  <c r="H48" i="3"/>
  <c r="I64" i="3"/>
  <c r="B80" i="3"/>
  <c r="C80" i="3" s="1"/>
  <c r="D80" i="3" s="1"/>
  <c r="E80" i="3" s="1"/>
  <c r="F80" i="3" s="1"/>
  <c r="G80" i="3" s="1"/>
  <c r="I84" i="3"/>
  <c r="B38" i="3"/>
  <c r="C38" i="3" s="1"/>
  <c r="D38" i="3" s="1"/>
  <c r="E38" i="3" s="1"/>
  <c r="F38" i="3" s="1"/>
  <c r="G38" i="3" s="1"/>
  <c r="B57" i="3"/>
  <c r="C57" i="3" s="1"/>
  <c r="D57" i="3" s="1"/>
  <c r="E57" i="3" s="1"/>
  <c r="F57" i="3" s="1"/>
  <c r="G57" i="3" s="1"/>
  <c r="H83" i="3"/>
  <c r="B26" i="3"/>
  <c r="C26" i="3" s="1"/>
  <c r="D26" i="3" s="1"/>
  <c r="E26" i="3" s="1"/>
  <c r="F26" i="3" s="1"/>
  <c r="G26" i="3" s="1"/>
  <c r="B41" i="3"/>
  <c r="C41" i="3" s="1"/>
  <c r="D41" i="3" s="1"/>
  <c r="E41" i="3" s="1"/>
  <c r="F41" i="3" s="1"/>
  <c r="G41" i="3" s="1"/>
  <c r="H46" i="3"/>
  <c r="H74" i="3"/>
  <c r="I56" i="3"/>
  <c r="B28" i="3"/>
  <c r="C28" i="3" s="1"/>
  <c r="D28" i="3" s="1"/>
  <c r="E28" i="3" s="1"/>
  <c r="F28" i="3" s="1"/>
  <c r="G28" i="3" s="1"/>
  <c r="I48" i="3"/>
  <c r="I68" i="3"/>
  <c r="B49" i="3"/>
  <c r="C49" i="3" s="1"/>
  <c r="D49" i="3" s="1"/>
  <c r="E49" i="3" s="1"/>
  <c r="F49" i="3" s="1"/>
  <c r="G49" i="3" s="1"/>
  <c r="B69" i="3"/>
  <c r="C69" i="3" s="1"/>
  <c r="D69" i="3" s="1"/>
  <c r="E69" i="3" s="1"/>
  <c r="F69" i="3" s="1"/>
  <c r="G69" i="3" s="1"/>
  <c r="H21" i="3" l="1"/>
  <c r="I21" i="3" s="1"/>
  <c r="H17" i="3"/>
  <c r="H40" i="3"/>
  <c r="I40" i="3" s="1"/>
  <c r="H35" i="3"/>
  <c r="I35" i="3" s="1"/>
  <c r="H31" i="3"/>
  <c r="I31" i="3" s="1"/>
  <c r="H29" i="3"/>
  <c r="I29" i="3" s="1"/>
  <c r="H27" i="3"/>
  <c r="I27" i="3" s="1"/>
  <c r="H42" i="3"/>
  <c r="I42" i="3" s="1"/>
  <c r="H36" i="3"/>
  <c r="I36" i="3" s="1"/>
  <c r="H26" i="3"/>
  <c r="I26" i="3" s="1"/>
  <c r="H41" i="3"/>
  <c r="I41" i="3" s="1"/>
  <c r="H34" i="3"/>
  <c r="I34" i="3" s="1"/>
  <c r="H28" i="3"/>
  <c r="I28" i="3" s="1"/>
  <c r="H38" i="3"/>
  <c r="I38" i="3" s="1"/>
  <c r="H32" i="3"/>
  <c r="I32" i="3" s="1"/>
  <c r="H43" i="3"/>
  <c r="I43" i="3" s="1"/>
  <c r="H33" i="3"/>
  <c r="I33" i="3" s="1"/>
  <c r="H30" i="3"/>
  <c r="I30" i="3" s="1"/>
  <c r="H37" i="3"/>
  <c r="I37" i="3" s="1"/>
  <c r="H39" i="3"/>
  <c r="I39" i="3" s="1"/>
  <c r="H24" i="3"/>
  <c r="I24" i="3" s="1"/>
  <c r="B6" i="8"/>
  <c r="B8" i="8" a="1"/>
  <c r="B8" i="8" s="1"/>
  <c r="B7" i="8" a="1"/>
  <c r="B7" i="8" s="1"/>
  <c r="B13" i="8"/>
  <c r="H19" i="3"/>
  <c r="I19" i="3" s="1"/>
  <c r="H20" i="3"/>
  <c r="I20" i="3" s="1"/>
  <c r="H25" i="3"/>
  <c r="I25" i="3" s="1"/>
  <c r="H23" i="3"/>
  <c r="I23" i="3" s="1"/>
  <c r="H18" i="3"/>
  <c r="I18" i="3" s="1"/>
  <c r="C22" i="3"/>
  <c r="D22" i="3" s="1"/>
  <c r="E22" i="3" s="1"/>
  <c r="F22" i="3" s="1"/>
  <c r="G22" i="3" s="1"/>
  <c r="I19" i="1" a="1"/>
  <c r="I19" i="1" s="1"/>
  <c r="I20" i="1" s="1"/>
  <c r="H18" i="1"/>
  <c r="G18" i="1"/>
  <c r="F18" i="1"/>
  <c r="E18" i="1"/>
  <c r="D18" i="1"/>
  <c r="C18" i="1"/>
  <c r="I17" i="1"/>
  <c r="H16" i="1"/>
  <c r="G16" i="1"/>
  <c r="F16" i="1"/>
  <c r="E16" i="1"/>
  <c r="D16" i="1"/>
  <c r="C16" i="1"/>
  <c r="I17" i="3" l="1"/>
  <c r="B14" i="8"/>
  <c r="B10" i="8"/>
  <c r="H22" i="3"/>
  <c r="I22" i="3" s="1"/>
  <c r="I18" i="1"/>
  <c r="I22" i="1" s="1"/>
  <c r="F3" i="3" l="1"/>
  <c r="F4" i="3"/>
  <c r="B7" i="3" a="1"/>
  <c r="B7" i="3" s="1"/>
  <c r="B6" i="3" a="1"/>
  <c r="B6" i="3" s="1"/>
  <c r="B5" i="3"/>
  <c r="B9" i="3" l="1"/>
  <c r="B12" i="3"/>
  <c r="B1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<sst xmlns="http://schemas.openxmlformats.org/spreadsheetml/2006/main" count="185" uniqueCount="78">
  <si>
    <t>SIX Asset Portfolio</t>
  </si>
  <si>
    <t>Correl</t>
  </si>
  <si>
    <t>US Large Cap</t>
  </si>
  <si>
    <t>Dev ex US</t>
  </si>
  <si>
    <t>EM</t>
  </si>
  <si>
    <t>UST</t>
  </si>
  <si>
    <t>US IG Corp Bond</t>
  </si>
  <si>
    <t>REITs</t>
  </si>
  <si>
    <t>E Return</t>
  </si>
  <si>
    <t>Volatility</t>
  </si>
  <si>
    <t>Define portfolio objectives and constraints</t>
  </si>
  <si>
    <t>Weights</t>
  </si>
  <si>
    <t>per asset</t>
  </si>
  <si>
    <t>Objective: Max Return</t>
  </si>
  <si>
    <t>Variance</t>
  </si>
  <si>
    <t>For Risk Level: Medium</t>
  </si>
  <si>
    <t>Risk-Free Rate</t>
  </si>
  <si>
    <t>Sharpe Ratio</t>
  </si>
  <si>
    <t>Index</t>
  </si>
  <si>
    <t>Risk Assessment and Performance Metrics</t>
  </si>
  <si>
    <t>Ending Date</t>
  </si>
  <si>
    <t>Annual Portfolio Return</t>
  </si>
  <si>
    <t>Compounded Annual Portfolio Return</t>
  </si>
  <si>
    <t>Annual Volatility of Portfolio</t>
  </si>
  <si>
    <t>Minimum Acceptable Return (MAR)</t>
  </si>
  <si>
    <t>Target Semi-Standard Deviation</t>
  </si>
  <si>
    <t>Sortino Ratio</t>
  </si>
  <si>
    <t>Portfolio Return</t>
  </si>
  <si>
    <t>min(rp-rT, 0)^2</t>
  </si>
  <si>
    <t>Strategic vs Tactical Weight</t>
  </si>
  <si>
    <t>Row #</t>
  </si>
  <si>
    <t>Select a Historic Starting Date</t>
  </si>
  <si>
    <t>Select a Historic Ending Date</t>
  </si>
  <si>
    <t>Strategic Weights</t>
  </si>
  <si>
    <t>Tactical Weights</t>
  </si>
  <si>
    <t>Weight Deviation</t>
  </si>
  <si>
    <t>Risk Assessment and Performance Metrics with TAA Tilt</t>
  </si>
  <si>
    <t>TAA Tilt Effects Starting Date</t>
  </si>
  <si>
    <t>Ending Date 1 Quarter Out</t>
  </si>
  <si>
    <t>Constraint</t>
  </si>
  <si>
    <t>Equity Investment</t>
  </si>
  <si>
    <t>Initial USD Investment</t>
  </si>
  <si>
    <t>Currency Movement</t>
  </si>
  <si>
    <t>Day</t>
  </si>
  <si>
    <t>Fund Performance</t>
  </si>
  <si>
    <t>Number of Shares</t>
  </si>
  <si>
    <t>Value of Investment</t>
  </si>
  <si>
    <t>Value of Investment (USD)</t>
  </si>
  <si>
    <t>Performance (rebased to 100)</t>
  </si>
  <si>
    <t>Hedging With A Future (100% Hedge Ratio)</t>
  </si>
  <si>
    <t>Contract Details</t>
  </si>
  <si>
    <t>Hedging Ratio</t>
  </si>
  <si>
    <t>No contracts to hedge</t>
  </si>
  <si>
    <t xml:space="preserve">Long (+1) / Short (-1) </t>
  </si>
  <si>
    <t>Hedged Value of Portfolio (USD)</t>
  </si>
  <si>
    <t>Fair Value of Future (Day 90 Delivery)</t>
  </si>
  <si>
    <t>Cumulative P&amp;L on Futures Contract</t>
  </si>
  <si>
    <t>Unhedged Value of Portfolio (USD)</t>
  </si>
  <si>
    <t>Unhedged (USD)</t>
  </si>
  <si>
    <t>100% Hedged (USD)</t>
  </si>
  <si>
    <t>Cumulative P&amp;L on Contract</t>
  </si>
  <si>
    <t>0% Hedged (USD)</t>
  </si>
  <si>
    <t>Interest Rates</t>
  </si>
  <si>
    <t>USD rate</t>
  </si>
  <si>
    <t>25% Hedged (USD)</t>
  </si>
  <si>
    <t>Hedging With A Future (25% Hedge Ratio)</t>
  </si>
  <si>
    <t>Hedging With A Future (50% Hedge Ratio)</t>
  </si>
  <si>
    <t>50% Hedged (USD)</t>
  </si>
  <si>
    <t>PORTFOLIO PERFORMANCE UNDER ADDITIONAL HEDGE RATIOS</t>
  </si>
  <si>
    <t>Skewness</t>
  </si>
  <si>
    <t>Kurtosis</t>
  </si>
  <si>
    <t>GBP rate</t>
  </si>
  <si>
    <t>Initial GBP Value</t>
  </si>
  <si>
    <t>Spot USD/GBP</t>
  </si>
  <si>
    <t>Spot GBP/USD</t>
  </si>
  <si>
    <t>NAV of GBP fund</t>
  </si>
  <si>
    <t>Value of Investment (GBP)</t>
  </si>
  <si>
    <t>USD GBP Contract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</si>
</sst>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#,##0_);\(#,##0\);\-\-_)"/>
    <numFmt numFmtId="165" formatCode="0.000000_ ;[Red]\-0.000000\ "/>
    <numFmt numFmtId="166" formatCode="0.000000"/>
    <numFmt numFmtId="167" formatCode="0.0%"/>
    <numFmt numFmtId="168" formatCode="0.0000"/>
    <numFmt numFmtId="169" formatCode="m/d/yyyy;@"/>
    <numFmt numFmtId="170" formatCode="_-* #,##0_-;\-* #,##0_-;_-* &quot;-&quot;??_-;_-@_-"/>
    <numFmt numFmtId="171" formatCode="_-* #,##0_-;\-* #,##0_-;_-* &quot;-&quot;????_-;_-@_-"/>
    <numFmt numFmtId="172" formatCode="_-* #,##0.0000_-;\-* #,##0.0000_-;_-* &quot;-&quot;??_-;_-@_-"/>
    <numFmt numFmtId="176" formatCode="0.000"/>
  </numFmts>
  <fonts count="2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0"/>
      <color rgb="FFFFFFFF"/>
      <name val="Lato"/>
      <family val="2"/>
    </font>
    <font>
      <b/>
      <sz val="8"/>
      <color rgb="FF333333"/>
      <name val="Lato"/>
      <family val="2"/>
    </font>
    <font>
      <b/>
      <sz val="14"/>
      <color rgb="FFFFFFFF"/>
      <name val="Arial"/>
      <family val="2"/>
    </font>
    <font>
      <sz val="14"/>
      <color theme="1"/>
      <name val="Arial"/>
      <family val="2"/>
    </font>
    <font>
      <i/>
      <sz val="14"/>
      <color theme="9" tint="-0.249977111117893"/>
      <name val="Arial"/>
      <family val="2"/>
    </font>
    <font>
      <b/>
      <sz val="14"/>
      <color theme="1"/>
      <name val="Arial"/>
      <family val="2"/>
    </font>
    <font>
      <b/>
      <sz val="14"/>
      <color rgb="FF4476FF"/>
      <name val="Arial"/>
      <family val="2"/>
    </font>
    <font>
      <sz val="14"/>
      <color rgb="FF4476FF"/>
      <name val="Arial"/>
      <family val="2"/>
    </font>
    <font>
      <sz val="14"/>
      <color rgb="FF9C0006"/>
      <name val="Arial"/>
      <family val="2"/>
    </font>
    <font>
      <sz val="14"/>
      <name val="Arial"/>
      <family val="2"/>
    </font>
    <font>
      <b/>
      <sz val="14"/>
      <name val="Arial"/>
      <family val="2"/>
    </font>
    <font>
      <b/>
      <u/>
      <sz val="14"/>
      <color theme="1"/>
      <name val="Arial"/>
      <family val="2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i/>
      <sz val="14"/>
      <name val="Arial"/>
      <family val="2"/>
    </font>
    <font>
      <i/>
      <sz val="14"/>
      <name val="Arial"/>
      <family val="2"/>
    </font>
    <font>
      <sz val="14"/>
      <color theme="0"/>
      <name val="Arial"/>
      <family val="2"/>
    </font>
    <font>
      <sz val="14"/>
      <color rgb="FF00BBFF"/>
      <name val="Arial"/>
      <family val="2"/>
    </font>
    <font>
      <b/>
      <sz val="14"/>
      <color theme="3"/>
      <name val="Arial"/>
      <family val="2"/>
    </font>
    <font>
      <b/>
      <sz val="14"/>
      <color theme="0"/>
      <name val="Arial"/>
      <family val="2"/>
    </font>
    <font>
      <sz val="14"/>
      <color rgb="FFFF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007A87"/>
        <bgColor indexed="64"/>
      </patternFill>
    </fill>
    <fill>
      <patternFill patternType="solid">
        <fgColor rgb="FFF7ECDE"/>
        <bgColor indexed="64"/>
      </patternFill>
    </fill>
    <fill>
      <patternFill patternType="solid">
        <fgColor rgb="FF4476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BFF"/>
        <bgColor indexed="64"/>
      </patternFill>
    </fill>
    <fill>
      <patternFill patternType="solid">
        <fgColor rgb="FF06005A"/>
        <bgColor indexed="64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rgb="FFF5CA27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rgb="FF33333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 tint="-0.14996795556505021"/>
      </left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/>
    </border>
  </borders>
  <cellStyleXfs count="1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164" fontId="3" fillId="3" borderId="0" applyNumberFormat="0" applyBorder="0" applyProtection="0">
      <alignment horizontal="left" vertical="top"/>
      <protection locked="0"/>
    </xf>
    <xf numFmtId="164" fontId="4" fillId="0" borderId="3" applyNumberFormat="0" applyFill="0" applyProtection="0">
      <alignment horizontal="left"/>
      <protection locked="0"/>
    </xf>
    <xf numFmtId="43" fontId="1" fillId="0" borderId="0" applyFont="0" applyFill="0" applyBorder="0" applyAlignment="0" applyProtection="0"/>
    <xf numFmtId="0" fontId="15" fillId="0" borderId="5" applyNumberFormat="0" applyFill="0" applyAlignment="0" applyProtection="0"/>
    <xf numFmtId="0" fontId="16" fillId="9" borderId="6" applyNumberFormat="0" applyAlignment="0" applyProtection="0"/>
    <xf numFmtId="0" fontId="17" fillId="10" borderId="7" applyNumberFormat="0" applyAlignment="0" applyProtection="0"/>
    <xf numFmtId="0" fontId="18" fillId="10" borderId="6" applyNumberFormat="0" applyAlignment="0" applyProtection="0"/>
    <xf numFmtId="0" fontId="19" fillId="0" borderId="8" applyNumberFormat="0" applyFill="0" applyAlignment="0" applyProtection="0"/>
    <xf numFmtId="0" fontId="20" fillId="0" borderId="0" applyNumberFormat="0" applyFill="0" applyBorder="0" applyAlignment="0" applyProtection="0"/>
    <xf numFmtId="0" fontId="1" fillId="11" borderId="0" applyNumberFormat="0" applyBorder="0" applyAlignment="0" applyProtection="0"/>
  </cellStyleXfs>
  <cellXfs count="86">
    <xf numFmtId="0" fontId="0" fillId="0" borderId="0" xfId="0"/>
    <xf numFmtId="164" fontId="5" fillId="8" borderId="0" xfId="3" applyFont="1" applyFill="1">
      <alignment horizontal="left" vertical="top"/>
      <protection locked="0"/>
    </xf>
    <xf numFmtId="0" fontId="6" fillId="0" borderId="0" xfId="0" applyFont="1"/>
    <xf numFmtId="0" fontId="7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8" fillId="5" borderId="0" xfId="0" applyFont="1" applyFill="1"/>
    <xf numFmtId="0" fontId="8" fillId="0" borderId="0" xfId="0" applyFont="1" applyAlignment="1">
      <alignment horizontal="center"/>
    </xf>
    <xf numFmtId="165" fontId="6" fillId="4" borderId="0" xfId="0" applyNumberFormat="1" applyFont="1" applyFill="1" applyAlignment="1">
      <alignment horizontal="center"/>
    </xf>
    <xf numFmtId="0" fontId="8" fillId="0" borderId="0" xfId="0" applyFont="1"/>
    <xf numFmtId="0" fontId="6" fillId="0" borderId="0" xfId="0" applyFont="1" applyAlignment="1">
      <alignment horizontal="center"/>
    </xf>
    <xf numFmtId="10" fontId="6" fillId="0" borderId="0" xfId="1" applyNumberFormat="1" applyFont="1" applyAlignment="1">
      <alignment horizontal="center"/>
    </xf>
    <xf numFmtId="9" fontId="6" fillId="0" borderId="0" xfId="1" applyFont="1"/>
    <xf numFmtId="0" fontId="9" fillId="0" borderId="0" xfId="0" applyFont="1"/>
    <xf numFmtId="0" fontId="6" fillId="0" borderId="1" xfId="0" applyFont="1" applyBorder="1"/>
    <xf numFmtId="0" fontId="8" fillId="0" borderId="1" xfId="0" applyFont="1" applyBorder="1" applyAlignment="1">
      <alignment horizontal="center"/>
    </xf>
    <xf numFmtId="2" fontId="10" fillId="0" borderId="0" xfId="0" applyNumberFormat="1" applyFont="1" applyAlignment="1">
      <alignment horizontal="center"/>
    </xf>
    <xf numFmtId="2" fontId="11" fillId="2" borderId="0" xfId="2" applyNumberFormat="1" applyFont="1" applyAlignment="1">
      <alignment horizontal="center"/>
    </xf>
    <xf numFmtId="0" fontId="6" fillId="4" borderId="0" xfId="0" applyFont="1" applyFill="1"/>
    <xf numFmtId="10" fontId="12" fillId="5" borderId="2" xfId="2" applyNumberFormat="1" applyFont="1" applyFill="1" applyBorder="1" applyAlignment="1">
      <alignment horizontal="center"/>
    </xf>
    <xf numFmtId="0" fontId="12" fillId="5" borderId="0" xfId="0" applyFont="1" applyFill="1"/>
    <xf numFmtId="167" fontId="11" fillId="2" borderId="4" xfId="1" applyNumberFormat="1" applyFont="1" applyFill="1" applyBorder="1" applyAlignment="1">
      <alignment horizontal="center"/>
    </xf>
    <xf numFmtId="0" fontId="6" fillId="7" borderId="0" xfId="0" applyFont="1" applyFill="1" applyAlignment="1">
      <alignment horizontal="right"/>
    </xf>
    <xf numFmtId="9" fontId="11" fillId="2" borderId="0" xfId="2" applyNumberFormat="1" applyFont="1"/>
    <xf numFmtId="0" fontId="8" fillId="0" borderId="4" xfId="0" applyFont="1" applyBorder="1" applyAlignment="1">
      <alignment horizontal="right"/>
    </xf>
    <xf numFmtId="10" fontId="12" fillId="0" borderId="4" xfId="2" applyNumberFormat="1" applyFont="1" applyFill="1" applyBorder="1" applyAlignment="1">
      <alignment horizontal="center"/>
    </xf>
    <xf numFmtId="168" fontId="12" fillId="0" borderId="4" xfId="2" applyNumberFormat="1" applyFont="1" applyFill="1" applyBorder="1" applyAlignment="1">
      <alignment horizontal="center"/>
    </xf>
    <xf numFmtId="0" fontId="6" fillId="0" borderId="0" xfId="0" applyFont="1" applyAlignment="1">
      <alignment horizontal="right"/>
    </xf>
    <xf numFmtId="9" fontId="8" fillId="0" borderId="0" xfId="1" applyFont="1"/>
    <xf numFmtId="10" fontId="8" fillId="0" borderId="0" xfId="0" applyNumberFormat="1" applyFont="1"/>
    <xf numFmtId="4" fontId="8" fillId="0" borderId="0" xfId="0" applyNumberFormat="1" applyFont="1" applyAlignment="1">
      <alignment horizontal="center"/>
    </xf>
    <xf numFmtId="10" fontId="6" fillId="0" borderId="0" xfId="0" applyNumberFormat="1" applyFont="1" applyAlignment="1">
      <alignment horizontal="center"/>
    </xf>
    <xf numFmtId="10" fontId="8" fillId="0" borderId="0" xfId="0" applyNumberFormat="1" applyFont="1" applyAlignment="1">
      <alignment horizontal="right"/>
    </xf>
    <xf numFmtId="168" fontId="8" fillId="0" borderId="0" xfId="5" applyNumberFormat="1" applyFont="1" applyAlignment="1">
      <alignment horizontal="right"/>
    </xf>
    <xf numFmtId="10" fontId="8" fillId="0" borderId="0" xfId="5" applyNumberFormat="1" applyFont="1" applyAlignment="1">
      <alignment horizontal="right"/>
    </xf>
    <xf numFmtId="0" fontId="8" fillId="5" borderId="0" xfId="0" applyFont="1" applyFill="1" applyAlignment="1">
      <alignment horizontal="center"/>
    </xf>
    <xf numFmtId="10" fontId="6" fillId="0" borderId="0" xfId="0" applyNumberFormat="1" applyFont="1"/>
    <xf numFmtId="0" fontId="13" fillId="5" borderId="0" xfId="0" applyFont="1" applyFill="1"/>
    <xf numFmtId="0" fontId="8" fillId="0" borderId="0" xfId="0" applyFont="1" applyAlignment="1">
      <alignment horizontal="right"/>
    </xf>
    <xf numFmtId="10" fontId="14" fillId="0" borderId="0" xfId="1" applyNumberFormat="1" applyFont="1" applyAlignment="1">
      <alignment horizontal="centerContinuous"/>
    </xf>
    <xf numFmtId="0" fontId="14" fillId="0" borderId="0" xfId="0" applyFont="1" applyAlignment="1">
      <alignment horizontal="centerContinuous"/>
    </xf>
    <xf numFmtId="10" fontId="6" fillId="0" borderId="0" xfId="1" applyNumberFormat="1" applyFont="1"/>
    <xf numFmtId="168" fontId="8" fillId="0" borderId="0" xfId="5" applyNumberFormat="1" applyFont="1" applyAlignment="1">
      <alignment horizontal="center"/>
    </xf>
    <xf numFmtId="0" fontId="21" fillId="6" borderId="4" xfId="4" applyNumberFormat="1" applyFont="1" applyFill="1" applyBorder="1" applyAlignment="1" applyProtection="1">
      <alignment horizontal="right"/>
    </xf>
    <xf numFmtId="166" fontId="22" fillId="6" borderId="4" xfId="0" applyNumberFormat="1" applyFont="1" applyFill="1" applyBorder="1"/>
    <xf numFmtId="0" fontId="13" fillId="7" borderId="4" xfId="4" applyNumberFormat="1" applyFont="1" applyFill="1" applyBorder="1" applyAlignment="1" applyProtection="1">
      <alignment horizontal="right"/>
    </xf>
    <xf numFmtId="169" fontId="23" fillId="8" borderId="0" xfId="0" applyNumberFormat="1" applyFont="1" applyFill="1" applyAlignment="1">
      <alignment horizontal="center"/>
    </xf>
    <xf numFmtId="0" fontId="23" fillId="8" borderId="0" xfId="0" applyFont="1" applyFill="1" applyAlignment="1">
      <alignment horizontal="center"/>
    </xf>
    <xf numFmtId="169" fontId="8" fillId="0" borderId="4" xfId="0" applyNumberFormat="1" applyFont="1" applyBorder="1" applyAlignment="1">
      <alignment horizontal="center" vertical="top"/>
    </xf>
    <xf numFmtId="169" fontId="6" fillId="0" borderId="0" xfId="0" applyNumberFormat="1" applyFont="1"/>
    <xf numFmtId="0" fontId="6" fillId="12" borderId="0" xfId="0" applyFont="1" applyFill="1"/>
    <xf numFmtId="0" fontId="12" fillId="12" borderId="0" xfId="0" applyFont="1" applyFill="1"/>
    <xf numFmtId="0" fontId="22" fillId="12" borderId="0" xfId="11" applyFont="1" applyFill="1"/>
    <xf numFmtId="168" fontId="6" fillId="12" borderId="0" xfId="0" applyNumberFormat="1" applyFont="1" applyFill="1" applyAlignment="1">
      <alignment horizontal="right"/>
    </xf>
    <xf numFmtId="2" fontId="6" fillId="12" borderId="0" xfId="0" applyNumberFormat="1" applyFont="1" applyFill="1"/>
    <xf numFmtId="0" fontId="24" fillId="12" borderId="0" xfId="0" applyFont="1" applyFill="1"/>
    <xf numFmtId="0" fontId="13" fillId="12" borderId="0" xfId="0" applyFont="1" applyFill="1"/>
    <xf numFmtId="0" fontId="23" fillId="8" borderId="0" xfId="0" applyFont="1" applyFill="1"/>
    <xf numFmtId="0" fontId="26" fillId="8" borderId="0" xfId="0" applyFont="1" applyFill="1"/>
    <xf numFmtId="0" fontId="8" fillId="12" borderId="0" xfId="0" applyFont="1" applyFill="1"/>
    <xf numFmtId="0" fontId="12" fillId="0" borderId="0" xfId="0" applyFont="1"/>
    <xf numFmtId="0" fontId="10" fillId="12" borderId="0" xfId="0" applyFont="1" applyFill="1"/>
    <xf numFmtId="0" fontId="13" fillId="12" borderId="0" xfId="6" applyFont="1" applyFill="1" applyBorder="1"/>
    <xf numFmtId="0" fontId="22" fillId="12" borderId="9" xfId="11" applyFont="1" applyFill="1" applyBorder="1"/>
    <xf numFmtId="10" fontId="12" fillId="13" borderId="9" xfId="7" applyNumberFormat="1" applyFont="1" applyFill="1" applyBorder="1"/>
    <xf numFmtId="3" fontId="12" fillId="13" borderId="9" xfId="7" applyNumberFormat="1" applyFont="1" applyFill="1" applyBorder="1"/>
    <xf numFmtId="170" fontId="13" fillId="0" borderId="9" xfId="9" applyNumberFormat="1" applyFont="1" applyFill="1" applyBorder="1"/>
    <xf numFmtId="0" fontId="13" fillId="5" borderId="9" xfId="12" applyFont="1" applyFill="1" applyBorder="1"/>
    <xf numFmtId="0" fontId="8" fillId="5" borderId="9" xfId="12" applyFont="1" applyFill="1" applyBorder="1"/>
    <xf numFmtId="168" fontId="12" fillId="13" borderId="9" xfId="7" applyNumberFormat="1" applyFont="1" applyFill="1" applyBorder="1" applyAlignment="1">
      <alignment horizontal="right"/>
    </xf>
    <xf numFmtId="168" fontId="13" fillId="0" borderId="9" xfId="9" applyNumberFormat="1" applyFont="1" applyFill="1" applyBorder="1" applyAlignment="1">
      <alignment horizontal="right"/>
    </xf>
    <xf numFmtId="2" fontId="12" fillId="13" borderId="9" xfId="7" applyNumberFormat="1" applyFont="1" applyFill="1" applyBorder="1" applyAlignment="1">
      <alignment horizontal="right"/>
    </xf>
    <xf numFmtId="171" fontId="13" fillId="0" borderId="9" xfId="9" applyNumberFormat="1" applyFont="1" applyFill="1" applyBorder="1"/>
    <xf numFmtId="170" fontId="12" fillId="0" borderId="9" xfId="8" applyNumberFormat="1" applyFont="1" applyFill="1" applyBorder="1"/>
    <xf numFmtId="0" fontId="25" fillId="12" borderId="0" xfId="6" applyFont="1" applyFill="1" applyBorder="1"/>
    <xf numFmtId="0" fontId="22" fillId="12" borderId="10" xfId="11" applyFont="1" applyFill="1" applyBorder="1"/>
    <xf numFmtId="170" fontId="12" fillId="13" borderId="10" xfId="5" applyNumberFormat="1" applyFont="1" applyFill="1" applyBorder="1"/>
    <xf numFmtId="9" fontId="12" fillId="13" borderId="10" xfId="1" applyFont="1" applyFill="1" applyBorder="1"/>
    <xf numFmtId="170" fontId="13" fillId="0" borderId="10" xfId="9" applyNumberFormat="1" applyFont="1" applyFill="1" applyBorder="1"/>
    <xf numFmtId="0" fontId="6" fillId="12" borderId="10" xfId="0" applyFont="1" applyFill="1" applyBorder="1"/>
    <xf numFmtId="172" fontId="13" fillId="0" borderId="9" xfId="5" applyNumberFormat="1" applyFont="1" applyFill="1" applyBorder="1"/>
    <xf numFmtId="3" fontId="13" fillId="0" borderId="9" xfId="5" applyNumberFormat="1" applyFont="1" applyFill="1" applyBorder="1"/>
    <xf numFmtId="170" fontId="12" fillId="0" borderId="9" xfId="10" applyNumberFormat="1" applyFont="1" applyFill="1" applyBorder="1"/>
    <xf numFmtId="170" fontId="13" fillId="0" borderId="9" xfId="5" applyNumberFormat="1" applyFont="1" applyFill="1" applyBorder="1"/>
    <xf numFmtId="9" fontId="27" fillId="4" borderId="0" xfId="2" applyNumberFormat="1" applyFont="1" applyFill="1" applyAlignment="1">
      <alignment horizontal="center"/>
    </xf>
    <xf numFmtId="169" fontId="8" fillId="0" borderId="0" xfId="0" applyNumberFormat="1" applyFont="1"/>
    <xf numFmtId="176" fontId="8" fillId="0" borderId="0" xfId="0" applyNumberFormat="1" applyFont="1"/>
  </cellXfs>
  <cellStyles count="13">
    <cellStyle name="40% - Accent3" xfId="12" builtinId="39"/>
    <cellStyle name="Bad" xfId="2" builtinId="27"/>
    <cellStyle name="banner1" xfId="3" xr:uid="{7682447A-E903-40B4-8EDD-4694919102C7}"/>
    <cellStyle name="Calculation" xfId="9" builtinId="22"/>
    <cellStyle name="Comma 2" xfId="5" xr:uid="{DDD1F531-FE52-40D6-9D9D-111C1517ED34}"/>
    <cellStyle name="Explanatory Text" xfId="11" builtinId="53"/>
    <cellStyle name="Heading 3" xfId="6" builtinId="18"/>
    <cellStyle name="headingL" xfId="4" xr:uid="{E3CB7D44-D1C7-4236-A18F-1BCB689EDB75}"/>
    <cellStyle name="Input" xfId="7" builtinId="20"/>
    <cellStyle name="Linked Cell" xfId="10" builtinId="24"/>
    <cellStyle name="Normal" xfId="0" builtinId="0"/>
    <cellStyle name="Output" xfId="8" builtinId="21"/>
    <cellStyle name="Percent" xfId="1" builtinId="5"/>
  </cellStyles>
  <dxfs count="0"/>
  <tableStyles count="0" defaultTableStyle="TableStyleMedium2" defaultPivotStyle="PivotStyleLight16"/>
  <colors>
    <mruColors>
      <color rgb="FF715B01"/>
      <color rgb="FF06005A"/>
      <color rgb="FF00668E"/>
      <color rgb="FF01398F"/>
      <color rgb="FF4476FF"/>
      <color rgb="FFF5CA27"/>
      <color rgb="FFF7ECDE"/>
      <color rgb="FF00BB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>
                <a:solidFill>
                  <a:sysClr val="windowText" lastClr="000000"/>
                </a:solidFill>
              </a:rPr>
              <a:t>Investment Performance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CurrencyHedge!$B$27</c:f>
              <c:strCache>
                <c:ptCount val="1"/>
                <c:pt idx="0">
                  <c:v>Value of Investment (GBP)</c:v>
                </c:pt>
              </c:strCache>
            </c:strRef>
          </c:tx>
          <c:spPr>
            <a:ln w="28575" cap="rnd">
              <a:solidFill>
                <a:srgbClr val="00668E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CurrencyHedge!$C$26:$CO$26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CurrencyHedge!$C$27:$CO$27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101.24628423389916</c:v>
                </c:pt>
                <c:pt idx="2">
                  <c:v>104.44368610269279</c:v>
                </c:pt>
                <c:pt idx="3">
                  <c:v>84.853923384347894</c:v>
                </c:pt>
                <c:pt idx="4">
                  <c:v>76.207104265793518</c:v>
                </c:pt>
                <c:pt idx="5">
                  <c:v>86.35956155414533</c:v>
                </c:pt>
                <c:pt idx="6">
                  <c:v>87.455644077628463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8F2-46E6-9146-B5079919AE90}"/>
            </c:ext>
          </c:extLst>
        </c:ser>
        <c:ser>
          <c:idx val="1"/>
          <c:order val="1"/>
          <c:tx>
            <c:strRef>
              <c:f>CurrencyHedge!$B$28</c:f>
              <c:strCache>
                <c:ptCount val="1"/>
                <c:pt idx="0">
                  <c:v>Value of Investment (USD)</c:v>
                </c:pt>
              </c:strCache>
            </c:strRef>
          </c:tx>
          <c:spPr>
            <a:ln w="28575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CurrencyHedge!$C$26:$CO$26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CurrencyHedge!$C$28:$CO$28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101.09093895697721</c:v>
                </c:pt>
                <c:pt idx="2">
                  <c:v>103.27385271788319</c:v>
                </c:pt>
                <c:pt idx="3">
                  <c:v>85.901984885297651</c:v>
                </c:pt>
                <c:pt idx="4">
                  <c:v>74.383044693033455</c:v>
                </c:pt>
                <c:pt idx="5">
                  <c:v>83.364968395535925</c:v>
                </c:pt>
                <c:pt idx="6">
                  <c:v>86.10707603316331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8F2-46E6-9146-B5079919AE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912400"/>
        <c:axId val="1257785279"/>
      </c:lineChart>
      <c:catAx>
        <c:axId val="843912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7785279"/>
        <c:crosses val="autoZero"/>
        <c:auto val="1"/>
        <c:lblAlgn val="ctr"/>
        <c:lblOffset val="100"/>
        <c:noMultiLvlLbl val="0"/>
      </c:catAx>
      <c:valAx>
        <c:axId val="1257785279"/>
        <c:scaling>
          <c:orientation val="minMax"/>
          <c:max val="110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391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/>
              <a:t>Investment Performance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CurrencyHedge!$B$102</c:f>
              <c:strCache>
                <c:ptCount val="1"/>
                <c:pt idx="0">
                  <c:v>Unhedged (USD)</c:v>
                </c:pt>
              </c:strCache>
            </c:strRef>
          </c:tx>
          <c:spPr>
            <a:ln w="28575" cap="rnd">
              <a:solidFill>
                <a:srgbClr val="01398F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CurrencyHedge!$C$101:$CO$101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CurrencyHedge!$C$102:$CO$102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101.09093895697721</c:v>
                </c:pt>
                <c:pt idx="2">
                  <c:v>103.27385271788319</c:v>
                </c:pt>
                <c:pt idx="3">
                  <c:v>85.901984885297651</c:v>
                </c:pt>
                <c:pt idx="4">
                  <c:v>74.383044693033455</c:v>
                </c:pt>
                <c:pt idx="5">
                  <c:v>83.364968395535925</c:v>
                </c:pt>
                <c:pt idx="6">
                  <c:v>86.10707603316331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0A-4BE6-BD21-BEEE4BD9F79F}"/>
            </c:ext>
          </c:extLst>
        </c:ser>
        <c:ser>
          <c:idx val="1"/>
          <c:order val="1"/>
          <c:tx>
            <c:strRef>
              <c:f>CurrencyHedge!$B$103</c:f>
              <c:strCache>
                <c:ptCount val="1"/>
                <c:pt idx="0">
                  <c:v>100% Hedged (USD)</c:v>
                </c:pt>
              </c:strCache>
            </c:strRef>
          </c:tx>
          <c:spPr>
            <a:ln w="28575" cap="rnd">
              <a:solidFill>
                <a:srgbClr val="715B01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CurrencyHedge!$C$101:$CO$101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CurrencyHedge!$C$103:$CO$103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101.30554117551401</c:v>
                </c:pt>
                <c:pt idx="2">
                  <c:v>104.51810899972213</c:v>
                </c:pt>
                <c:pt idx="3">
                  <c:v>84.846881168009375</c:v>
                </c:pt>
                <c:pt idx="4">
                  <c:v>77.022697473025133</c:v>
                </c:pt>
                <c:pt idx="5">
                  <c:v>87.138797825025378</c:v>
                </c:pt>
                <c:pt idx="6">
                  <c:v>88.014215578907454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0A-4BE6-BD21-BEEE4BD9F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850111"/>
        <c:axId val="999449072"/>
      </c:lineChart>
      <c:catAx>
        <c:axId val="125585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99449072"/>
        <c:crosses val="autoZero"/>
        <c:auto val="1"/>
        <c:lblAlgn val="ctr"/>
        <c:lblOffset val="100"/>
        <c:noMultiLvlLbl val="0"/>
      </c:catAx>
      <c:valAx>
        <c:axId val="999449072"/>
        <c:scaling>
          <c:orientation val="minMax"/>
          <c:max val="10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55850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/>
              <a:t>Investment Performance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CurrencyHedge!$B$139</c:f>
              <c:strCache>
                <c:ptCount val="1"/>
                <c:pt idx="0">
                  <c:v>100% Hedged (USD)</c:v>
                </c:pt>
              </c:strCache>
            </c:strRef>
          </c:tx>
          <c:spPr>
            <a:ln w="28575" cap="rnd">
              <a:solidFill>
                <a:srgbClr val="06005A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CurrencyHedge!$C$138:$CO$138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CurrencyHedge!$C$139:$CO$139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101.30554117551401</c:v>
                </c:pt>
                <c:pt idx="2">
                  <c:v>104.51810899972213</c:v>
                </c:pt>
                <c:pt idx="3">
                  <c:v>84.846881168009375</c:v>
                </c:pt>
                <c:pt idx="4">
                  <c:v>77.022697473025133</c:v>
                </c:pt>
                <c:pt idx="5">
                  <c:v>87.138797825025378</c:v>
                </c:pt>
                <c:pt idx="6">
                  <c:v>88.014215578907454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6E-4494-8DB2-ECF0B17E1A9A}"/>
            </c:ext>
          </c:extLst>
        </c:ser>
        <c:ser>
          <c:idx val="1"/>
          <c:order val="1"/>
          <c:tx>
            <c:strRef>
              <c:f>CurrencyHedge!$B$140</c:f>
              <c:strCache>
                <c:ptCount val="1"/>
                <c:pt idx="0">
                  <c:v>25% Hedged (USD)</c:v>
                </c:pt>
              </c:strCache>
            </c:strRef>
          </c:tx>
          <c:spPr>
            <a:ln w="28575" cap="rnd">
              <a:solidFill>
                <a:srgbClr val="715B01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CurrencyHedge!$C$138:$CO$138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CurrencyHedge!$C$140:$CO$140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101.1445895116114</c:v>
                </c:pt>
                <c:pt idx="2">
                  <c:v>103.58491678834292</c:v>
                </c:pt>
                <c:pt idx="3">
                  <c:v>85.638208955975571</c:v>
                </c:pt>
                <c:pt idx="4">
                  <c:v>75.042957888031381</c:v>
                </c:pt>
                <c:pt idx="5">
                  <c:v>84.308425752908292</c:v>
                </c:pt>
                <c:pt idx="6">
                  <c:v>86.583860919599346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6E-4494-8DB2-ECF0B17E1A9A}"/>
            </c:ext>
          </c:extLst>
        </c:ser>
        <c:ser>
          <c:idx val="2"/>
          <c:order val="2"/>
          <c:tx>
            <c:strRef>
              <c:f>CurrencyHedge!$B$141</c:f>
              <c:strCache>
                <c:ptCount val="1"/>
                <c:pt idx="0">
                  <c:v>0% Hedged (USD)</c:v>
                </c:pt>
              </c:strCache>
            </c:strRef>
          </c:tx>
          <c:spPr>
            <a:ln w="28575" cap="rnd">
              <a:solidFill>
                <a:srgbClr val="00668E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CurrencyHedge!$C$138:$CO$138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CurrencyHedge!$C$141:$CO$141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101.09093895697721</c:v>
                </c:pt>
                <c:pt idx="2">
                  <c:v>103.27385271788319</c:v>
                </c:pt>
                <c:pt idx="3">
                  <c:v>85.901984885297651</c:v>
                </c:pt>
                <c:pt idx="4">
                  <c:v>74.383044693033455</c:v>
                </c:pt>
                <c:pt idx="5">
                  <c:v>83.364968395535925</c:v>
                </c:pt>
                <c:pt idx="6">
                  <c:v>86.10707603316331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6E-4494-8DB2-ECF0B17E1A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3905680"/>
        <c:axId val="1164336496"/>
      </c:lineChart>
      <c:catAx>
        <c:axId val="843905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64336496"/>
        <c:crosses val="autoZero"/>
        <c:auto val="1"/>
        <c:lblAlgn val="ctr"/>
        <c:lblOffset val="100"/>
        <c:noMultiLvlLbl val="0"/>
      </c:catAx>
      <c:valAx>
        <c:axId val="1164336496"/>
        <c:scaling>
          <c:orientation val="minMax"/>
          <c:max val="10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3905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600"/>
              <a:t>Investment Performance (USD)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CurrencyHedge!$B$63</c:f>
              <c:strCache>
                <c:ptCount val="1"/>
                <c:pt idx="0">
                  <c:v>50% Hedged (USD)</c:v>
                </c:pt>
              </c:strCache>
            </c:strRef>
          </c:tx>
          <c:spPr>
            <a:ln w="28575" cap="rnd">
              <a:solidFill>
                <a:srgbClr val="06005A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CurrencyHedge!$C$62:$CO$62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CurrencyHedge!$C$63:$CO$63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101.1982400662456</c:v>
                </c:pt>
                <c:pt idx="2">
                  <c:v>103.89598085880267</c:v>
                </c:pt>
                <c:pt idx="3">
                  <c:v>85.374433026653506</c:v>
                </c:pt>
                <c:pt idx="4">
                  <c:v>75.702871083029294</c:v>
                </c:pt>
                <c:pt idx="5">
                  <c:v>85.251883110280644</c:v>
                </c:pt>
                <c:pt idx="6">
                  <c:v>87.060645806035382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5A-4BE6-AFC8-C0B62692E459}"/>
            </c:ext>
          </c:extLst>
        </c:ser>
        <c:ser>
          <c:idx val="1"/>
          <c:order val="1"/>
          <c:tx>
            <c:strRef>
              <c:f>CurrencyHedge!$B$64</c:f>
              <c:strCache>
                <c:ptCount val="1"/>
                <c:pt idx="0">
                  <c:v>Unhedged (USD)</c:v>
                </c:pt>
              </c:strCache>
            </c:strRef>
          </c:tx>
          <c:spPr>
            <a:ln w="28575" cap="rnd">
              <a:solidFill>
                <a:srgbClr val="715B01"/>
              </a:solidFill>
              <a:round/>
            </a:ln>
            <a:effectLst/>
          </c:spPr>
          <c:marker>
            <c:symbol val="none"/>
          </c:marker>
          <c:cat>
            <c:numRef>
              <c:f>CurrencyHedge!$C$62:$CO$62</c:f>
              <c:numCache>
                <c:formatCode>General</c:formatCode>
                <c:ptCount val="7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45</c:v>
                </c:pt>
                <c:pt idx="4">
                  <c:v>60</c:v>
                </c:pt>
                <c:pt idx="5">
                  <c:v>75</c:v>
                </c:pt>
                <c:pt idx="6">
                  <c:v>90</c:v>
                </c:pt>
              </c:numCache>
            </c:numRef>
          </c:cat>
          <c:val>
            <c:numRef>
              <c:f>CurrencyHedge!$C$64:$CO$64</c:f>
              <c:numCache>
                <c:formatCode>_-* #,##0_-;\-* #,##0_-;_-* "-"??_-;_-@_-</c:formatCode>
                <c:ptCount val="7"/>
                <c:pt idx="0">
                  <c:v>100</c:v>
                </c:pt>
                <c:pt idx="1">
                  <c:v>101.09093895697721</c:v>
                </c:pt>
                <c:pt idx="2">
                  <c:v>103.27385271788319</c:v>
                </c:pt>
                <c:pt idx="3">
                  <c:v>85.901984885297651</c:v>
                </c:pt>
                <c:pt idx="4">
                  <c:v>74.383044693033455</c:v>
                </c:pt>
                <c:pt idx="5">
                  <c:v>83.364968395535925</c:v>
                </c:pt>
                <c:pt idx="6">
                  <c:v>86.10707603316331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A5A-4BE6-AFC8-C0B62692E4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71585744"/>
        <c:axId val="902131824"/>
      </c:lineChart>
      <c:catAx>
        <c:axId val="1171585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02131824"/>
        <c:crosses val="autoZero"/>
        <c:auto val="1"/>
        <c:lblAlgn val="ctr"/>
        <c:lblOffset val="100"/>
        <c:noMultiLvlLbl val="0"/>
      </c:catAx>
      <c:valAx>
        <c:axId val="902131824"/>
        <c:scaling>
          <c:orientation val="minMax"/>
          <c:max val="105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71585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Portfolio Return Probability Distribution</a:t>
            </a:r>
            <a:endParaRPr lang="en-US" sz="1400">
              <a:effectLst/>
            </a:endParaRPr>
          </a:p>
        </cx:rich>
      </cx:tx>
    </cx:title>
    <cx:plotArea>
      <cx:plotAreaRegion>
        <cx:series layoutId="clusteredColumn" uniqueId="{3F5BD797-A005-4C59-9B1C-AA87A375CA0D}">
          <cx:spPr>
            <a:solidFill>
              <a:srgbClr val="002060"/>
            </a:solidFill>
            <a:ln>
              <a:noFill/>
            </a:ln>
          </cx:spPr>
          <cx:dataId val="0"/>
          <cx:layoutPr>
            <cx:binning intervalClosed="r"/>
          </cx:layoutPr>
        </cx:series>
      </cx:plotAreaRegion>
      <cx:axis id="0">
        <cx:catScaling gapWidth="0"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Portfolio Return Probability Distribution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6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Arial" panose="020B0604020202020204" pitchFamily="34" charset="0"/>
              <a:cs typeface="Arial" panose="020B0604020202020204" pitchFamily="34" charset="0"/>
            </a:defRPr>
          </a:pPr>
          <a:r>
            <a:rPr kumimoji="0" lang="en-US" sz="1600" b="0" i="0" u="none" strike="noStrike" kern="120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Arial" panose="020B0604020202020204" pitchFamily="34" charset="0"/>
              <a:cs typeface="Arial" panose="020B0604020202020204" pitchFamily="34" charset="0"/>
            </a:rPr>
            <a:t>Portfolio Return Probability Distribution</a:t>
          </a:r>
        </a:p>
      </cx:txPr>
    </cx:title>
    <cx:plotArea>
      <cx:plotAreaRegion>
        <cx:series layoutId="clusteredColumn" uniqueId="{035DEC35-984D-4A5E-9908-21DC07C958F1}">
          <cx:spPr>
            <a:solidFill>
              <a:srgbClr val="06005A"/>
            </a:solidFill>
          </cx:spPr>
          <cx:dataId val="0"/>
          <cx:layoutPr>
            <cx:binning intervalClosed="r"/>
          </cx:layoutPr>
        </cx:series>
      </cx:plotAreaRegion>
      <cx:axis id="0">
        <cx:catScaling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400" b="0" i="0">
                <a:solidFill>
                  <a:sysClr val="windowText" lastClr="000000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40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410255</xdr:colOff>
      <xdr:row>1</xdr:row>
      <xdr:rowOff>57149</xdr:rowOff>
    </xdr:from>
    <xdr:to>
      <xdr:col>12</xdr:col>
      <xdr:colOff>466725</xdr:colOff>
      <xdr:row>13</xdr:row>
      <xdr:rowOff>78921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9C3E61D-C419-20D6-8B5B-BBDC6742C43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446305" y="285749"/>
              <a:ext cx="5990545" cy="274592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101719</xdr:colOff>
      <xdr:row>1</xdr:row>
      <xdr:rowOff>160249</xdr:rowOff>
    </xdr:from>
    <xdr:to>
      <xdr:col>13</xdr:col>
      <xdr:colOff>38100</xdr:colOff>
      <xdr:row>14</xdr:row>
      <xdr:rowOff>38495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886D156-D19A-9358-2CFD-E05818238A8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1269" y="392024"/>
              <a:ext cx="6543556" cy="282782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1275668</xdr:colOff>
      <xdr:row>28</xdr:row>
      <xdr:rowOff>159203</xdr:rowOff>
    </xdr:from>
    <xdr:to>
      <xdr:col>47</xdr:col>
      <xdr:colOff>758597</xdr:colOff>
      <xdr:row>43</xdr:row>
      <xdr:rowOff>146956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BD982DC-DAB5-F00E-8F48-D3731B7988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523875</xdr:colOff>
      <xdr:row>104</xdr:row>
      <xdr:rowOff>70757</xdr:rowOff>
    </xdr:from>
    <xdr:to>
      <xdr:col>47</xdr:col>
      <xdr:colOff>6804</xdr:colOff>
      <xdr:row>119</xdr:row>
      <xdr:rowOff>58510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5210DA8-7B5C-0992-F630-8B873CEC9C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1027339</xdr:colOff>
      <xdr:row>142</xdr:row>
      <xdr:rowOff>121555</xdr:rowOff>
    </xdr:from>
    <xdr:to>
      <xdr:col>62</xdr:col>
      <xdr:colOff>130968</xdr:colOff>
      <xdr:row>157</xdr:row>
      <xdr:rowOff>102959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9044206-895F-D5BC-DB5D-4004D526D5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819830</xdr:colOff>
      <xdr:row>65</xdr:row>
      <xdr:rowOff>63952</xdr:rowOff>
    </xdr:from>
    <xdr:to>
      <xdr:col>47</xdr:col>
      <xdr:colOff>302759</xdr:colOff>
      <xdr:row>80</xdr:row>
      <xdr:rowOff>51706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1BCEE8A1-50A3-347D-A539-684BBA4084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E0A0E-05FC-4589-BF64-67A81474DBF0}">
  <sheetPr codeName="Sheet1">
    <tabColor rgb="FF06005A"/>
  </sheetPr>
  <dimension ref="A1:O22"/>
  <sheetViews>
    <sheetView zoomScaleNormal="100" workbookViewId="0"/>
  </sheetViews>
  <sheetFormatPr defaultColWidth="8.7265625" defaultRowHeight="17.5" x14ac:dyDescent="0.35"/>
  <cols>
    <col min="1" max="1" width="26.453125" style="2" bestFit="1" customWidth="1"/>
    <col min="2" max="2" width="24.1796875" style="2" bestFit="1" customWidth="1"/>
    <col min="3" max="3" width="19.7265625" style="2" bestFit="1" customWidth="1"/>
    <col min="4" max="4" width="15.26953125" style="2" bestFit="1" customWidth="1"/>
    <col min="5" max="6" width="14.7265625" style="2" bestFit="1" customWidth="1"/>
    <col min="7" max="7" width="24.1796875" style="2" bestFit="1" customWidth="1"/>
    <col min="8" max="8" width="21" style="2" bestFit="1" customWidth="1"/>
    <col min="9" max="9" width="14" style="2" bestFit="1" customWidth="1"/>
    <col min="10" max="10" width="59" style="2" bestFit="1" customWidth="1"/>
    <col min="11" max="11" width="6.81640625" style="2" bestFit="1" customWidth="1"/>
    <col min="12" max="12" width="12.54296875" style="2" bestFit="1" customWidth="1"/>
    <col min="13" max="15" width="8.81640625" style="2" bestFit="1" customWidth="1"/>
    <col min="16" max="16384" width="8.7265625" style="2"/>
  </cols>
  <sheetData>
    <row r="1" spans="1:15" ht="18" x14ac:dyDescent="0.35">
      <c r="A1" s="1" t="s">
        <v>0</v>
      </c>
      <c r="B1" s="1"/>
      <c r="C1" s="1"/>
      <c r="D1" s="1"/>
      <c r="E1" s="1"/>
    </row>
    <row r="2" spans="1:15" x14ac:dyDescent="0.35">
      <c r="B2" s="3"/>
      <c r="C2" s="3"/>
      <c r="D2" s="3"/>
      <c r="E2" s="3"/>
      <c r="F2" s="3"/>
      <c r="G2" s="3"/>
      <c r="H2" s="3"/>
    </row>
    <row r="3" spans="1:15" ht="18" x14ac:dyDescent="0.4">
      <c r="A3" s="4"/>
      <c r="B3" s="5" t="s">
        <v>1</v>
      </c>
      <c r="C3" s="6" t="s">
        <v>2</v>
      </c>
      <c r="D3" s="6" t="s">
        <v>3</v>
      </c>
      <c r="E3" s="6" t="s">
        <v>4</v>
      </c>
      <c r="F3" s="6" t="s">
        <v>5</v>
      </c>
      <c r="G3" s="6" t="s">
        <v>6</v>
      </c>
      <c r="H3" s="6" t="s">
        <v>7</v>
      </c>
    </row>
    <row r="4" spans="1:15" ht="18" x14ac:dyDescent="0.4">
      <c r="A4" s="4"/>
      <c r="B4" s="6" t="s">
        <v>2</v>
      </c>
      <c r="C4" s="7">
        <v>1</v>
      </c>
      <c r="D4" s="7">
        <v>0.89900000000000002</v>
      </c>
      <c r="E4" s="7">
        <v>0.71094999999999997</v>
      </c>
      <c r="F4" s="7">
        <v>-0.34585149999999998</v>
      </c>
      <c r="G4" s="7">
        <v>0.26705000000000001</v>
      </c>
      <c r="H4" s="7">
        <v>0.64379999999999993</v>
      </c>
    </row>
    <row r="5" spans="1:15" ht="18" x14ac:dyDescent="0.4">
      <c r="A5" s="4"/>
      <c r="B5" s="6" t="s">
        <v>3</v>
      </c>
      <c r="C5" s="7">
        <v>0.89900000000000002</v>
      </c>
      <c r="D5" s="7">
        <v>1</v>
      </c>
      <c r="E5" s="7">
        <v>0.82269999999999999</v>
      </c>
      <c r="F5" s="7">
        <v>-0.31986400000000004</v>
      </c>
      <c r="G5" s="7">
        <v>0.38374999999999998</v>
      </c>
      <c r="H5" s="7">
        <v>0.6532</v>
      </c>
    </row>
    <row r="6" spans="1:15" ht="18" x14ac:dyDescent="0.4">
      <c r="A6" s="4"/>
      <c r="B6" s="6" t="s">
        <v>4</v>
      </c>
      <c r="C6" s="7">
        <v>0.71094999999999997</v>
      </c>
      <c r="D6" s="7">
        <v>0.82269999999999999</v>
      </c>
      <c r="E6" s="7">
        <v>1</v>
      </c>
      <c r="F6" s="7">
        <v>-0.25305050000000001</v>
      </c>
      <c r="G6" s="7">
        <v>0.41270000000000001</v>
      </c>
      <c r="H6" s="7">
        <v>0.60509999999999997</v>
      </c>
    </row>
    <row r="7" spans="1:15" ht="18" x14ac:dyDescent="0.4">
      <c r="A7" s="4"/>
      <c r="B7" s="6" t="s">
        <v>5</v>
      </c>
      <c r="C7" s="7">
        <v>-0.34585149999999998</v>
      </c>
      <c r="D7" s="7">
        <v>-0.31986400000000004</v>
      </c>
      <c r="E7" s="7">
        <v>-0.25305050000000001</v>
      </c>
      <c r="F7" s="7">
        <v>1</v>
      </c>
      <c r="G7" s="7">
        <v>0.50429999999999997</v>
      </c>
      <c r="H7" s="7">
        <v>-2.3885400000000001E-2</v>
      </c>
    </row>
    <row r="8" spans="1:15" ht="18" x14ac:dyDescent="0.4">
      <c r="A8" s="4"/>
      <c r="B8" s="6" t="s">
        <v>6</v>
      </c>
      <c r="C8" s="7">
        <v>0.26705000000000001</v>
      </c>
      <c r="D8" s="7">
        <v>0.38374999999999998</v>
      </c>
      <c r="E8" s="7">
        <v>0.41270000000000001</v>
      </c>
      <c r="F8" s="7">
        <v>0.50429999999999997</v>
      </c>
      <c r="G8" s="7">
        <v>1</v>
      </c>
      <c r="H8" s="7">
        <v>0.45179999999999998</v>
      </c>
    </row>
    <row r="9" spans="1:15" ht="18" x14ac:dyDescent="0.4">
      <c r="A9" s="4"/>
      <c r="B9" s="6" t="s">
        <v>7</v>
      </c>
      <c r="C9" s="7">
        <v>0.64379999999999993</v>
      </c>
      <c r="D9" s="7">
        <v>0.6532</v>
      </c>
      <c r="E9" s="7">
        <v>0.60509999999999997</v>
      </c>
      <c r="F9" s="7">
        <v>-2.3885400000000001E-2</v>
      </c>
      <c r="G9" s="7">
        <v>0.45179999999999998</v>
      </c>
      <c r="H9" s="7">
        <v>1</v>
      </c>
    </row>
    <row r="10" spans="1:15" ht="18" x14ac:dyDescent="0.4">
      <c r="A10" s="8"/>
      <c r="B10" s="9"/>
      <c r="C10" s="9"/>
      <c r="D10" s="9"/>
    </row>
    <row r="11" spans="1:15" ht="18" x14ac:dyDescent="0.4">
      <c r="B11" s="8" t="s">
        <v>8</v>
      </c>
      <c r="C11" s="10">
        <v>7.0928999999999992E-2</v>
      </c>
      <c r="D11" s="10">
        <v>7.426350000000001E-2</v>
      </c>
      <c r="E11" s="10">
        <v>0.10007099999999999</v>
      </c>
      <c r="F11" s="10">
        <v>2.33955E-2</v>
      </c>
      <c r="G11" s="10">
        <v>3.6760500000000002E-2</v>
      </c>
      <c r="H11" s="10">
        <v>6.7355999999999999E-2</v>
      </c>
      <c r="J11" s="11"/>
      <c r="K11" s="11"/>
      <c r="L11" s="11"/>
      <c r="M11" s="11"/>
      <c r="N11" s="11"/>
      <c r="O11" s="11"/>
    </row>
    <row r="12" spans="1:15" ht="18" x14ac:dyDescent="0.4">
      <c r="B12" s="8" t="s">
        <v>9</v>
      </c>
      <c r="C12" s="10">
        <v>0.19307200000000002</v>
      </c>
      <c r="D12" s="10">
        <v>0.21877349999999998</v>
      </c>
      <c r="E12" s="10">
        <v>0.32402150000000007</v>
      </c>
      <c r="F12" s="10">
        <v>0.12151150000000002</v>
      </c>
      <c r="G12" s="10">
        <v>7.8930500000000001E-2</v>
      </c>
      <c r="H12" s="10">
        <v>0.27617700000000006</v>
      </c>
      <c r="J12" s="11"/>
      <c r="K12" s="11"/>
      <c r="L12" s="11"/>
      <c r="M12" s="11"/>
      <c r="N12" s="11"/>
      <c r="O12" s="11"/>
    </row>
    <row r="13" spans="1:15" ht="18" x14ac:dyDescent="0.4">
      <c r="A13" s="8"/>
      <c r="B13" s="10"/>
      <c r="C13" s="10"/>
      <c r="D13" s="10"/>
    </row>
    <row r="14" spans="1:15" ht="18" x14ac:dyDescent="0.4">
      <c r="A14" s="8"/>
      <c r="B14" s="10"/>
      <c r="C14" s="10"/>
      <c r="D14" s="10"/>
    </row>
    <row r="15" spans="1:15" ht="18" x14ac:dyDescent="0.4">
      <c r="A15" s="6"/>
      <c r="B15" s="10"/>
      <c r="C15" s="10"/>
      <c r="D15" s="10"/>
      <c r="J15" s="12" t="s">
        <v>10</v>
      </c>
    </row>
    <row r="16" spans="1:15" ht="18" x14ac:dyDescent="0.4">
      <c r="B16" s="13"/>
      <c r="C16" s="14" t="str">
        <f>C3</f>
        <v>US Large Cap</v>
      </c>
      <c r="D16" s="14" t="str">
        <f t="shared" ref="D16:H16" si="0">D3</f>
        <v>Dev ex US</v>
      </c>
      <c r="E16" s="14" t="str">
        <f t="shared" si="0"/>
        <v>EM</v>
      </c>
      <c r="F16" s="14" t="str">
        <f t="shared" si="0"/>
        <v>UST</v>
      </c>
      <c r="G16" s="14" t="str">
        <f t="shared" si="0"/>
        <v>US IG Corp Bond</v>
      </c>
      <c r="H16" s="14" t="str">
        <f t="shared" si="0"/>
        <v>REITs</v>
      </c>
    </row>
    <row r="17" spans="2:12" ht="18" x14ac:dyDescent="0.4">
      <c r="B17" s="6" t="s">
        <v>11</v>
      </c>
      <c r="C17" s="15">
        <v>0.32957596499828701</v>
      </c>
      <c r="D17" s="15">
        <v>0.1</v>
      </c>
      <c r="E17" s="15">
        <v>0.17145982881619667</v>
      </c>
      <c r="F17" s="15">
        <v>0.19896420618551627</v>
      </c>
      <c r="G17" s="15">
        <v>0.1</v>
      </c>
      <c r="H17" s="15">
        <v>0.1</v>
      </c>
      <c r="I17" s="16">
        <f>SUM(C17:H17)</f>
        <v>0.99999999999999989</v>
      </c>
      <c r="J17" s="17" t="s">
        <v>39</v>
      </c>
      <c r="K17" s="83">
        <v>0.1</v>
      </c>
      <c r="L17" s="17" t="s">
        <v>12</v>
      </c>
    </row>
    <row r="18" spans="2:12" ht="18" x14ac:dyDescent="0.4">
      <c r="B18" s="6" t="s">
        <v>8</v>
      </c>
      <c r="C18" s="10">
        <f>C17*C11</f>
        <v>2.3376493621363497E-2</v>
      </c>
      <c r="D18" s="10">
        <f t="shared" ref="D18:H18" si="1">D17*D11</f>
        <v>7.4263500000000017E-3</v>
      </c>
      <c r="E18" s="10">
        <f t="shared" si="1"/>
        <v>1.7158156529465618E-2</v>
      </c>
      <c r="F18" s="10">
        <f t="shared" si="1"/>
        <v>4.6548670858132463E-3</v>
      </c>
      <c r="G18" s="10">
        <f t="shared" si="1"/>
        <v>3.6760500000000002E-3</v>
      </c>
      <c r="H18" s="10">
        <f t="shared" si="1"/>
        <v>6.7356000000000004E-3</v>
      </c>
      <c r="I18" s="18">
        <f>SUM(C18:H18)</f>
        <v>6.3027517236642364E-2</v>
      </c>
      <c r="J18" s="19" t="s">
        <v>13</v>
      </c>
    </row>
    <row r="19" spans="2:12" x14ac:dyDescent="0.35">
      <c r="H19" s="42" t="s">
        <v>14</v>
      </c>
      <c r="I19" s="43">
        <f t="array" ref="I19">MMULT(MMULT(C17:H17*$C$12:$H$12,$C$4:$H$9),TRANSPOSE(C17:H17*$C$12:$H$12))</f>
        <v>2.2500255156963245E-2</v>
      </c>
    </row>
    <row r="20" spans="2:12" ht="18" x14ac:dyDescent="0.4">
      <c r="H20" s="44" t="s">
        <v>9</v>
      </c>
      <c r="I20" s="20">
        <f>SQRT(I19)</f>
        <v>0.15000085052079953</v>
      </c>
      <c r="J20" s="21" t="s">
        <v>15</v>
      </c>
      <c r="K20" s="22">
        <v>0.15</v>
      </c>
    </row>
    <row r="21" spans="2:12" ht="18" x14ac:dyDescent="0.4">
      <c r="H21" s="23" t="s">
        <v>16</v>
      </c>
      <c r="I21" s="24">
        <v>0.03</v>
      </c>
    </row>
    <row r="22" spans="2:12" ht="18" x14ac:dyDescent="0.4">
      <c r="H22" s="23" t="s">
        <v>17</v>
      </c>
      <c r="I22" s="25">
        <f>(I18-I21)/I20</f>
        <v>0.22018219978067843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7164A6-A3B8-41AB-967D-70E23092A588}">
  <sheetPr codeName="Sheet4">
    <tabColor rgb="FF06005A"/>
  </sheetPr>
  <dimension ref="A1:G70"/>
  <sheetViews>
    <sheetView zoomScaleNormal="100" workbookViewId="0">
      <pane xSplit="1" ySplit="1" topLeftCell="B2" activePane="bottomRight" state="frozen"/>
      <selection pane="topRight" activeCell="C5" sqref="C5"/>
      <selection pane="bottomLeft" activeCell="C5" sqref="C5"/>
      <selection pane="bottomRight"/>
    </sheetView>
  </sheetViews>
  <sheetFormatPr defaultColWidth="8.7265625" defaultRowHeight="17.5" x14ac:dyDescent="0.35"/>
  <cols>
    <col min="1" max="1" width="15.453125" style="48" bestFit="1" customWidth="1"/>
    <col min="2" max="5" width="19.7265625" style="2" bestFit="1" customWidth="1"/>
    <col min="6" max="6" width="23" style="2" bestFit="1" customWidth="1"/>
    <col min="7" max="7" width="19.7265625" style="2" bestFit="1" customWidth="1"/>
    <col min="8" max="8" width="8.7265625" style="2"/>
    <col min="9" max="9" width="10.453125" style="2" bestFit="1" customWidth="1"/>
    <col min="10" max="10" width="10.54296875" style="2" bestFit="1" customWidth="1"/>
    <col min="11" max="11" width="9" style="2" bestFit="1" customWidth="1"/>
    <col min="12" max="12" width="3.54296875" style="2" bestFit="1" customWidth="1"/>
    <col min="13" max="13" width="4" style="2" bestFit="1" customWidth="1"/>
    <col min="14" max="14" width="11.54296875" style="2" bestFit="1" customWidth="1"/>
    <col min="15" max="15" width="5.26953125" style="2" bestFit="1" customWidth="1"/>
    <col min="16" max="16384" width="8.7265625" style="2"/>
  </cols>
  <sheetData>
    <row r="1" spans="1:7" x14ac:dyDescent="0.35">
      <c r="A1" s="45" t="s">
        <v>18</v>
      </c>
      <c r="B1" s="46" t="s">
        <v>2</v>
      </c>
      <c r="C1" s="46" t="s">
        <v>3</v>
      </c>
      <c r="D1" s="46" t="s">
        <v>4</v>
      </c>
      <c r="E1" s="46" t="s">
        <v>5</v>
      </c>
      <c r="F1" s="46" t="s">
        <v>6</v>
      </c>
      <c r="G1" s="46" t="s">
        <v>7</v>
      </c>
    </row>
    <row r="2" spans="1:7" ht="18" x14ac:dyDescent="0.35">
      <c r="A2" s="47">
        <v>43131</v>
      </c>
      <c r="B2" s="2">
        <v>4.5290403994364757E-2</v>
      </c>
      <c r="C2" s="2">
        <v>4.8460328911913361E-2</v>
      </c>
      <c r="D2" s="2">
        <v>4.8309271074178886E-2</v>
      </c>
      <c r="E2" s="2">
        <v>7.5104781725385497E-2</v>
      </c>
      <c r="F2" s="2">
        <v>-2.3872009854905428E-3</v>
      </c>
      <c r="G2" s="2">
        <v>-7.5279809923204958E-3</v>
      </c>
    </row>
    <row r="3" spans="1:7" ht="18" x14ac:dyDescent="0.35">
      <c r="A3" s="47">
        <v>43159</v>
      </c>
      <c r="B3" s="2">
        <v>-3.1242142177585641E-2</v>
      </c>
      <c r="C3" s="2">
        <v>-3.7155503597122302E-2</v>
      </c>
      <c r="D3" s="2">
        <v>-3.7099725719424458E-2</v>
      </c>
      <c r="E3" s="2">
        <v>0.10615523890818064</v>
      </c>
      <c r="F3" s="2">
        <v>-1.7245749636891499E-2</v>
      </c>
      <c r="G3" s="2">
        <v>-5.2868836144315236E-2</v>
      </c>
    </row>
    <row r="4" spans="1:7" ht="18" x14ac:dyDescent="0.35">
      <c r="A4" s="47">
        <v>43189</v>
      </c>
      <c r="B4" s="2">
        <v>2.4902994496129854E-3</v>
      </c>
      <c r="C4" s="2">
        <v>-1.1658812300966158E-2</v>
      </c>
      <c r="D4" s="2">
        <v>-1.1562314353122103E-2</v>
      </c>
      <c r="E4" s="2">
        <v>-5.7899502068867155E-3</v>
      </c>
      <c r="F4" s="2">
        <v>-4.7781985546419608E-3</v>
      </c>
      <c r="G4" s="2">
        <v>6.8646035241346024E-3</v>
      </c>
    </row>
    <row r="5" spans="1:7" ht="18" x14ac:dyDescent="0.35">
      <c r="A5" s="47">
        <v>43220</v>
      </c>
      <c r="B5" s="2">
        <v>-1.7096680512819637E-2</v>
      </c>
      <c r="C5" s="2">
        <v>6.5936006118937967E-3</v>
      </c>
      <c r="D5" s="2">
        <v>6.5547411137316007E-3</v>
      </c>
      <c r="E5" s="2">
        <v>9.436220472440849E-3</v>
      </c>
      <c r="F5" s="2">
        <v>5.5783421938290984E-4</v>
      </c>
      <c r="G5" s="2">
        <v>1.0842501694914668E-2</v>
      </c>
    </row>
    <row r="6" spans="1:7" ht="18" x14ac:dyDescent="0.35">
      <c r="A6" s="47">
        <v>43251</v>
      </c>
      <c r="B6" s="2">
        <v>1.9928037871729701E-2</v>
      </c>
      <c r="C6" s="2">
        <v>6.6551801415288782E-3</v>
      </c>
      <c r="D6" s="2">
        <v>6.5589384318752312E-3</v>
      </c>
      <c r="E6" s="2">
        <v>3.8099749528479908E-2</v>
      </c>
      <c r="F6" s="2">
        <v>-7.6891470982493196E-3</v>
      </c>
      <c r="G6" s="2">
        <v>2.1958016183356095E-2</v>
      </c>
    </row>
    <row r="7" spans="1:7" ht="18" x14ac:dyDescent="0.35">
      <c r="A7" s="47">
        <v>43280</v>
      </c>
      <c r="B7" s="2">
        <v>2.2670780917191699E-2</v>
      </c>
      <c r="C7" s="2">
        <v>-2.1363402330665648E-2</v>
      </c>
      <c r="D7" s="2">
        <v>-2.1215148324207178E-2</v>
      </c>
      <c r="E7" s="2">
        <v>-2.2114008766382493E-2</v>
      </c>
      <c r="F7" s="2">
        <v>1.1626138669614992E-3</v>
      </c>
      <c r="G7" s="2">
        <v>2.5790930993283039E-2</v>
      </c>
    </row>
    <row r="8" spans="1:7" ht="18" x14ac:dyDescent="0.35">
      <c r="A8" s="47">
        <v>43312</v>
      </c>
      <c r="B8" s="2">
        <v>1.2717833043005593E-2</v>
      </c>
      <c r="C8" s="2">
        <v>-1.5943986013986021E-2</v>
      </c>
      <c r="D8" s="2">
        <v>-1.6116083916083924E-2</v>
      </c>
      <c r="E8" s="2">
        <v>-8.055035971222901E-3</v>
      </c>
      <c r="F8" s="2">
        <v>6.5594834696110745E-3</v>
      </c>
      <c r="G8" s="2">
        <v>1.6301113377244325E-2</v>
      </c>
    </row>
    <row r="9" spans="1:7" ht="18" x14ac:dyDescent="0.35">
      <c r="A9" s="47">
        <v>43343</v>
      </c>
      <c r="B9" s="2">
        <v>2.1460485302569322E-2</v>
      </c>
      <c r="C9" s="2">
        <v>-5.9675164752773999E-3</v>
      </c>
      <c r="D9" s="2">
        <v>-5.957931065820073E-3</v>
      </c>
      <c r="E9" s="2">
        <v>2.8502017328103446E-5</v>
      </c>
      <c r="F9" s="2">
        <v>6.4836119979054139E-3</v>
      </c>
      <c r="G9" s="2">
        <v>1.3213226837170371E-2</v>
      </c>
    </row>
    <row r="10" spans="1:7" ht="18" x14ac:dyDescent="0.35">
      <c r="A10" s="47">
        <v>43371</v>
      </c>
      <c r="B10" s="2">
        <v>1.4283860522096925E-2</v>
      </c>
      <c r="C10" s="2">
        <v>-3.1860775008645667E-3</v>
      </c>
      <c r="D10" s="2">
        <v>-3.1854363744935306E-3</v>
      </c>
      <c r="E10" s="2">
        <v>3.9991414201417649E-2</v>
      </c>
      <c r="F10" s="2">
        <v>-3.2318034267610684E-3</v>
      </c>
      <c r="G10" s="2">
        <v>-5.8463042097383414E-3</v>
      </c>
    </row>
    <row r="11" spans="1:7" ht="18" x14ac:dyDescent="0.35">
      <c r="A11" s="47">
        <v>43404</v>
      </c>
      <c r="B11" s="2">
        <v>-4.6754408920375641E-2</v>
      </c>
      <c r="C11" s="2">
        <v>-5.0317545795630081E-2</v>
      </c>
      <c r="D11" s="2">
        <v>-4.9963407636283368E-2</v>
      </c>
      <c r="E11" s="2">
        <v>4.9048327705931323E-2</v>
      </c>
      <c r="F11" s="2">
        <v>-8.0948277797958743E-3</v>
      </c>
      <c r="G11" s="2">
        <v>-3.7030481474632108E-2</v>
      </c>
    </row>
    <row r="12" spans="1:7" ht="18" x14ac:dyDescent="0.35">
      <c r="A12" s="47">
        <v>43434</v>
      </c>
      <c r="B12" s="2">
        <v>-2.311175032095996E-2</v>
      </c>
      <c r="C12" s="2">
        <v>-2.4771692233434232E-2</v>
      </c>
      <c r="D12" s="2">
        <v>-2.4968688779280952E-2</v>
      </c>
      <c r="E12" s="2">
        <v>-1.1236614275414584E-2</v>
      </c>
      <c r="F12" s="2">
        <v>-5.487282913805719E-3</v>
      </c>
      <c r="G12" s="2">
        <v>2.0315232666779141E-2</v>
      </c>
    </row>
    <row r="13" spans="1:7" ht="18" x14ac:dyDescent="0.35">
      <c r="A13" s="47">
        <v>43465</v>
      </c>
      <c r="B13" s="2">
        <v>-5.3332589110181849E-2</v>
      </c>
      <c r="C13" s="2">
        <v>-4.8228644620873846E-2</v>
      </c>
      <c r="D13" s="2">
        <v>-4.8228644620873846E-2</v>
      </c>
      <c r="E13" s="2">
        <v>-9.1012491768400788E-2</v>
      </c>
      <c r="F13" s="2">
        <v>8.777949998828383E-3</v>
      </c>
      <c r="G13" s="2">
        <v>-1.8912625191269194E-2</v>
      </c>
    </row>
    <row r="14" spans="1:7" ht="18" x14ac:dyDescent="0.35">
      <c r="A14" s="47">
        <v>43496</v>
      </c>
      <c r="B14" s="2">
        <v>1.0720923439580216E-2</v>
      </c>
      <c r="C14" s="2">
        <v>2.3572824937548642E-2</v>
      </c>
      <c r="D14" s="2">
        <v>2.3492789382537987E-2</v>
      </c>
      <c r="E14" s="2">
        <v>-4.180496363539845E-2</v>
      </c>
      <c r="F14" s="2">
        <v>1.1654969086754827E-2</v>
      </c>
      <c r="G14" s="2">
        <v>1.8205844557513604E-2</v>
      </c>
    </row>
    <row r="15" spans="1:7" ht="18" x14ac:dyDescent="0.35">
      <c r="A15" s="47">
        <v>43524</v>
      </c>
      <c r="B15" s="2">
        <v>6.043417937558742E-2</v>
      </c>
      <c r="C15" s="2">
        <v>3.9657916360968569E-2</v>
      </c>
      <c r="D15" s="2">
        <v>4.0086282709709091E-2</v>
      </c>
      <c r="E15" s="2">
        <v>-1.3861497400282795E-2</v>
      </c>
      <c r="F15" s="2">
        <v>1.7772019159698629E-2</v>
      </c>
      <c r="G15" s="2">
        <v>6.1916370528644855E-2</v>
      </c>
    </row>
    <row r="16" spans="1:7" ht="18" x14ac:dyDescent="0.35">
      <c r="A16" s="47">
        <v>43553</v>
      </c>
      <c r="B16" s="2">
        <v>1.5592233932795463E-2</v>
      </c>
      <c r="C16" s="2">
        <v>1.5250953079988232E-2</v>
      </c>
      <c r="D16" s="2">
        <v>1.5433829280766004E-2</v>
      </c>
      <c r="E16" s="2">
        <v>-3.9593227513227462E-2</v>
      </c>
      <c r="F16" s="2">
        <v>1.1312778058509934E-2</v>
      </c>
      <c r="G16" s="2">
        <v>1.0997066337557622E-2</v>
      </c>
    </row>
    <row r="17" spans="1:7" ht="18" x14ac:dyDescent="0.35">
      <c r="A17" s="47">
        <v>43585</v>
      </c>
      <c r="B17" s="2">
        <v>3.437380460793682E-2</v>
      </c>
      <c r="C17" s="2">
        <v>2.1558359301398315E-2</v>
      </c>
      <c r="D17" s="2">
        <v>2.1894395674258004E-2</v>
      </c>
      <c r="E17" s="2">
        <v>-1.5124300796443838E-2</v>
      </c>
      <c r="F17" s="2">
        <v>1.3729758208780422E-2</v>
      </c>
      <c r="G17" s="2">
        <v>1.4112642765805691E-2</v>
      </c>
    </row>
    <row r="18" spans="1:7" ht="18" x14ac:dyDescent="0.35">
      <c r="A18" s="47">
        <v>43616</v>
      </c>
      <c r="B18" s="2">
        <v>-1.6765641784340146E-2</v>
      </c>
      <c r="C18" s="2">
        <v>-2.5000700326907509E-2</v>
      </c>
      <c r="D18" s="2">
        <v>-2.5120799768029563E-2</v>
      </c>
      <c r="E18" s="2">
        <v>-5.4217168108311314E-2</v>
      </c>
      <c r="F18" s="2">
        <v>8.5319227302158331E-3</v>
      </c>
      <c r="G18" s="2">
        <v>4.2748519090915638E-3</v>
      </c>
    </row>
    <row r="19" spans="1:7" ht="18" x14ac:dyDescent="0.35">
      <c r="A19" s="47">
        <v>43644</v>
      </c>
      <c r="B19" s="2">
        <v>1.1333076666596607E-2</v>
      </c>
      <c r="C19" s="2">
        <v>8.3346952738384637E-3</v>
      </c>
      <c r="D19" s="2">
        <v>8.2890552658674253E-3</v>
      </c>
      <c r="E19" s="2">
        <v>-0.13368075156576206</v>
      </c>
      <c r="F19" s="2">
        <v>2.2000667337835657E-2</v>
      </c>
      <c r="G19" s="2">
        <v>1.7126800971442514E-2</v>
      </c>
    </row>
    <row r="20" spans="1:7" ht="18" x14ac:dyDescent="0.35">
      <c r="A20" s="47">
        <v>43677</v>
      </c>
      <c r="B20" s="2">
        <v>3.5272939504360237E-2</v>
      </c>
      <c r="C20" s="2">
        <v>1.4379266342433878E-2</v>
      </c>
      <c r="D20" s="2">
        <v>1.4455583297786269E-2</v>
      </c>
      <c r="E20" s="2">
        <v>-7.2043832734285254E-3</v>
      </c>
      <c r="F20" s="2">
        <v>1.3869147250643064E-2</v>
      </c>
      <c r="G20" s="2">
        <v>1.4077022239782782E-2</v>
      </c>
    </row>
    <row r="21" spans="1:7" ht="18" x14ac:dyDescent="0.35">
      <c r="A21" s="47">
        <v>43707</v>
      </c>
      <c r="B21" s="2">
        <v>-3.4890981371383349E-2</v>
      </c>
      <c r="C21" s="2">
        <v>-4.6805908677632256E-2</v>
      </c>
      <c r="D21" s="2">
        <v>-4.6764080341012378E-2</v>
      </c>
      <c r="E21" s="2">
        <v>-0.20954507726269309</v>
      </c>
      <c r="F21" s="2">
        <v>2.7220177785250363E-2</v>
      </c>
      <c r="G21" s="2">
        <v>2.3134866854549279E-4</v>
      </c>
    </row>
    <row r="22" spans="1:7" ht="18" x14ac:dyDescent="0.35">
      <c r="A22" s="47">
        <v>43738</v>
      </c>
      <c r="B22" s="2">
        <v>2.7829868087445336E-2</v>
      </c>
      <c r="C22" s="2">
        <v>3.4346078989841385E-2</v>
      </c>
      <c r="D22" s="2">
        <v>3.4923934640788745E-2</v>
      </c>
      <c r="E22" s="2">
        <v>4.4892808831749391E-2</v>
      </c>
      <c r="F22" s="2">
        <v>-4.5216972934432114E-4</v>
      </c>
      <c r="G22" s="2">
        <v>3.0058479608059331E-2</v>
      </c>
    </row>
    <row r="23" spans="1:7" ht="18" x14ac:dyDescent="0.35">
      <c r="A23" s="47">
        <v>43769</v>
      </c>
      <c r="B23" s="2">
        <v>-2.8481789643117978E-3</v>
      </c>
      <c r="C23" s="2">
        <v>6.3356310452870376E-3</v>
      </c>
      <c r="D23" s="2">
        <v>6.3656728793395484E-3</v>
      </c>
      <c r="E23" s="2">
        <v>4.2630185348634317E-3</v>
      </c>
      <c r="F23" s="2">
        <v>3.7541004449383937E-3</v>
      </c>
      <c r="G23" s="2">
        <v>2.4305427325623605E-2</v>
      </c>
    </row>
    <row r="24" spans="1:7" ht="18" x14ac:dyDescent="0.35">
      <c r="A24" s="47">
        <v>43798</v>
      </c>
      <c r="B24" s="2">
        <v>4.2726361986915443E-2</v>
      </c>
      <c r="C24" s="2">
        <v>3.9321106568547287E-2</v>
      </c>
      <c r="D24" s="2">
        <v>3.922725211229218E-2</v>
      </c>
      <c r="E24" s="2">
        <v>6.1130997266801997E-2</v>
      </c>
      <c r="F24" s="2">
        <v>1.6661588421304516E-3</v>
      </c>
      <c r="G24" s="2">
        <v>-6.7057844656638705E-3</v>
      </c>
    </row>
    <row r="25" spans="1:7" ht="18" x14ac:dyDescent="0.35">
      <c r="A25" s="47">
        <v>43830</v>
      </c>
      <c r="B25" s="2">
        <v>2.4032214022871871E-2</v>
      </c>
      <c r="C25" s="2">
        <v>1.4535921595296744E-2</v>
      </c>
      <c r="D25" s="2">
        <v>1.4412064540189687E-2</v>
      </c>
      <c r="E25" s="2">
        <v>2.8217190158084843E-2</v>
      </c>
      <c r="F25" s="2">
        <v>7.6515270330075593E-3</v>
      </c>
      <c r="G25" s="2">
        <v>-8.2956477040028662E-3</v>
      </c>
    </row>
    <row r="26" spans="1:7" ht="18" x14ac:dyDescent="0.35">
      <c r="A26" s="47">
        <v>43861</v>
      </c>
      <c r="B26" s="2">
        <v>3.1073553013107026E-2</v>
      </c>
      <c r="C26" s="2">
        <v>9.7376358387128766E-3</v>
      </c>
      <c r="D26" s="2">
        <v>9.9017809063483911E-3</v>
      </c>
      <c r="E26" s="2">
        <v>-5.6939135991820218E-2</v>
      </c>
      <c r="F26" s="2">
        <v>1.184809974859948E-2</v>
      </c>
      <c r="G26" s="2">
        <v>2.0127921006319941E-2</v>
      </c>
    </row>
    <row r="27" spans="1:7" ht="18" x14ac:dyDescent="0.35">
      <c r="A27" s="47">
        <v>43889</v>
      </c>
      <c r="B27" s="2">
        <v>9.9796973145852873E-5</v>
      </c>
      <c r="C27" s="2">
        <v>-2.393231095406392E-2</v>
      </c>
      <c r="D27" s="2">
        <v>-2.3946643109540949E-2</v>
      </c>
      <c r="E27" s="2">
        <v>-0.14524407021346367</v>
      </c>
      <c r="F27" s="2">
        <v>1.7073023296573543E-2</v>
      </c>
      <c r="G27" s="2">
        <v>1.2046142836991715E-2</v>
      </c>
    </row>
    <row r="28" spans="1:7" ht="18" x14ac:dyDescent="0.35">
      <c r="A28" s="47">
        <v>43921</v>
      </c>
      <c r="B28" s="2">
        <v>-0.20108704200327593</v>
      </c>
      <c r="C28" s="2">
        <v>-0.20689684069188846</v>
      </c>
      <c r="D28" s="2">
        <v>-0.20600441776584261</v>
      </c>
      <c r="E28" s="2">
        <v>-0.41888296011196663</v>
      </c>
      <c r="F28" s="2">
        <v>-4.8553944067011558E-2</v>
      </c>
      <c r="G28" s="2">
        <v>-0.23945420556791153</v>
      </c>
    </row>
    <row r="29" spans="1:7" ht="18" x14ac:dyDescent="0.35">
      <c r="A29" s="47">
        <v>43951</v>
      </c>
      <c r="B29" s="2">
        <v>3.6218825348637039E-2</v>
      </c>
      <c r="C29" s="2">
        <v>8.9190365448506941E-3</v>
      </c>
      <c r="D29" s="2">
        <v>8.933255813953685E-3</v>
      </c>
      <c r="E29" s="2">
        <v>-0.24377427476737776</v>
      </c>
      <c r="F29" s="2">
        <v>2.0624247238142508E-2</v>
      </c>
      <c r="G29" s="2">
        <v>-5.6346948465578341E-2</v>
      </c>
    </row>
    <row r="30" spans="1:7" ht="18" x14ac:dyDescent="0.35">
      <c r="A30" s="47">
        <v>43980</v>
      </c>
      <c r="B30" s="2">
        <v>6.3434640418557162E-2</v>
      </c>
      <c r="C30" s="2">
        <v>4.6043943438905104E-2</v>
      </c>
      <c r="D30" s="2">
        <v>4.5810543069619326E-2</v>
      </c>
      <c r="E30" s="2">
        <v>2.5056451846487544E-2</v>
      </c>
      <c r="F30" s="2">
        <v>1.582533806312774E-2</v>
      </c>
      <c r="G30" s="2">
        <v>8.7254006309770912E-3</v>
      </c>
    </row>
    <row r="31" spans="1:7" ht="18" x14ac:dyDescent="0.35">
      <c r="A31" s="47">
        <v>44012</v>
      </c>
      <c r="B31" s="2">
        <v>7.187115032340792E-2</v>
      </c>
      <c r="C31" s="2">
        <v>9.3726443520604774E-2</v>
      </c>
      <c r="D31" s="2">
        <v>9.2806737116745142E-2</v>
      </c>
      <c r="E31" s="2">
        <v>8.0657539789587548E-2</v>
      </c>
      <c r="F31" s="2">
        <v>2.9967538054374715E-2</v>
      </c>
      <c r="G31" s="2">
        <v>0.10412351148548932</v>
      </c>
    </row>
    <row r="32" spans="1:7" ht="18" x14ac:dyDescent="0.35">
      <c r="A32" s="47">
        <v>44043</v>
      </c>
      <c r="B32" s="2">
        <v>3.3645749871414179E-2</v>
      </c>
      <c r="C32" s="2">
        <v>2.1713121145974287E-2</v>
      </c>
      <c r="D32" s="2">
        <v>2.1454374915833584E-2</v>
      </c>
      <c r="E32" s="2">
        <v>-0.14311048034934509</v>
      </c>
      <c r="F32" s="2">
        <v>2.7014605693028614E-2</v>
      </c>
      <c r="G32" s="2">
        <v>-1.6086688172862761E-2</v>
      </c>
    </row>
    <row r="33" spans="1:7" ht="18" x14ac:dyDescent="0.35">
      <c r="A33" s="47">
        <v>44074</v>
      </c>
      <c r="B33" s="2">
        <v>5.8209739731859445E-2</v>
      </c>
      <c r="C33" s="2">
        <v>3.6056340267273203E-2</v>
      </c>
      <c r="D33" s="2">
        <v>3.6296352214589392E-2</v>
      </c>
      <c r="E33" s="2">
        <v>4.2003498542274247E-2</v>
      </c>
      <c r="F33" s="2">
        <v>5.2067085466526788E-3</v>
      </c>
      <c r="G33" s="2">
        <v>3.6952984880260907E-2</v>
      </c>
    </row>
    <row r="34" spans="1:7" ht="18" x14ac:dyDescent="0.35">
      <c r="A34" s="47">
        <v>44104</v>
      </c>
      <c r="B34" s="2">
        <v>-7.7773533571256484E-3</v>
      </c>
      <c r="C34" s="2">
        <v>-4.9700748396294073E-3</v>
      </c>
      <c r="D34" s="2">
        <v>-5.0371703492516455E-3</v>
      </c>
      <c r="E34" s="2">
        <v>4.4994285714285348E-2</v>
      </c>
      <c r="F34" s="2">
        <v>-4.7334620365844741E-3</v>
      </c>
      <c r="G34" s="2">
        <v>-8.4231385292062467E-3</v>
      </c>
    </row>
    <row r="35" spans="1:7" ht="18" x14ac:dyDescent="0.35">
      <c r="A35" s="47">
        <v>44134</v>
      </c>
      <c r="B35" s="2">
        <v>2.2794968091545003E-2</v>
      </c>
      <c r="C35" s="2">
        <v>-2.4502512906423449E-3</v>
      </c>
      <c r="D35" s="2">
        <v>-2.4279189032102963E-3</v>
      </c>
      <c r="E35" s="2">
        <v>0.15807330063069397</v>
      </c>
      <c r="F35" s="2">
        <v>-2.7072780014928285E-3</v>
      </c>
      <c r="G35" s="2">
        <v>4.7640336383793251E-3</v>
      </c>
    </row>
    <row r="36" spans="1:7" ht="18" x14ac:dyDescent="0.35">
      <c r="A36" s="47">
        <v>44165</v>
      </c>
      <c r="B36" s="2">
        <v>4.3050321013195593E-2</v>
      </c>
      <c r="C36" s="2">
        <v>6.4890301890856789E-2</v>
      </c>
      <c r="D36" s="2">
        <v>6.5853143758016985E-2</v>
      </c>
      <c r="E36" s="2">
        <v>0.10506315789473712</v>
      </c>
      <c r="F36" s="2">
        <v>1.1806029719343964E-2</v>
      </c>
      <c r="G36" s="2">
        <v>5.3300429424588361E-2</v>
      </c>
    </row>
    <row r="37" spans="1:7" ht="18" x14ac:dyDescent="0.35">
      <c r="A37" s="47">
        <v>44196</v>
      </c>
      <c r="B37" s="2">
        <v>5.4380805332854165E-2</v>
      </c>
      <c r="C37" s="2">
        <v>6.2574300268992217E-2</v>
      </c>
      <c r="D37" s="2">
        <v>6.2555593452768316E-2</v>
      </c>
      <c r="E37" s="2">
        <v>7.2625914315569307E-2</v>
      </c>
      <c r="F37" s="2">
        <v>1.0291798108077682E-2</v>
      </c>
      <c r="G37" s="2">
        <v>3.4378345572523401E-2</v>
      </c>
    </row>
    <row r="38" spans="1:7" ht="18" x14ac:dyDescent="0.35">
      <c r="A38" s="47">
        <v>44225</v>
      </c>
      <c r="B38" s="2">
        <v>3.3158638968334E-2</v>
      </c>
      <c r="C38" s="2">
        <v>3.4174288279417361E-2</v>
      </c>
      <c r="D38" s="2">
        <v>3.4477569579194359E-2</v>
      </c>
      <c r="E38" s="2">
        <v>0.1594578947368418</v>
      </c>
      <c r="F38" s="2">
        <v>-4.6555484989514633E-3</v>
      </c>
      <c r="G38" s="2">
        <v>8.3617106444322502E-3</v>
      </c>
    </row>
    <row r="39" spans="1:7" ht="18" x14ac:dyDescent="0.35">
      <c r="A39" s="47">
        <v>44253</v>
      </c>
      <c r="B39" s="2">
        <v>2.8784941685065166E-2</v>
      </c>
      <c r="C39" s="2">
        <v>1.2692144236960976E-2</v>
      </c>
      <c r="D39" s="2">
        <v>1.2865537669027947E-2</v>
      </c>
      <c r="E39" s="2">
        <v>0.16518636806231771</v>
      </c>
      <c r="F39" s="2">
        <v>-1.0488455575751324E-2</v>
      </c>
      <c r="G39" s="2">
        <v>4.0601766158004086E-2</v>
      </c>
    </row>
    <row r="40" spans="1:7" ht="18" x14ac:dyDescent="0.35">
      <c r="A40" s="47">
        <v>44286</v>
      </c>
      <c r="B40" s="2">
        <v>2.0993751336807411E-3</v>
      </c>
      <c r="C40" s="2">
        <v>3.1058505462423164E-3</v>
      </c>
      <c r="D40" s="2">
        <v>3.137911340616235E-3</v>
      </c>
      <c r="E40" s="2">
        <v>0.28074790794979082</v>
      </c>
      <c r="F40" s="2">
        <v>-2.5613241244602295E-2</v>
      </c>
      <c r="G40" s="2">
        <v>2.0754429559147601E-2</v>
      </c>
    </row>
    <row r="41" spans="1:7" ht="18" x14ac:dyDescent="0.35">
      <c r="A41" s="47">
        <v>44316</v>
      </c>
      <c r="B41" s="2">
        <v>5.3792403664890215E-2</v>
      </c>
      <c r="C41" s="2">
        <v>3.1352314502814956E-2</v>
      </c>
      <c r="D41" s="2">
        <v>3.1358576199340377E-2</v>
      </c>
      <c r="E41" s="2">
        <v>1.5093603238866179E-2</v>
      </c>
      <c r="F41" s="2">
        <v>9.5475969758557142E-3</v>
      </c>
      <c r="G41" s="2">
        <v>5.3150029035407574E-2</v>
      </c>
    </row>
    <row r="42" spans="1:7" ht="18" x14ac:dyDescent="0.35">
      <c r="A42" s="47">
        <v>44347</v>
      </c>
      <c r="B42" s="2">
        <v>1.7713544867557075E-3</v>
      </c>
      <c r="C42" s="2">
        <v>1.8151440703670182E-2</v>
      </c>
      <c r="D42" s="2">
        <v>1.8173218077039918E-2</v>
      </c>
      <c r="E42" s="2">
        <v>-8.4770642201833606E-3</v>
      </c>
      <c r="F42" s="2">
        <v>3.5140708592006054E-3</v>
      </c>
      <c r="G42" s="2">
        <v>2.2718963368032606E-2</v>
      </c>
    </row>
    <row r="43" spans="1:7" ht="18" x14ac:dyDescent="0.35">
      <c r="A43" s="47">
        <v>44377</v>
      </c>
      <c r="B43" s="2">
        <v>2.0769396942809361E-2</v>
      </c>
      <c r="C43" s="2">
        <v>1.7441358945747804E-2</v>
      </c>
      <c r="D43" s="2">
        <v>1.7232813402355041E-2</v>
      </c>
      <c r="E43" s="2">
        <v>-6.3220099826145515E-2</v>
      </c>
      <c r="F43" s="2">
        <v>1.3781887415429123E-2</v>
      </c>
      <c r="G43" s="2">
        <v>5.0712152334069296E-2</v>
      </c>
    </row>
    <row r="44" spans="1:7" ht="18" x14ac:dyDescent="0.35">
      <c r="A44" s="47">
        <v>44407</v>
      </c>
      <c r="B44" s="2">
        <v>2.2943546000919659E-2</v>
      </c>
      <c r="C44" s="2">
        <v>-1.8762191536988555E-2</v>
      </c>
      <c r="D44" s="2">
        <v>-1.863583429973836E-2</v>
      </c>
      <c r="E44" s="2">
        <v>-0.13103606052834035</v>
      </c>
      <c r="F44" s="2">
        <v>1.5749188143968921E-2</v>
      </c>
      <c r="G44" s="2">
        <v>1.3130239418634285E-2</v>
      </c>
    </row>
    <row r="45" spans="1:7" ht="18" x14ac:dyDescent="0.35">
      <c r="A45" s="47">
        <v>44439</v>
      </c>
      <c r="B45" s="2">
        <v>1.8254738749828324E-2</v>
      </c>
      <c r="C45" s="2">
        <v>1.3792069249794217E-2</v>
      </c>
      <c r="D45" s="2">
        <v>1.389850233580686E-2</v>
      </c>
      <c r="E45" s="2">
        <v>-2.6887668669359079E-2</v>
      </c>
      <c r="F45" s="2">
        <v>1.3781642903578784E-3</v>
      </c>
      <c r="G45" s="2">
        <v>1.3611942108422755E-2</v>
      </c>
    </row>
    <row r="46" spans="1:7" ht="18" x14ac:dyDescent="0.35">
      <c r="A46" s="47">
        <v>44469</v>
      </c>
      <c r="B46" s="2">
        <v>-1.2646118034778582E-3</v>
      </c>
      <c r="C46" s="2">
        <v>2.113587943511879E-3</v>
      </c>
      <c r="D46" s="2">
        <v>2.1053424768921968E-3</v>
      </c>
      <c r="E46" s="2">
        <v>7.0770028507329316E-2</v>
      </c>
      <c r="F46" s="2">
        <v>8.2682411677031508E-4</v>
      </c>
      <c r="G46" s="2">
        <v>1.392302174252657E-3</v>
      </c>
    </row>
    <row r="47" spans="1:7" ht="18" x14ac:dyDescent="0.35">
      <c r="A47" s="47">
        <v>44498</v>
      </c>
      <c r="B47" s="2">
        <v>4.2217751272959313E-3</v>
      </c>
      <c r="C47" s="2">
        <v>-1.867116646122893E-2</v>
      </c>
      <c r="D47" s="2">
        <v>-1.8843354443830476E-2</v>
      </c>
      <c r="E47" s="2">
        <v>0.1504888725320403</v>
      </c>
      <c r="F47" s="2">
        <v>-1.1989721748997692E-2</v>
      </c>
      <c r="G47" s="2">
        <v>-3.1366277904244229E-3</v>
      </c>
    </row>
    <row r="48" spans="1:7" ht="18" x14ac:dyDescent="0.35">
      <c r="A48" s="47">
        <v>44530</v>
      </c>
      <c r="B48" s="2">
        <v>4.3004901139864035E-2</v>
      </c>
      <c r="C48" s="2">
        <v>1.2808437114430839E-2</v>
      </c>
      <c r="D48" s="2">
        <v>1.2668370698028871E-2</v>
      </c>
      <c r="E48" s="2">
        <v>-1.4422053712480336E-2</v>
      </c>
      <c r="F48" s="2">
        <v>2.4800121693261388E-3</v>
      </c>
      <c r="G48" s="2">
        <v>3.468093344374696E-2</v>
      </c>
    </row>
    <row r="49" spans="1:7" ht="18" x14ac:dyDescent="0.35">
      <c r="A49" s="47">
        <v>44561</v>
      </c>
      <c r="B49" s="2">
        <v>-1.0318447326473239E-2</v>
      </c>
      <c r="C49" s="2">
        <v>-2.6340810349295793E-2</v>
      </c>
      <c r="D49" s="2">
        <v>-2.6195324853291447E-2</v>
      </c>
      <c r="E49" s="2">
        <v>-6.0541808271881895E-2</v>
      </c>
      <c r="F49" s="2">
        <v>9.5507085831190921E-4</v>
      </c>
      <c r="G49" s="2">
        <v>1.0640118028090449E-2</v>
      </c>
    </row>
    <row r="50" spans="1:7" ht="18" x14ac:dyDescent="0.35">
      <c r="A50" s="47">
        <v>44592</v>
      </c>
      <c r="B50" s="2">
        <v>-2.7527915435828134E-2</v>
      </c>
      <c r="C50" s="2">
        <v>-7.3089628738247604E-3</v>
      </c>
      <c r="D50" s="2">
        <v>-7.3002374903701336E-3</v>
      </c>
      <c r="E50" s="2">
        <v>0.20493235494880524</v>
      </c>
      <c r="F50" s="2">
        <v>-2.2838860585413619E-2</v>
      </c>
      <c r="G50" s="2">
        <v>-1.0811215683764579E-2</v>
      </c>
    </row>
    <row r="51" spans="1:7" ht="18" x14ac:dyDescent="0.35">
      <c r="A51" s="47">
        <v>44620</v>
      </c>
      <c r="B51" s="2">
        <v>-3.0557441128042036E-2</v>
      </c>
      <c r="C51" s="2">
        <v>-2.3068135713232137E-2</v>
      </c>
      <c r="D51" s="2">
        <v>-2.3051916654373898E-2</v>
      </c>
      <c r="E51" s="2">
        <v>9.6442982456140428E-2</v>
      </c>
      <c r="F51" s="2">
        <v>-2.8558647175875425E-2</v>
      </c>
      <c r="G51" s="2">
        <v>-3.693243734957917E-2</v>
      </c>
    </row>
    <row r="52" spans="1:7" ht="18" x14ac:dyDescent="0.35">
      <c r="A52" s="47">
        <v>44651</v>
      </c>
      <c r="B52" s="2">
        <v>-1.0607005340030624E-2</v>
      </c>
      <c r="C52" s="2">
        <v>-4.3663969423336876E-2</v>
      </c>
      <c r="D52" s="2">
        <v>-4.314477834814856E-2</v>
      </c>
      <c r="E52" s="2">
        <v>9.9529988760721735E-2</v>
      </c>
      <c r="F52" s="2">
        <v>-2.567236074795037E-2</v>
      </c>
      <c r="G52" s="2">
        <v>1.4498529112125342E-2</v>
      </c>
    </row>
    <row r="53" spans="1:7" ht="18" x14ac:dyDescent="0.35">
      <c r="A53" s="47">
        <v>44680</v>
      </c>
      <c r="B53" s="2">
        <v>-2.6200770653339173E-3</v>
      </c>
      <c r="C53" s="2">
        <v>-4.7487846121322336E-3</v>
      </c>
      <c r="D53" s="2">
        <v>-4.7050018254832498E-3</v>
      </c>
      <c r="E53" s="2">
        <v>0.29081623416428304</v>
      </c>
      <c r="F53" s="2">
        <v>-3.3954670503400571E-2</v>
      </c>
      <c r="G53" s="2">
        <v>3.0287832294783823E-2</v>
      </c>
    </row>
    <row r="54" spans="1:7" ht="18" x14ac:dyDescent="0.35">
      <c r="A54" s="47">
        <v>44712</v>
      </c>
      <c r="B54" s="2">
        <v>-8.315391535078652E-2</v>
      </c>
      <c r="C54" s="2">
        <v>-5.3020761343452794E-2</v>
      </c>
      <c r="D54" s="2">
        <v>-5.3681257064428098E-2</v>
      </c>
      <c r="E54" s="2">
        <v>5.5337926253303749E-2</v>
      </c>
      <c r="F54" s="2">
        <v>-2.3856971031318744E-2</v>
      </c>
      <c r="G54" s="2">
        <v>-0.10229899193269036</v>
      </c>
    </row>
    <row r="55" spans="1:7" ht="18" x14ac:dyDescent="0.35">
      <c r="A55" s="47">
        <v>44742</v>
      </c>
      <c r="B55" s="2">
        <v>-3.4738928759830819E-2</v>
      </c>
      <c r="C55" s="2">
        <v>-3.9644803325871641E-2</v>
      </c>
      <c r="D55" s="2">
        <v>-3.920246242404881E-2</v>
      </c>
      <c r="E55" s="2">
        <v>8.410425566874824E-2</v>
      </c>
      <c r="F55" s="2">
        <v>-1.4212127901799163E-2</v>
      </c>
      <c r="G55" s="2">
        <v>-5.1979282738774633E-2</v>
      </c>
    </row>
    <row r="56" spans="1:7" ht="18" x14ac:dyDescent="0.35">
      <c r="A56" s="47">
        <v>44771</v>
      </c>
      <c r="B56" s="2">
        <v>2.9829006816664348E-3</v>
      </c>
      <c r="C56" s="2">
        <v>-3.8237693326040108E-2</v>
      </c>
      <c r="D56" s="2">
        <v>-3.8453486012350525E-2</v>
      </c>
      <c r="E56" s="2">
        <v>-7.8134252386002467E-2</v>
      </c>
      <c r="F56" s="2">
        <v>1.0008307308283879E-2</v>
      </c>
      <c r="G56" s="2">
        <v>1.8055293951740859E-3</v>
      </c>
    </row>
    <row r="57" spans="1:7" ht="18" x14ac:dyDescent="0.35">
      <c r="A57" s="47">
        <v>44804</v>
      </c>
      <c r="B57" s="2">
        <v>6.6619955660022254E-2</v>
      </c>
      <c r="C57" s="2">
        <v>3.6769716322683915E-2</v>
      </c>
      <c r="D57" s="2">
        <v>3.6972619342423817E-2</v>
      </c>
      <c r="E57" s="2">
        <v>6.2771739130423898E-4</v>
      </c>
      <c r="F57" s="2">
        <v>8.6284288497540402E-3</v>
      </c>
      <c r="G57" s="2">
        <v>4.8108839252425872E-2</v>
      </c>
    </row>
    <row r="58" spans="1:7" ht="18" x14ac:dyDescent="0.35">
      <c r="A58" s="47">
        <v>44834</v>
      </c>
      <c r="B58" s="2">
        <v>-7.4174156985161346E-2</v>
      </c>
      <c r="C58" s="2">
        <v>-8.2215525753316393E-2</v>
      </c>
      <c r="D58" s="2">
        <v>-8.1622328253142154E-2</v>
      </c>
      <c r="E58" s="2">
        <v>0.21536114742971488</v>
      </c>
      <c r="F58" s="2">
        <v>-4.2431209770121714E-2</v>
      </c>
      <c r="G58" s="2">
        <v>-9.1825228412229662E-2</v>
      </c>
    </row>
    <row r="59" spans="1:7" ht="18" x14ac:dyDescent="0.35">
      <c r="A59" s="47">
        <v>44865</v>
      </c>
      <c r="B59" s="2">
        <v>-3.1206989501653092E-2</v>
      </c>
      <c r="C59" s="2">
        <v>-3.4668131148222869E-2</v>
      </c>
      <c r="D59" s="2">
        <v>-3.4350992034606828E-2</v>
      </c>
      <c r="E59" s="2">
        <v>0.13262912246278724</v>
      </c>
      <c r="F59" s="2">
        <v>-3.6882227505703358E-2</v>
      </c>
      <c r="G59" s="2">
        <v>-8.548330022472754E-2</v>
      </c>
    </row>
    <row r="60" spans="1:7" ht="18" x14ac:dyDescent="0.35">
      <c r="A60" s="47">
        <v>44895</v>
      </c>
      <c r="B60" s="2">
        <v>4.9498598103071494E-2</v>
      </c>
      <c r="C60" s="2">
        <v>0.1015587004986486</v>
      </c>
      <c r="D60" s="2">
        <v>0.1017940980711034</v>
      </c>
      <c r="E60" s="2">
        <v>-2.3450671520019811E-2</v>
      </c>
      <c r="F60" s="2">
        <v>2.3963477935177505E-2</v>
      </c>
      <c r="G60" s="2">
        <v>7.288115611510744E-2</v>
      </c>
    </row>
    <row r="61" spans="1:7" ht="18" x14ac:dyDescent="0.35">
      <c r="A61" s="47">
        <v>44925</v>
      </c>
      <c r="B61" s="2">
        <v>-3.8392555053086072E-3</v>
      </c>
      <c r="C61" s="2">
        <v>2.9782810149090361E-2</v>
      </c>
      <c r="D61" s="2">
        <v>2.951955956777454E-2</v>
      </c>
      <c r="E61" s="2">
        <v>-7.0556338803833302E-2</v>
      </c>
      <c r="F61" s="2">
        <v>3.4856355206119155E-2</v>
      </c>
      <c r="G61" s="2">
        <v>1.2630699487423295E-2</v>
      </c>
    </row>
    <row r="62" spans="1:7" ht="18" x14ac:dyDescent="0.35">
      <c r="A62" s="47">
        <v>44957</v>
      </c>
      <c r="B62" s="2">
        <v>1.5422200544242167E-2</v>
      </c>
      <c r="C62" s="2">
        <v>4.5079756883323885E-2</v>
      </c>
      <c r="D62" s="2">
        <v>4.4503072171111595E-2</v>
      </c>
      <c r="E62" s="2">
        <v>-2.3403411245720037E-2</v>
      </c>
      <c r="F62" s="2">
        <v>1.3986764986804647E-2</v>
      </c>
      <c r="G62" s="2">
        <v>3.5957346510628901E-2</v>
      </c>
    </row>
    <row r="63" spans="1:7" ht="18" x14ac:dyDescent="0.35">
      <c r="A63" s="47">
        <v>44985</v>
      </c>
      <c r="B63" s="2">
        <v>3.3217192895642442E-2</v>
      </c>
      <c r="C63" s="2">
        <v>1.4323479573994366E-2</v>
      </c>
      <c r="D63" s="2">
        <v>1.4286242250834297E-2</v>
      </c>
      <c r="E63" s="2">
        <v>6.1044593396275749E-2</v>
      </c>
      <c r="F63" s="2">
        <v>-7.0131001563469427E-3</v>
      </c>
      <c r="G63" s="2">
        <v>2.8414758703510404E-2</v>
      </c>
    </row>
    <row r="64" spans="1:7" ht="18" x14ac:dyDescent="0.35">
      <c r="A64" s="47">
        <v>45016</v>
      </c>
      <c r="B64" s="2">
        <v>-3.3489369115843166E-2</v>
      </c>
      <c r="C64" s="2">
        <v>-2.6639369523995031E-2</v>
      </c>
      <c r="D64" s="2">
        <v>-2.6467348957825782E-2</v>
      </c>
      <c r="E64" s="2">
        <v>-2.2356188277543061E-2</v>
      </c>
      <c r="F64" s="2">
        <v>-3.4025135302636379E-3</v>
      </c>
      <c r="G64" s="2">
        <v>-7.0410338341876225E-2</v>
      </c>
    </row>
    <row r="65" spans="1:7" ht="18" x14ac:dyDescent="0.35">
      <c r="A65" s="47">
        <v>45044</v>
      </c>
      <c r="B65" s="2">
        <v>3.2412601238522784E-2</v>
      </c>
      <c r="C65" s="2">
        <v>4.4995923690450648E-2</v>
      </c>
      <c r="D65" s="2">
        <v>4.4634313429618572E-2</v>
      </c>
      <c r="E65" s="2">
        <v>-5.5579928783382575E-2</v>
      </c>
      <c r="F65" s="2">
        <v>2.032526052480714E-2</v>
      </c>
      <c r="G65" s="2">
        <v>1.2645550163983096E-2</v>
      </c>
    </row>
    <row r="66" spans="1:7" ht="18" x14ac:dyDescent="0.35">
      <c r="A66" s="47">
        <v>45077</v>
      </c>
      <c r="B66" s="2">
        <v>4.2673422418471841E-3</v>
      </c>
      <c r="C66" s="2">
        <v>-1.6849955929232454E-4</v>
      </c>
      <c r="D66" s="2">
        <v>-1.6816350113657601E-4</v>
      </c>
      <c r="E66" s="2">
        <v>3.3082632685233884E-2</v>
      </c>
      <c r="F66" s="2">
        <v>-1.0671992647243791E-2</v>
      </c>
      <c r="G66" s="2">
        <v>-6.3827462798613068E-3</v>
      </c>
    </row>
    <row r="67" spans="1:7" ht="18" x14ac:dyDescent="0.35">
      <c r="A67" s="47">
        <v>45107</v>
      </c>
      <c r="B67" s="2">
        <v>4.9320739952155433E-2</v>
      </c>
      <c r="C67" s="2">
        <v>3.6977369889596825E-3</v>
      </c>
      <c r="D67" s="2">
        <v>3.6571673631083401E-3</v>
      </c>
      <c r="E67" s="2">
        <v>4.8369177841576648E-2</v>
      </c>
      <c r="F67" s="2">
        <v>1.0717618747612065E-4</v>
      </c>
      <c r="G67" s="2">
        <v>9.6554081111199595E-3</v>
      </c>
    </row>
    <row r="68" spans="1:7" ht="18" x14ac:dyDescent="0.35">
      <c r="A68" s="47">
        <v>45138</v>
      </c>
      <c r="B68" s="2">
        <v>3.9473115143975876E-2</v>
      </c>
      <c r="C68" s="2">
        <v>1.5040774961172844E-2</v>
      </c>
      <c r="D68" s="2">
        <v>1.5193205050584689E-2</v>
      </c>
      <c r="E68" s="2">
        <v>4.019718523694573E-2</v>
      </c>
      <c r="F68" s="2">
        <v>2.9564103004356061E-3</v>
      </c>
      <c r="G68" s="2">
        <v>3.6615602870089699E-2</v>
      </c>
    </row>
    <row r="69" spans="1:7" ht="18" x14ac:dyDescent="0.35">
      <c r="A69" s="47">
        <v>45169</v>
      </c>
      <c r="B69" s="2">
        <v>-1.2628271023614702E-2</v>
      </c>
      <c r="C69" s="2">
        <v>-2.4700902472600966E-2</v>
      </c>
      <c r="D69" s="2">
        <v>-2.4769926950568313E-2</v>
      </c>
      <c r="E69" s="2">
        <v>6.8576427301159329E-2</v>
      </c>
      <c r="F69" s="2">
        <v>-1.1700040263673659E-2</v>
      </c>
      <c r="G69" s="2">
        <v>-3.0100516263059967E-2</v>
      </c>
    </row>
    <row r="70" spans="1:7" ht="18" x14ac:dyDescent="0.35">
      <c r="A70" s="47">
        <v>45198</v>
      </c>
      <c r="B70" s="2">
        <v>-1.2104702768252739E-2</v>
      </c>
      <c r="C70" s="2">
        <v>-1.5910618211205579E-2</v>
      </c>
      <c r="D70" s="2">
        <v>-1.5755778033976368E-2</v>
      </c>
      <c r="E70" s="2">
        <v>5.0546037972042435E-2</v>
      </c>
      <c r="F70" s="2">
        <v>-5.8931611317320593E-3</v>
      </c>
      <c r="G70" s="2">
        <v>-2.3630310876056031E-2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DB2C5-64D1-4B2A-985D-003BB7D9FF5C}">
  <sheetPr>
    <tabColor rgb="FF06005A"/>
  </sheetPr>
  <dimension ref="A1:P85"/>
  <sheetViews>
    <sheetView zoomScaleNormal="100" workbookViewId="0"/>
  </sheetViews>
  <sheetFormatPr defaultColWidth="8.7265625" defaultRowHeight="17.5" x14ac:dyDescent="0.35"/>
  <cols>
    <col min="1" max="1" width="47.81640625" style="2" customWidth="1"/>
    <col min="2" max="2" width="19.7265625" style="2" bestFit="1" customWidth="1"/>
    <col min="3" max="3" width="14.81640625" style="2" bestFit="1" customWidth="1"/>
    <col min="4" max="4" width="10" style="2" bestFit="1" customWidth="1"/>
    <col min="5" max="5" width="18.54296875" style="2" customWidth="1"/>
    <col min="6" max="6" width="24.1796875" style="2" bestFit="1" customWidth="1"/>
    <col min="7" max="7" width="10" style="2" bestFit="1" customWidth="1"/>
    <col min="8" max="8" width="22.54296875" style="2" bestFit="1" customWidth="1"/>
    <col min="9" max="9" width="21" style="2" bestFit="1" customWidth="1"/>
    <col min="10" max="11" width="9.7265625" style="2" bestFit="1" customWidth="1"/>
    <col min="12" max="12" width="12.1796875" style="2" bestFit="1" customWidth="1"/>
    <col min="13" max="13" width="9.7265625" style="2" bestFit="1" customWidth="1"/>
    <col min="14" max="15" width="8.7265625" style="2"/>
    <col min="16" max="16" width="9.81640625" style="2" bestFit="1" customWidth="1"/>
    <col min="17" max="17" width="19" style="2" bestFit="1" customWidth="1"/>
    <col min="18" max="16384" width="8.7265625" style="2"/>
  </cols>
  <sheetData>
    <row r="1" spans="1:16" ht="18" x14ac:dyDescent="0.35">
      <c r="A1" s="1" t="s">
        <v>19</v>
      </c>
      <c r="B1" s="1"/>
      <c r="C1" s="1"/>
      <c r="D1" s="1"/>
      <c r="E1" s="1"/>
      <c r="I1" s="11"/>
      <c r="J1" s="11"/>
      <c r="K1" s="11"/>
      <c r="L1" s="11"/>
      <c r="M1" s="11"/>
    </row>
    <row r="2" spans="1:16" x14ac:dyDescent="0.35">
      <c r="C2" s="26"/>
      <c r="I2" s="11"/>
      <c r="J2" s="11"/>
      <c r="K2" s="11"/>
      <c r="L2" s="11"/>
      <c r="M2" s="11"/>
    </row>
    <row r="3" spans="1:16" ht="18" x14ac:dyDescent="0.4">
      <c r="A3" s="8" t="s">
        <v>20</v>
      </c>
      <c r="B3" s="84">
        <f>TAAPortfolioPerformance!B4</f>
        <v>43555</v>
      </c>
      <c r="C3" s="26"/>
      <c r="E3" s="8" t="s">
        <v>69</v>
      </c>
      <c r="F3" s="85">
        <f>SKEW(H17:H31)</f>
        <v>-0.34198492278383097</v>
      </c>
      <c r="I3" s="11"/>
      <c r="J3" s="11"/>
      <c r="K3" s="11"/>
      <c r="L3" s="11"/>
      <c r="M3" s="11"/>
    </row>
    <row r="4" spans="1:16" ht="18" x14ac:dyDescent="0.4">
      <c r="C4" s="26"/>
      <c r="E4" s="8" t="s">
        <v>70</v>
      </c>
      <c r="F4" s="85">
        <f>KURT(H17:H31)</f>
        <v>1.5451986260701025</v>
      </c>
      <c r="I4" s="11"/>
      <c r="J4" s="11"/>
      <c r="K4" s="11"/>
      <c r="L4" s="11"/>
      <c r="M4" s="11"/>
    </row>
    <row r="5" spans="1:16" ht="18" x14ac:dyDescent="0.4">
      <c r="A5" s="27" t="s">
        <v>21</v>
      </c>
      <c r="B5" s="28">
        <f>(1+AVERAGEIFS(H17:H85,A17:A85,"&lt;="&amp;B3))^12-1</f>
        <v>1.8860415658675578E-2</v>
      </c>
      <c r="G5" s="8"/>
      <c r="H5" s="29"/>
      <c r="I5" s="11"/>
      <c r="J5" s="11"/>
      <c r="K5" s="11"/>
      <c r="L5" s="11"/>
      <c r="M5" s="11"/>
    </row>
    <row r="6" spans="1:16" ht="18" x14ac:dyDescent="0.4">
      <c r="A6" s="27" t="s">
        <v>22</v>
      </c>
      <c r="B6" s="28" cm="1">
        <f t="array" ref="B6">GEOMEAN(IF((A17:A85&lt;=B3), (1+H17:H85)))^12-1</f>
        <v>1.6064598434413657E-2</v>
      </c>
      <c r="G6" s="8"/>
      <c r="H6" s="29"/>
      <c r="I6" s="11"/>
      <c r="J6" s="11"/>
      <c r="K6" s="11"/>
      <c r="L6" s="11"/>
      <c r="M6" s="11"/>
    </row>
    <row r="7" spans="1:16" ht="18" x14ac:dyDescent="0.4">
      <c r="A7" s="8" t="s">
        <v>23</v>
      </c>
      <c r="B7" s="28" cm="1">
        <f t="array" ref="B7">_xlfn.STDEV.S(IF((A17:A85&lt;=B3),H17:H85))*SQRT(12)</f>
        <v>7.665440734632592E-2</v>
      </c>
      <c r="G7" s="30"/>
      <c r="I7" s="11"/>
      <c r="J7" s="11"/>
      <c r="K7" s="11"/>
      <c r="L7" s="11"/>
      <c r="M7" s="11"/>
    </row>
    <row r="8" spans="1:16" ht="18" x14ac:dyDescent="0.4">
      <c r="A8" s="8" t="s">
        <v>16</v>
      </c>
      <c r="B8" s="31">
        <v>2.35E-2</v>
      </c>
      <c r="I8" s="11"/>
      <c r="J8" s="11"/>
      <c r="K8" s="11"/>
      <c r="L8" s="11"/>
      <c r="M8" s="11"/>
    </row>
    <row r="9" spans="1:16" ht="18" x14ac:dyDescent="0.4">
      <c r="A9" s="8" t="s">
        <v>17</v>
      </c>
      <c r="B9" s="32">
        <f>(B5-B8)/B7</f>
        <v>-6.0525995855172439E-2</v>
      </c>
      <c r="J9" s="11"/>
      <c r="K9" s="11"/>
      <c r="L9" s="11"/>
      <c r="M9" s="11"/>
      <c r="O9" s="11"/>
      <c r="P9" s="11"/>
    </row>
    <row r="10" spans="1:16" ht="18" x14ac:dyDescent="0.4">
      <c r="A10" s="8"/>
      <c r="B10" s="32"/>
      <c r="J10" s="11"/>
      <c r="K10" s="11"/>
      <c r="L10" s="11"/>
      <c r="M10" s="11"/>
      <c r="O10" s="11"/>
      <c r="P10" s="11"/>
    </row>
    <row r="11" spans="1:16" ht="18" x14ac:dyDescent="0.4">
      <c r="A11" s="8" t="s">
        <v>24</v>
      </c>
      <c r="B11" s="33">
        <f>B8</f>
        <v>2.35E-2</v>
      </c>
      <c r="J11" s="11"/>
      <c r="K11" s="11"/>
      <c r="L11" s="11"/>
      <c r="M11" s="11"/>
      <c r="O11" s="11"/>
      <c r="P11" s="11"/>
    </row>
    <row r="12" spans="1:16" ht="18" x14ac:dyDescent="0.4">
      <c r="A12" s="8" t="s">
        <v>25</v>
      </c>
      <c r="B12" s="32">
        <f>SQRT(SUMIFS(I17:I85,A17:A85,"&lt;="&amp;B3)/COUNTIFS(A17:A85,"&lt;="&amp;B3,A17:A85,"&lt;="&amp;B3))</f>
        <v>3.0087472099246726E-2</v>
      </c>
      <c r="J12" s="11"/>
      <c r="K12" s="11"/>
      <c r="L12" s="11"/>
      <c r="M12" s="11"/>
      <c r="O12" s="11"/>
      <c r="P12" s="11"/>
    </row>
    <row r="13" spans="1:16" ht="18" x14ac:dyDescent="0.4">
      <c r="A13" s="8" t="s">
        <v>26</v>
      </c>
      <c r="B13" s="32">
        <f>(B5-B11)/B12</f>
        <v>-0.154203195470203</v>
      </c>
      <c r="J13" s="11"/>
      <c r="K13" s="11"/>
      <c r="L13" s="11"/>
      <c r="M13" s="11"/>
      <c r="O13" s="11"/>
      <c r="P13" s="11"/>
    </row>
    <row r="14" spans="1:16" ht="18" x14ac:dyDescent="0.4">
      <c r="A14" s="8"/>
      <c r="B14" s="32"/>
      <c r="J14" s="11"/>
      <c r="K14" s="11"/>
      <c r="L14" s="11"/>
      <c r="M14" s="11"/>
      <c r="O14" s="11"/>
      <c r="P14" s="11"/>
    </row>
    <row r="15" spans="1:16" ht="18" x14ac:dyDescent="0.4">
      <c r="I15" s="6" t="s">
        <v>26</v>
      </c>
    </row>
    <row r="16" spans="1:16" ht="18" x14ac:dyDescent="0.4">
      <c r="A16" s="34" t="s">
        <v>18</v>
      </c>
      <c r="B16" s="34" t="s">
        <v>2</v>
      </c>
      <c r="C16" s="34" t="s">
        <v>3</v>
      </c>
      <c r="D16" s="34" t="s">
        <v>4</v>
      </c>
      <c r="E16" s="34" t="s">
        <v>5</v>
      </c>
      <c r="F16" s="34" t="s">
        <v>6</v>
      </c>
      <c r="G16" s="34" t="s">
        <v>7</v>
      </c>
      <c r="H16" s="34" t="s">
        <v>27</v>
      </c>
      <c r="I16" s="34" t="s">
        <v>28</v>
      </c>
    </row>
    <row r="17" spans="1:9" ht="18" x14ac:dyDescent="0.35">
      <c r="A17" s="47">
        <v>43131</v>
      </c>
      <c r="B17" s="30">
        <f>IF(A17&gt;$B$3,"",'Index Returns'!B2*'SAA with CME'!C$17)</f>
        <v>1.4926628601605037E-2</v>
      </c>
      <c r="C17" s="30">
        <f>IF(B17&gt;$B$3,"",'Index Returns'!C2*'SAA with CME'!D$17)</f>
        <v>4.8460328911913361E-3</v>
      </c>
      <c r="D17" s="30">
        <f>IF(C17&gt;$B$3,"",'Index Returns'!D2*'SAA with CME'!E$17)</f>
        <v>8.283099348613954E-3</v>
      </c>
      <c r="E17" s="30">
        <f>IF(D17&gt;$B$3,"",'Index Returns'!E2*'SAA with CME'!F$17)</f>
        <v>1.4943163276727794E-2</v>
      </c>
      <c r="F17" s="30">
        <f>IF(E17&gt;$B$3,"",'Index Returns'!F2*'SAA with CME'!G$17)</f>
        <v>-2.387200985490543E-4</v>
      </c>
      <c r="G17" s="30">
        <f>IF(F17&gt;$B$3,"",'Index Returns'!G2*'SAA with CME'!H$17)</f>
        <v>-7.527980992320496E-4</v>
      </c>
      <c r="H17" s="30">
        <f t="shared" ref="H17:H29" si="0">IF(A17&gt;$B$3,"",SUM(B17:G17))</f>
        <v>4.2007405920357017E-2</v>
      </c>
      <c r="I17" s="35">
        <f t="shared" ref="I17:I29" si="1">IF(A17&gt;$B$3,"",(MIN(H17-$B$11,0)^2))</f>
        <v>0</v>
      </c>
    </row>
    <row r="18" spans="1:9" ht="18" x14ac:dyDescent="0.35">
      <c r="A18" s="47">
        <v>43159</v>
      </c>
      <c r="B18" s="30">
        <f>IF(A18&gt;$B$3,"",'Index Returns'!B3*'SAA with CME'!C$17)</f>
        <v>-1.0296659156791472E-2</v>
      </c>
      <c r="C18" s="30">
        <f>IF(B18&gt;$B$3,"",'Index Returns'!C3*'SAA with CME'!D$17)</f>
        <v>-3.7155503597122302E-3</v>
      </c>
      <c r="D18" s="30">
        <f>IF(C18&gt;$B$3,"",'Index Returns'!D3*'SAA with CME'!E$17)</f>
        <v>-6.3611126209803664E-3</v>
      </c>
      <c r="E18" s="30">
        <f>IF(D18&gt;$B$3,"",'Index Returns'!E3*'SAA with CME'!F$17)</f>
        <v>2.1121092841799992E-2</v>
      </c>
      <c r="F18" s="30">
        <f>IF(E18&gt;$B$3,"",'Index Returns'!F3*'SAA with CME'!G$17)</f>
        <v>-1.7245749636891499E-3</v>
      </c>
      <c r="G18" s="30">
        <f>IF(F18&gt;$B$3,"",'Index Returns'!G3*'SAA with CME'!H$17)</f>
        <v>-5.2868836144315239E-3</v>
      </c>
      <c r="H18" s="30">
        <f t="shared" si="0"/>
        <v>-6.2636878738047503E-3</v>
      </c>
      <c r="I18" s="35">
        <f t="shared" si="1"/>
        <v>8.8587711584927199E-4</v>
      </c>
    </row>
    <row r="19" spans="1:9" ht="18" x14ac:dyDescent="0.35">
      <c r="A19" s="47">
        <v>43189</v>
      </c>
      <c r="B19" s="30">
        <f>IF(A19&gt;$B$3,"",'Index Returns'!B4*'SAA with CME'!C$17)</f>
        <v>8.2074284424090262E-4</v>
      </c>
      <c r="C19" s="30">
        <f>IF(B19&gt;$B$3,"",'Index Returns'!C4*'SAA with CME'!D$17)</f>
        <v>-1.1658812300966157E-3</v>
      </c>
      <c r="D19" s="30">
        <f>IF(C19&gt;$B$3,"",'Index Returns'!D4*'SAA with CME'!E$17)</f>
        <v>-1.9824724397053697E-3</v>
      </c>
      <c r="E19" s="30">
        <f>IF(D19&gt;$B$3,"",'Index Returns'!E4*'SAA with CME'!F$17)</f>
        <v>-1.1519928467668811E-3</v>
      </c>
      <c r="F19" s="30">
        <f>IF(E19&gt;$B$3,"",'Index Returns'!F4*'SAA with CME'!G$17)</f>
        <v>-4.778198554641961E-4</v>
      </c>
      <c r="G19" s="30">
        <f>IF(F19&gt;$B$3,"",'Index Returns'!G4*'SAA with CME'!H$17)</f>
        <v>6.8646035241346024E-4</v>
      </c>
      <c r="H19" s="30">
        <f t="shared" si="0"/>
        <v>-3.2709631753787003E-3</v>
      </c>
      <c r="I19" s="35">
        <f t="shared" si="1"/>
        <v>7.1668446933748238E-4</v>
      </c>
    </row>
    <row r="20" spans="1:9" ht="18" x14ac:dyDescent="0.35">
      <c r="A20" s="47">
        <v>43220</v>
      </c>
      <c r="B20" s="30">
        <f>IF(A20&gt;$B$3,"",'Index Returns'!B5*'SAA with CME'!C$17)</f>
        <v>-5.6346549782799399E-3</v>
      </c>
      <c r="C20" s="30">
        <f>IF(B20&gt;$B$3,"",'Index Returns'!C5*'SAA with CME'!D$17)</f>
        <v>6.5936006118937974E-4</v>
      </c>
      <c r="D20" s="30">
        <f>IF(C20&gt;$B$3,"",'Index Returns'!D5*'SAA with CME'!E$17)</f>
        <v>1.1238747892949065E-3</v>
      </c>
      <c r="E20" s="30">
        <f>IF(D20&gt;$B$3,"",'Index Returns'!E5*'SAA with CME'!F$17)</f>
        <v>1.8774701156907109E-3</v>
      </c>
      <c r="F20" s="30">
        <f>IF(E20&gt;$B$3,"",'Index Returns'!F5*'SAA with CME'!G$17)</f>
        <v>5.5783421938290985E-5</v>
      </c>
      <c r="G20" s="30">
        <f>IF(F20&gt;$B$3,"",'Index Returns'!G5*'SAA with CME'!H$17)</f>
        <v>1.0842501694914668E-3</v>
      </c>
      <c r="H20" s="30">
        <f t="shared" si="0"/>
        <v>-8.3391642067518509E-4</v>
      </c>
      <c r="I20" s="35">
        <f t="shared" si="1"/>
        <v>5.9213948836840549E-4</v>
      </c>
    </row>
    <row r="21" spans="1:9" ht="18" x14ac:dyDescent="0.35">
      <c r="A21" s="47">
        <v>43251</v>
      </c>
      <c r="B21" s="30">
        <f>IF(A21&gt;$B$3,"",'Index Returns'!B6*'SAA with CME'!C$17)</f>
        <v>6.5678023120977263E-3</v>
      </c>
      <c r="C21" s="30">
        <f>IF(B21&gt;$B$3,"",'Index Returns'!C6*'SAA with CME'!D$17)</f>
        <v>6.6551801415288788E-4</v>
      </c>
      <c r="D21" s="30">
        <f>IF(C21&gt;$B$3,"",'Index Returns'!D6*'SAA with CME'!E$17)</f>
        <v>1.1245944607453007E-3</v>
      </c>
      <c r="E21" s="30">
        <f>IF(D21&gt;$B$3,"",'Index Returns'!E6*'SAA with CME'!F$17)</f>
        <v>7.5804864208010025E-3</v>
      </c>
      <c r="F21" s="30">
        <f>IF(E21&gt;$B$3,"",'Index Returns'!F6*'SAA with CME'!G$17)</f>
        <v>-7.68914709824932E-4</v>
      </c>
      <c r="G21" s="30">
        <f>IF(F21&gt;$B$3,"",'Index Returns'!G6*'SAA with CME'!H$17)</f>
        <v>2.1958016183356095E-3</v>
      </c>
      <c r="H21" s="30">
        <f t="shared" si="0"/>
        <v>1.7365288116307595E-2</v>
      </c>
      <c r="I21" s="35">
        <f t="shared" si="1"/>
        <v>3.7634689895916815E-5</v>
      </c>
    </row>
    <row r="22" spans="1:9" ht="18" x14ac:dyDescent="0.35">
      <c r="A22" s="47">
        <v>43280</v>
      </c>
      <c r="B22" s="30">
        <f>IF(A22&gt;$B$3,"",'Index Returns'!B7*'SAA with CME'!C$17)</f>
        <v>7.471744498048204E-3</v>
      </c>
      <c r="C22" s="30">
        <f>IF(B22&gt;$B$3,"",'Index Returns'!C7*'SAA with CME'!D$17)</f>
        <v>-2.1363402330665648E-3</v>
      </c>
      <c r="D22" s="30">
        <f>IF(C22&gt;$B$3,"",'Index Returns'!D7*'SAA with CME'!E$17)</f>
        <v>-3.6375456999787844E-3</v>
      </c>
      <c r="E22" s="30">
        <f>IF(D22&gt;$B$3,"",'Index Returns'!E7*'SAA with CME'!F$17)</f>
        <v>-4.3998961997828408E-3</v>
      </c>
      <c r="F22" s="30">
        <f>IF(E22&gt;$B$3,"",'Index Returns'!F7*'SAA with CME'!G$17)</f>
        <v>1.1626138669614992E-4</v>
      </c>
      <c r="G22" s="30">
        <f>IF(F22&gt;$B$3,"",'Index Returns'!G7*'SAA with CME'!H$17)</f>
        <v>2.579093099328304E-3</v>
      </c>
      <c r="H22" s="30">
        <f t="shared" si="0"/>
        <v>-6.6831487555321471E-6</v>
      </c>
      <c r="I22" s="35">
        <f t="shared" si="1"/>
        <v>5.5256415265598732E-4</v>
      </c>
    </row>
    <row r="23" spans="1:9" ht="18" x14ac:dyDescent="0.35">
      <c r="A23" s="47">
        <v>43312</v>
      </c>
      <c r="B23" s="30">
        <f>IF(A23&gt;$B$3,"",'Index Returns'!B8*'SAA with CME'!C$17)</f>
        <v>4.191492097835669E-3</v>
      </c>
      <c r="C23" s="30">
        <f>IF(B23&gt;$B$3,"",'Index Returns'!C8*'SAA with CME'!D$17)</f>
        <v>-1.5943986013986023E-3</v>
      </c>
      <c r="D23" s="30">
        <f>IF(C23&gt;$B$3,"",'Index Returns'!D8*'SAA with CME'!E$17)</f>
        <v>-2.7632609894392103E-3</v>
      </c>
      <c r="E23" s="30">
        <f>IF(D23&gt;$B$3,"",'Index Returns'!E8*'SAA with CME'!F$17)</f>
        <v>-1.6026638378101436E-3</v>
      </c>
      <c r="F23" s="30">
        <f>IF(E23&gt;$B$3,"",'Index Returns'!F8*'SAA with CME'!G$17)</f>
        <v>6.5594834696110747E-4</v>
      </c>
      <c r="G23" s="30">
        <f>IF(F23&gt;$B$3,"",'Index Returns'!G8*'SAA with CME'!H$17)</f>
        <v>1.6301113377244327E-3</v>
      </c>
      <c r="H23" s="30">
        <f t="shared" si="0"/>
        <v>5.1722835387325297E-4</v>
      </c>
      <c r="I23" s="35">
        <f t="shared" si="1"/>
        <v>5.282077925380076E-4</v>
      </c>
    </row>
    <row r="24" spans="1:9" ht="18" x14ac:dyDescent="0.35">
      <c r="A24" s="47">
        <v>43343</v>
      </c>
      <c r="B24" s="30">
        <f>IF(A24&gt;$B$3,"",'Index Returns'!B9*'SAA with CME'!C$17)</f>
        <v>7.0728601529258398E-3</v>
      </c>
      <c r="C24" s="30">
        <f>IF(B24&gt;$B$3,"",'Index Returns'!C9*'SAA with CME'!D$17)</f>
        <v>-5.9675164752774005E-4</v>
      </c>
      <c r="D24" s="30">
        <f>IF(C24&gt;$B$3,"",'Index Returns'!D9*'SAA with CME'!E$17)</f>
        <v>-1.0215458406442098E-3</v>
      </c>
      <c r="E24" s="30">
        <f>IF(D24&gt;$B$3,"",'Index Returns'!E9*'SAA with CME'!F$17)</f>
        <v>5.6708812523719317E-6</v>
      </c>
      <c r="F24" s="30">
        <f>IF(E24&gt;$B$3,"",'Index Returns'!F9*'SAA with CME'!G$17)</f>
        <v>6.4836119979054139E-4</v>
      </c>
      <c r="G24" s="30">
        <f>IF(F24&gt;$B$3,"",'Index Returns'!G9*'SAA with CME'!H$17)</f>
        <v>1.3213226837170372E-3</v>
      </c>
      <c r="H24" s="30">
        <f t="shared" si="0"/>
        <v>7.4299174295138406E-3</v>
      </c>
      <c r="I24" s="35">
        <f t="shared" si="1"/>
        <v>2.5824755382224297E-4</v>
      </c>
    </row>
    <row r="25" spans="1:9" ht="18" x14ac:dyDescent="0.35">
      <c r="A25" s="47">
        <v>43371</v>
      </c>
      <c r="B25" s="30">
        <f>IF(A25&gt;$B$3,"",'Index Returns'!B10*'SAA with CME'!C$17)</f>
        <v>4.7076171154710302E-3</v>
      </c>
      <c r="C25" s="30">
        <f>IF(B25&gt;$B$3,"",'Index Returns'!C10*'SAA with CME'!D$17)</f>
        <v>-3.186077500864567E-4</v>
      </c>
      <c r="D25" s="30">
        <f>IF(C25&gt;$B$3,"",'Index Returns'!D10*'SAA with CME'!E$17)</f>
        <v>-5.4617437547554689E-4</v>
      </c>
      <c r="E25" s="30">
        <f>IF(D25&gt;$B$3,"",'Index Returns'!E10*'SAA with CME'!F$17)</f>
        <v>7.9568599808212456E-3</v>
      </c>
      <c r="F25" s="30">
        <f>IF(E25&gt;$B$3,"",'Index Returns'!F10*'SAA with CME'!G$17)</f>
        <v>-3.2318034267610684E-4</v>
      </c>
      <c r="G25" s="30">
        <f>IF(F25&gt;$B$3,"",'Index Returns'!G10*'SAA with CME'!H$17)</f>
        <v>-5.8463042097383418E-4</v>
      </c>
      <c r="H25" s="30">
        <f t="shared" si="0"/>
        <v>1.089188420708033E-2</v>
      </c>
      <c r="I25" s="35">
        <f t="shared" si="1"/>
        <v>1.5896458384767042E-4</v>
      </c>
    </row>
    <row r="26" spans="1:9" ht="18" x14ac:dyDescent="0.35">
      <c r="A26" s="47">
        <v>43404</v>
      </c>
      <c r="B26" s="30">
        <f>IF(A26&gt;$B$3,"",'Index Returns'!B11*'SAA with CME'!C$17)</f>
        <v>-1.540912943785732E-2</v>
      </c>
      <c r="C26" s="30">
        <f>IF(B26&gt;$B$3,"",'Index Returns'!C11*'SAA with CME'!D$17)</f>
        <v>-5.0317545795630081E-3</v>
      </c>
      <c r="D26" s="30">
        <f>IF(C26&gt;$B$3,"",'Index Returns'!D11*'SAA with CME'!E$17)</f>
        <v>-8.5667173203909999E-3</v>
      </c>
      <c r="E26" s="30">
        <f>IF(D26&gt;$B$3,"",'Index Returns'!E11*'SAA with CME'!F$17)</f>
        <v>9.7588615867376903E-3</v>
      </c>
      <c r="F26" s="30">
        <f>IF(E26&gt;$B$3,"",'Index Returns'!F11*'SAA with CME'!G$17)</f>
        <v>-8.0948277797958748E-4</v>
      </c>
      <c r="G26" s="30">
        <f>IF(F26&gt;$B$3,"",'Index Returns'!G11*'SAA with CME'!H$17)</f>
        <v>-3.7030481474632109E-3</v>
      </c>
      <c r="H26" s="30">
        <f t="shared" si="0"/>
        <v>-2.3761270676516438E-2</v>
      </c>
      <c r="I26" s="35">
        <f t="shared" si="1"/>
        <v>2.2336277059589521E-3</v>
      </c>
    </row>
    <row r="27" spans="1:9" ht="18" x14ac:dyDescent="0.35">
      <c r="A27" s="47">
        <v>43434</v>
      </c>
      <c r="B27" s="30">
        <f>IF(A27&gt;$B$3,"",'Index Returns'!B12*'SAA with CME'!C$17)</f>
        <v>-7.6170774148298483E-3</v>
      </c>
      <c r="C27" s="30">
        <f>IF(B27&gt;$B$3,"",'Index Returns'!C12*'SAA with CME'!D$17)</f>
        <v>-2.4771692233434232E-3</v>
      </c>
      <c r="D27" s="30">
        <f>IF(C27&gt;$B$3,"",'Index Returns'!D12*'SAA with CME'!E$17)</f>
        <v>-4.2811271038604029E-3</v>
      </c>
      <c r="E27" s="30">
        <f>IF(D27&gt;$B$3,"",'Index Returns'!E12*'SAA with CME'!F$17)</f>
        <v>-2.2356840395207031E-3</v>
      </c>
      <c r="F27" s="30">
        <f>IF(E27&gt;$B$3,"",'Index Returns'!F12*'SAA with CME'!G$17)</f>
        <v>-5.4872829138057197E-4</v>
      </c>
      <c r="G27" s="30">
        <f>IF(F27&gt;$B$3,"",'Index Returns'!G12*'SAA with CME'!H$17)</f>
        <v>2.031523266677914E-3</v>
      </c>
      <c r="H27" s="30">
        <f t="shared" si="0"/>
        <v>-1.5128262806257035E-2</v>
      </c>
      <c r="I27" s="35">
        <f t="shared" si="1"/>
        <v>1.4921426874292608E-3</v>
      </c>
    </row>
    <row r="28" spans="1:9" ht="18" x14ac:dyDescent="0.35">
      <c r="A28" s="47">
        <v>43465</v>
      </c>
      <c r="B28" s="30">
        <f>IF(A28&gt;$B$3,"",'Index Returns'!B13*'SAA with CME'!C$17)</f>
        <v>-1.7577139521845316E-2</v>
      </c>
      <c r="C28" s="30">
        <f>IF(B28&gt;$B$3,"",'Index Returns'!C13*'SAA with CME'!D$17)</f>
        <v>-4.8228644620873853E-3</v>
      </c>
      <c r="D28" s="30">
        <f>IF(C28&gt;$B$3,"",'Index Returns'!D13*'SAA with CME'!E$17)</f>
        <v>-8.2692751507322144E-3</v>
      </c>
      <c r="E28" s="30">
        <f>IF(D28&gt;$B$3,"",'Index Returns'!E13*'SAA with CME'!F$17)</f>
        <v>-1.8108228177665699E-2</v>
      </c>
      <c r="F28" s="30">
        <f>IF(E28&gt;$B$3,"",'Index Returns'!F13*'SAA with CME'!G$17)</f>
        <v>8.777949998828383E-4</v>
      </c>
      <c r="G28" s="30">
        <f>IF(F28&gt;$B$3,"",'Index Returns'!G13*'SAA with CME'!H$17)</f>
        <v>-1.8912625191269195E-3</v>
      </c>
      <c r="H28" s="30">
        <f t="shared" si="0"/>
        <v>-4.97909748315747E-2</v>
      </c>
      <c r="I28" s="35">
        <f t="shared" si="1"/>
        <v>5.3715669917625171E-3</v>
      </c>
    </row>
    <row r="29" spans="1:9" ht="18" x14ac:dyDescent="0.35">
      <c r="A29" s="47">
        <v>43496</v>
      </c>
      <c r="B29" s="30">
        <f>IF(A29&gt;$B$3,"",'Index Returns'!B14*'SAA with CME'!C$17)</f>
        <v>3.5333586882724042E-3</v>
      </c>
      <c r="C29" s="30">
        <f>IF(B29&gt;$B$3,"",'Index Returns'!C14*'SAA with CME'!D$17)</f>
        <v>2.3572824937548643E-3</v>
      </c>
      <c r="D29" s="30">
        <f>IF(C29&gt;$B$3,"",'Index Returns'!D14*'SAA with CME'!E$17)</f>
        <v>4.0280696459449265E-3</v>
      </c>
      <c r="E29" s="30">
        <f>IF(D29&gt;$B$3,"",'Index Returns'!E14*'SAA with CME'!F$17)</f>
        <v>-8.3176914043314263E-3</v>
      </c>
      <c r="F29" s="30">
        <f>IF(E29&gt;$B$3,"",'Index Returns'!F14*'SAA with CME'!G$17)</f>
        <v>1.1654969086754828E-3</v>
      </c>
      <c r="G29" s="30">
        <f>IF(F29&gt;$B$3,"",'Index Returns'!G14*'SAA with CME'!H$17)</f>
        <v>1.8205844557513604E-3</v>
      </c>
      <c r="H29" s="30">
        <f t="shared" si="0"/>
        <v>4.5871007880676114E-3</v>
      </c>
      <c r="I29" s="35">
        <f t="shared" si="1"/>
        <v>3.5769775660071277E-4</v>
      </c>
    </row>
    <row r="30" spans="1:9" ht="18" x14ac:dyDescent="0.35">
      <c r="A30" s="47">
        <v>43524</v>
      </c>
      <c r="B30" s="30">
        <f>IF(A30&gt;$B$3,"",'Index Returns'!B15*'SAA with CME'!C$17)</f>
        <v>1.9917652986588798E-2</v>
      </c>
      <c r="C30" s="30">
        <f>IF(B30&gt;$B$3,"",'Index Returns'!C15*'SAA with CME'!D$17)</f>
        <v>3.9657916360968572E-3</v>
      </c>
      <c r="D30" s="30">
        <f>IF(C30&gt;$B$3,"",'Index Returns'!D15*'SAA with CME'!E$17)</f>
        <v>6.8731871712843853E-3</v>
      </c>
      <c r="E30" s="30">
        <f>IF(D30&gt;$B$3,"",'Index Returns'!E15*'SAA with CME'!F$17)</f>
        <v>-2.7579418267898639E-3</v>
      </c>
      <c r="F30" s="30">
        <f>IF(E30&gt;$B$3,"",'Index Returns'!F15*'SAA with CME'!G$17)</f>
        <v>1.7772019159698631E-3</v>
      </c>
      <c r="G30" s="30">
        <f>IF(F30&gt;$B$3,"",'Index Returns'!G15*'SAA with CME'!H$17)</f>
        <v>6.1916370528644861E-3</v>
      </c>
      <c r="H30" s="30">
        <f t="shared" ref="H30:H85" si="2">IF(A30&gt;$B$3,"",SUM(B30:G30))</f>
        <v>3.5967528936014521E-2</v>
      </c>
      <c r="I30" s="35">
        <f t="shared" ref="I30:I85" si="3">IF(A30&gt;$B$3,"",(MIN(H30-$B$11,0)^2))</f>
        <v>0</v>
      </c>
    </row>
    <row r="31" spans="1:9" ht="18" x14ac:dyDescent="0.35">
      <c r="A31" s="47">
        <v>43553</v>
      </c>
      <c r="B31" s="30">
        <f>IF(A31&gt;$B$3,"",'Index Returns'!B16*'SAA with CME'!C$17)</f>
        <v>5.1388255448801008E-3</v>
      </c>
      <c r="C31" s="30">
        <f>IF(B31&gt;$B$3,"",'Index Returns'!C16*'SAA with CME'!D$17)</f>
        <v>1.5250953079988232E-3</v>
      </c>
      <c r="D31" s="30">
        <f>IF(C31&gt;$B$3,"",'Index Returns'!D16*'SAA with CME'!E$17)</f>
        <v>2.646281726458543E-3</v>
      </c>
      <c r="E31" s="30">
        <f>IF(D31&gt;$B$3,"",'Index Returns'!E16*'SAA with CME'!F$17)</f>
        <v>-7.8776350824918441E-3</v>
      </c>
      <c r="F31" s="30">
        <f>IF(E31&gt;$B$3,"",'Index Returns'!F16*'SAA with CME'!G$17)</f>
        <v>1.1312778058509933E-3</v>
      </c>
      <c r="G31" s="30">
        <f>IF(F31&gt;$B$3,"",'Index Returns'!G16*'SAA with CME'!H$17)</f>
        <v>1.0997066337557623E-3</v>
      </c>
      <c r="H31" s="30">
        <f t="shared" si="2"/>
        <v>3.6635519364523784E-3</v>
      </c>
      <c r="I31" s="35">
        <f t="shared" si="3"/>
        <v>3.9348467177782216E-4</v>
      </c>
    </row>
    <row r="32" spans="1:9" ht="18" x14ac:dyDescent="0.35">
      <c r="A32" s="47">
        <v>43585</v>
      </c>
      <c r="B32" s="30" t="str">
        <f>IF(A32&gt;$B$3,"",'Index Returns'!B17*'SAA with CME'!C$17)</f>
        <v/>
      </c>
      <c r="C32" s="30" t="str">
        <f>IF(B32&gt;$B$3,"",'Index Returns'!C17*'SAA with CME'!D$17)</f>
        <v/>
      </c>
      <c r="D32" s="30" t="str">
        <f>IF(C32&gt;$B$3,"",'Index Returns'!D17*'SAA with CME'!E$17)</f>
        <v/>
      </c>
      <c r="E32" s="30" t="str">
        <f>IF(D32&gt;$B$3,"",'Index Returns'!E17*'SAA with CME'!F$17)</f>
        <v/>
      </c>
      <c r="F32" s="30" t="str">
        <f>IF(E32&gt;$B$3,"",'Index Returns'!F17*'SAA with CME'!G$17)</f>
        <v/>
      </c>
      <c r="G32" s="30" t="str">
        <f>IF(F32&gt;$B$3,"",'Index Returns'!G17*'SAA with CME'!H$17)</f>
        <v/>
      </c>
      <c r="H32" s="30" t="str">
        <f t="shared" si="2"/>
        <v/>
      </c>
      <c r="I32" s="35" t="str">
        <f t="shared" si="3"/>
        <v/>
      </c>
    </row>
    <row r="33" spans="1:9" ht="18" x14ac:dyDescent="0.35">
      <c r="A33" s="47">
        <v>43616</v>
      </c>
      <c r="B33" s="30" t="str">
        <f>IF(A33&gt;$B$3,"",'Index Returns'!B18*'SAA with CME'!C$17)</f>
        <v/>
      </c>
      <c r="C33" s="30" t="str">
        <f>IF(B33&gt;$B$3,"",'Index Returns'!C18*'SAA with CME'!D$17)</f>
        <v/>
      </c>
      <c r="D33" s="30" t="str">
        <f>IF(C33&gt;$B$3,"",'Index Returns'!D18*'SAA with CME'!E$17)</f>
        <v/>
      </c>
      <c r="E33" s="30" t="str">
        <f>IF(D33&gt;$B$3,"",'Index Returns'!E18*'SAA with CME'!F$17)</f>
        <v/>
      </c>
      <c r="F33" s="30" t="str">
        <f>IF(E33&gt;$B$3,"",'Index Returns'!F18*'SAA with CME'!G$17)</f>
        <v/>
      </c>
      <c r="G33" s="30" t="str">
        <f>IF(F33&gt;$B$3,"",'Index Returns'!G18*'SAA with CME'!H$17)</f>
        <v/>
      </c>
      <c r="H33" s="30" t="str">
        <f t="shared" si="2"/>
        <v/>
      </c>
      <c r="I33" s="35" t="str">
        <f t="shared" si="3"/>
        <v/>
      </c>
    </row>
    <row r="34" spans="1:9" ht="18" x14ac:dyDescent="0.35">
      <c r="A34" s="47">
        <v>43644</v>
      </c>
      <c r="B34" s="30" t="str">
        <f>IF(A34&gt;$B$3,"",'Index Returns'!B19*'SAA with CME'!C$17)</f>
        <v/>
      </c>
      <c r="C34" s="30" t="str">
        <f>IF(B34&gt;$B$3,"",'Index Returns'!C19*'SAA with CME'!D$17)</f>
        <v/>
      </c>
      <c r="D34" s="30" t="str">
        <f>IF(C34&gt;$B$3,"",'Index Returns'!D19*'SAA with CME'!E$17)</f>
        <v/>
      </c>
      <c r="E34" s="30" t="str">
        <f>IF(D34&gt;$B$3,"",'Index Returns'!E19*'SAA with CME'!F$17)</f>
        <v/>
      </c>
      <c r="F34" s="30" t="str">
        <f>IF(E34&gt;$B$3,"",'Index Returns'!F19*'SAA with CME'!G$17)</f>
        <v/>
      </c>
      <c r="G34" s="30" t="str">
        <f>IF(F34&gt;$B$3,"",'Index Returns'!G19*'SAA with CME'!H$17)</f>
        <v/>
      </c>
      <c r="H34" s="30" t="str">
        <f t="shared" si="2"/>
        <v/>
      </c>
      <c r="I34" s="35" t="str">
        <f t="shared" si="3"/>
        <v/>
      </c>
    </row>
    <row r="35" spans="1:9" ht="18" x14ac:dyDescent="0.35">
      <c r="A35" s="47">
        <v>43677</v>
      </c>
      <c r="B35" s="30" t="str">
        <f>IF(A35&gt;$B$3,"",'Index Returns'!B20*'SAA with CME'!C$17)</f>
        <v/>
      </c>
      <c r="C35" s="30" t="str">
        <f>IF(B35&gt;$B$3,"",'Index Returns'!C20*'SAA with CME'!D$17)</f>
        <v/>
      </c>
      <c r="D35" s="30" t="str">
        <f>IF(C35&gt;$B$3,"",'Index Returns'!D20*'SAA with CME'!E$17)</f>
        <v/>
      </c>
      <c r="E35" s="30" t="str">
        <f>IF(D35&gt;$B$3,"",'Index Returns'!E20*'SAA with CME'!F$17)</f>
        <v/>
      </c>
      <c r="F35" s="30" t="str">
        <f>IF(E35&gt;$B$3,"",'Index Returns'!F20*'SAA with CME'!G$17)</f>
        <v/>
      </c>
      <c r="G35" s="30" t="str">
        <f>IF(F35&gt;$B$3,"",'Index Returns'!G20*'SAA with CME'!H$17)</f>
        <v/>
      </c>
      <c r="H35" s="30" t="str">
        <f t="shared" si="2"/>
        <v/>
      </c>
      <c r="I35" s="35" t="str">
        <f t="shared" si="3"/>
        <v/>
      </c>
    </row>
    <row r="36" spans="1:9" ht="18" x14ac:dyDescent="0.35">
      <c r="A36" s="47">
        <v>43707</v>
      </c>
      <c r="B36" s="30" t="str">
        <f>IF(A36&gt;$B$3,"",'Index Returns'!B21*'SAA with CME'!C$17)</f>
        <v/>
      </c>
      <c r="C36" s="30" t="str">
        <f>IF(B36&gt;$B$3,"",'Index Returns'!C21*'SAA with CME'!D$17)</f>
        <v/>
      </c>
      <c r="D36" s="30" t="str">
        <f>IF(C36&gt;$B$3,"",'Index Returns'!D21*'SAA with CME'!E$17)</f>
        <v/>
      </c>
      <c r="E36" s="30" t="str">
        <f>IF(D36&gt;$B$3,"",'Index Returns'!E21*'SAA with CME'!F$17)</f>
        <v/>
      </c>
      <c r="F36" s="30" t="str">
        <f>IF(E36&gt;$B$3,"",'Index Returns'!F21*'SAA with CME'!G$17)</f>
        <v/>
      </c>
      <c r="G36" s="30" t="str">
        <f>IF(F36&gt;$B$3,"",'Index Returns'!G21*'SAA with CME'!H$17)</f>
        <v/>
      </c>
      <c r="H36" s="30" t="str">
        <f t="shared" si="2"/>
        <v/>
      </c>
      <c r="I36" s="35" t="str">
        <f t="shared" si="3"/>
        <v/>
      </c>
    </row>
    <row r="37" spans="1:9" ht="18" x14ac:dyDescent="0.35">
      <c r="A37" s="47">
        <v>43738</v>
      </c>
      <c r="B37" s="30" t="str">
        <f>IF(A37&gt;$B$3,"",'Index Returns'!B22*'SAA with CME'!C$17)</f>
        <v/>
      </c>
      <c r="C37" s="30" t="str">
        <f>IF(B37&gt;$B$3,"",'Index Returns'!C22*'SAA with CME'!D$17)</f>
        <v/>
      </c>
      <c r="D37" s="30" t="str">
        <f>IF(C37&gt;$B$3,"",'Index Returns'!D22*'SAA with CME'!E$17)</f>
        <v/>
      </c>
      <c r="E37" s="30" t="str">
        <f>IF(D37&gt;$B$3,"",'Index Returns'!E22*'SAA with CME'!F$17)</f>
        <v/>
      </c>
      <c r="F37" s="30" t="str">
        <f>IF(E37&gt;$B$3,"",'Index Returns'!F22*'SAA with CME'!G$17)</f>
        <v/>
      </c>
      <c r="G37" s="30" t="str">
        <f>IF(F37&gt;$B$3,"",'Index Returns'!G22*'SAA with CME'!H$17)</f>
        <v/>
      </c>
      <c r="H37" s="30" t="str">
        <f t="shared" si="2"/>
        <v/>
      </c>
      <c r="I37" s="35" t="str">
        <f t="shared" si="3"/>
        <v/>
      </c>
    </row>
    <row r="38" spans="1:9" ht="18" x14ac:dyDescent="0.35">
      <c r="A38" s="47">
        <v>43769</v>
      </c>
      <c r="B38" s="30" t="str">
        <f>IF(A38&gt;$B$3,"",'Index Returns'!B23*'SAA with CME'!C$17)</f>
        <v/>
      </c>
      <c r="C38" s="30" t="str">
        <f>IF(B38&gt;$B$3,"",'Index Returns'!C23*'SAA with CME'!D$17)</f>
        <v/>
      </c>
      <c r="D38" s="30" t="str">
        <f>IF(C38&gt;$B$3,"",'Index Returns'!D23*'SAA with CME'!E$17)</f>
        <v/>
      </c>
      <c r="E38" s="30" t="str">
        <f>IF(D38&gt;$B$3,"",'Index Returns'!E23*'SAA with CME'!F$17)</f>
        <v/>
      </c>
      <c r="F38" s="30" t="str">
        <f>IF(E38&gt;$B$3,"",'Index Returns'!F23*'SAA with CME'!G$17)</f>
        <v/>
      </c>
      <c r="G38" s="30" t="str">
        <f>IF(F38&gt;$B$3,"",'Index Returns'!G23*'SAA with CME'!H$17)</f>
        <v/>
      </c>
      <c r="H38" s="30" t="str">
        <f t="shared" si="2"/>
        <v/>
      </c>
      <c r="I38" s="35" t="str">
        <f t="shared" si="3"/>
        <v/>
      </c>
    </row>
    <row r="39" spans="1:9" ht="18" x14ac:dyDescent="0.35">
      <c r="A39" s="47">
        <v>43798</v>
      </c>
      <c r="B39" s="30" t="str">
        <f>IF(A39&gt;$B$3,"",'Index Returns'!B24*'SAA with CME'!C$17)</f>
        <v/>
      </c>
      <c r="C39" s="30" t="str">
        <f>IF(B39&gt;$B$3,"",'Index Returns'!C24*'SAA with CME'!D$17)</f>
        <v/>
      </c>
      <c r="D39" s="30" t="str">
        <f>IF(C39&gt;$B$3,"",'Index Returns'!D24*'SAA with CME'!E$17)</f>
        <v/>
      </c>
      <c r="E39" s="30" t="str">
        <f>IF(D39&gt;$B$3,"",'Index Returns'!E24*'SAA with CME'!F$17)</f>
        <v/>
      </c>
      <c r="F39" s="30" t="str">
        <f>IF(E39&gt;$B$3,"",'Index Returns'!F24*'SAA with CME'!G$17)</f>
        <v/>
      </c>
      <c r="G39" s="30" t="str">
        <f>IF(F39&gt;$B$3,"",'Index Returns'!G24*'SAA with CME'!H$17)</f>
        <v/>
      </c>
      <c r="H39" s="30" t="str">
        <f t="shared" si="2"/>
        <v/>
      </c>
      <c r="I39" s="35" t="str">
        <f t="shared" si="3"/>
        <v/>
      </c>
    </row>
    <row r="40" spans="1:9" ht="18" x14ac:dyDescent="0.35">
      <c r="A40" s="47">
        <v>43830</v>
      </c>
      <c r="B40" s="30" t="str">
        <f>IF(A40&gt;$B$3,"",'Index Returns'!B25*'SAA with CME'!C$17)</f>
        <v/>
      </c>
      <c r="C40" s="30" t="str">
        <f>IF(B40&gt;$B$3,"",'Index Returns'!C25*'SAA with CME'!D$17)</f>
        <v/>
      </c>
      <c r="D40" s="30" t="str">
        <f>IF(C40&gt;$B$3,"",'Index Returns'!D25*'SAA with CME'!E$17)</f>
        <v/>
      </c>
      <c r="E40" s="30" t="str">
        <f>IF(D40&gt;$B$3,"",'Index Returns'!E25*'SAA with CME'!F$17)</f>
        <v/>
      </c>
      <c r="F40" s="30" t="str">
        <f>IF(E40&gt;$B$3,"",'Index Returns'!F25*'SAA with CME'!G$17)</f>
        <v/>
      </c>
      <c r="G40" s="30" t="str">
        <f>IF(F40&gt;$B$3,"",'Index Returns'!G25*'SAA with CME'!H$17)</f>
        <v/>
      </c>
      <c r="H40" s="30" t="str">
        <f t="shared" si="2"/>
        <v/>
      </c>
      <c r="I40" s="35" t="str">
        <f t="shared" si="3"/>
        <v/>
      </c>
    </row>
    <row r="41" spans="1:9" ht="18" x14ac:dyDescent="0.35">
      <c r="A41" s="47">
        <v>43861</v>
      </c>
      <c r="B41" s="30" t="str">
        <f>IF(A41&gt;$B$3,"",'Index Returns'!B26*'SAA with CME'!C$17)</f>
        <v/>
      </c>
      <c r="C41" s="30" t="str">
        <f>IF(B41&gt;$B$3,"",'Index Returns'!C26*'SAA with CME'!D$17)</f>
        <v/>
      </c>
      <c r="D41" s="30" t="str">
        <f>IF(C41&gt;$B$3,"",'Index Returns'!D26*'SAA with CME'!E$17)</f>
        <v/>
      </c>
      <c r="E41" s="30" t="str">
        <f>IF(D41&gt;$B$3,"",'Index Returns'!E26*'SAA with CME'!F$17)</f>
        <v/>
      </c>
      <c r="F41" s="30" t="str">
        <f>IF(E41&gt;$B$3,"",'Index Returns'!F26*'SAA with CME'!G$17)</f>
        <v/>
      </c>
      <c r="G41" s="30" t="str">
        <f>IF(F41&gt;$B$3,"",'Index Returns'!G26*'SAA with CME'!H$17)</f>
        <v/>
      </c>
      <c r="H41" s="30" t="str">
        <f t="shared" si="2"/>
        <v/>
      </c>
      <c r="I41" s="35" t="str">
        <f t="shared" si="3"/>
        <v/>
      </c>
    </row>
    <row r="42" spans="1:9" ht="18" x14ac:dyDescent="0.35">
      <c r="A42" s="47">
        <v>43889</v>
      </c>
      <c r="B42" s="30" t="str">
        <f>IF(A42&gt;$B$3,"",'Index Returns'!B27*'SAA with CME'!C$17)</f>
        <v/>
      </c>
      <c r="C42" s="30" t="str">
        <f>IF(B42&gt;$B$3,"",'Index Returns'!C27*'SAA with CME'!D$17)</f>
        <v/>
      </c>
      <c r="D42" s="30" t="str">
        <f>IF(C42&gt;$B$3,"",'Index Returns'!D27*'SAA with CME'!E$17)</f>
        <v/>
      </c>
      <c r="E42" s="30" t="str">
        <f>IF(D42&gt;$B$3,"",'Index Returns'!E27*'SAA with CME'!F$17)</f>
        <v/>
      </c>
      <c r="F42" s="30" t="str">
        <f>IF(E42&gt;$B$3,"",'Index Returns'!F27*'SAA with CME'!G$17)</f>
        <v/>
      </c>
      <c r="G42" s="30" t="str">
        <f>IF(F42&gt;$B$3,"",'Index Returns'!G27*'SAA with CME'!H$17)</f>
        <v/>
      </c>
      <c r="H42" s="30" t="str">
        <f t="shared" si="2"/>
        <v/>
      </c>
      <c r="I42" s="35" t="str">
        <f t="shared" si="3"/>
        <v/>
      </c>
    </row>
    <row r="43" spans="1:9" ht="18" x14ac:dyDescent="0.35">
      <c r="A43" s="47">
        <v>43921</v>
      </c>
      <c r="B43" s="30" t="str">
        <f>IF(A43&gt;$B$3,"",'Index Returns'!B28*'SAA with CME'!C$17)</f>
        <v/>
      </c>
      <c r="C43" s="30" t="str">
        <f>IF(B43&gt;$B$3,"",'Index Returns'!C28*'SAA with CME'!D$17)</f>
        <v/>
      </c>
      <c r="D43" s="30" t="str">
        <f>IF(C43&gt;$B$3,"",'Index Returns'!D28*'SAA with CME'!E$17)</f>
        <v/>
      </c>
      <c r="E43" s="30" t="str">
        <f>IF(D43&gt;$B$3,"",'Index Returns'!E28*'SAA with CME'!F$17)</f>
        <v/>
      </c>
      <c r="F43" s="30" t="str">
        <f>IF(E43&gt;$B$3,"",'Index Returns'!F28*'SAA with CME'!G$17)</f>
        <v/>
      </c>
      <c r="G43" s="30" t="str">
        <f>IF(F43&gt;$B$3,"",'Index Returns'!G28*'SAA with CME'!H$17)</f>
        <v/>
      </c>
      <c r="H43" s="30" t="str">
        <f t="shared" si="2"/>
        <v/>
      </c>
      <c r="I43" s="35" t="str">
        <f t="shared" si="3"/>
        <v/>
      </c>
    </row>
    <row r="44" spans="1:9" ht="18" x14ac:dyDescent="0.35">
      <c r="A44" s="47">
        <v>43951</v>
      </c>
      <c r="B44" s="30" t="str">
        <f>IF(A44&gt;$B$3,"",'Index Returns'!B29*'SAA with CME'!C$17)</f>
        <v/>
      </c>
      <c r="C44" s="30" t="str">
        <f>IF(B44&gt;$B$3,"",'Index Returns'!C29*'SAA with CME'!D$17)</f>
        <v/>
      </c>
      <c r="D44" s="30" t="str">
        <f>IF(C44&gt;$B$3,"",'Index Returns'!D29*'SAA with CME'!E$17)</f>
        <v/>
      </c>
      <c r="E44" s="30" t="str">
        <f>IF(D44&gt;$B$3,"",'Index Returns'!E29*'SAA with CME'!F$17)</f>
        <v/>
      </c>
      <c r="F44" s="30" t="str">
        <f>IF(E44&gt;$B$3,"",'Index Returns'!F29*'SAA with CME'!G$17)</f>
        <v/>
      </c>
      <c r="G44" s="30" t="str">
        <f>IF(F44&gt;$B$3,"",'Index Returns'!G29*'SAA with CME'!H$17)</f>
        <v/>
      </c>
      <c r="H44" s="30" t="str">
        <f t="shared" si="2"/>
        <v/>
      </c>
      <c r="I44" s="35" t="str">
        <f t="shared" si="3"/>
        <v/>
      </c>
    </row>
    <row r="45" spans="1:9" ht="18" x14ac:dyDescent="0.35">
      <c r="A45" s="47">
        <v>43980</v>
      </c>
      <c r="B45" s="30" t="str">
        <f>IF(A45&gt;$B$3,"",'Index Returns'!B30*'SAA with CME'!C$17)</f>
        <v/>
      </c>
      <c r="C45" s="30" t="str">
        <f>IF(B45&gt;$B$3,"",'Index Returns'!C30*'SAA with CME'!D$17)</f>
        <v/>
      </c>
      <c r="D45" s="30" t="str">
        <f>IF(C45&gt;$B$3,"",'Index Returns'!D30*'SAA with CME'!E$17)</f>
        <v/>
      </c>
      <c r="E45" s="30" t="str">
        <f>IF(D45&gt;$B$3,"",'Index Returns'!E30*'SAA with CME'!F$17)</f>
        <v/>
      </c>
      <c r="F45" s="30" t="str">
        <f>IF(E45&gt;$B$3,"",'Index Returns'!F30*'SAA with CME'!G$17)</f>
        <v/>
      </c>
      <c r="G45" s="30" t="str">
        <f>IF(F45&gt;$B$3,"",'Index Returns'!G30*'SAA with CME'!H$17)</f>
        <v/>
      </c>
      <c r="H45" s="30" t="str">
        <f t="shared" si="2"/>
        <v/>
      </c>
      <c r="I45" s="35" t="str">
        <f t="shared" si="3"/>
        <v/>
      </c>
    </row>
    <row r="46" spans="1:9" ht="18" x14ac:dyDescent="0.35">
      <c r="A46" s="47">
        <v>44012</v>
      </c>
      <c r="B46" s="30" t="str">
        <f>IF(A46&gt;$B$3,"",'Index Returns'!B31*'SAA with CME'!C$17)</f>
        <v/>
      </c>
      <c r="C46" s="30" t="str">
        <f>IF(B46&gt;$B$3,"",'Index Returns'!C31*'SAA with CME'!D$17)</f>
        <v/>
      </c>
      <c r="D46" s="30" t="str">
        <f>IF(C46&gt;$B$3,"",'Index Returns'!D31*'SAA with CME'!E$17)</f>
        <v/>
      </c>
      <c r="E46" s="30" t="str">
        <f>IF(D46&gt;$B$3,"",'Index Returns'!E31*'SAA with CME'!F$17)</f>
        <v/>
      </c>
      <c r="F46" s="30" t="str">
        <f>IF(E46&gt;$B$3,"",'Index Returns'!F31*'SAA with CME'!G$17)</f>
        <v/>
      </c>
      <c r="G46" s="30" t="str">
        <f>IF(F46&gt;$B$3,"",'Index Returns'!G31*'SAA with CME'!H$17)</f>
        <v/>
      </c>
      <c r="H46" s="30" t="str">
        <f t="shared" si="2"/>
        <v/>
      </c>
      <c r="I46" s="35" t="str">
        <f t="shared" si="3"/>
        <v/>
      </c>
    </row>
    <row r="47" spans="1:9" ht="18" x14ac:dyDescent="0.35">
      <c r="A47" s="47">
        <v>44043</v>
      </c>
      <c r="B47" s="30" t="str">
        <f>IF(A47&gt;$B$3,"",'Index Returns'!B32*'SAA with CME'!C$17)</f>
        <v/>
      </c>
      <c r="C47" s="30" t="str">
        <f>IF(B47&gt;$B$3,"",'Index Returns'!C32*'SAA with CME'!D$17)</f>
        <v/>
      </c>
      <c r="D47" s="30" t="str">
        <f>IF(C47&gt;$B$3,"",'Index Returns'!D32*'SAA with CME'!E$17)</f>
        <v/>
      </c>
      <c r="E47" s="30" t="str">
        <f>IF(D47&gt;$B$3,"",'Index Returns'!E32*'SAA with CME'!F$17)</f>
        <v/>
      </c>
      <c r="F47" s="30" t="str">
        <f>IF(E47&gt;$B$3,"",'Index Returns'!F32*'SAA with CME'!G$17)</f>
        <v/>
      </c>
      <c r="G47" s="30" t="str">
        <f>IF(F47&gt;$B$3,"",'Index Returns'!G32*'SAA with CME'!H$17)</f>
        <v/>
      </c>
      <c r="H47" s="30" t="str">
        <f t="shared" si="2"/>
        <v/>
      </c>
      <c r="I47" s="35" t="str">
        <f t="shared" si="3"/>
        <v/>
      </c>
    </row>
    <row r="48" spans="1:9" ht="18" x14ac:dyDescent="0.35">
      <c r="A48" s="47">
        <v>44074</v>
      </c>
      <c r="B48" s="30" t="str">
        <f>IF(A48&gt;$B$3,"",'Index Returns'!B33*'SAA with CME'!C$17)</f>
        <v/>
      </c>
      <c r="C48" s="30" t="str">
        <f>IF(B48&gt;$B$3,"",'Index Returns'!C33*'SAA with CME'!D$17)</f>
        <v/>
      </c>
      <c r="D48" s="30" t="str">
        <f>IF(C48&gt;$B$3,"",'Index Returns'!D33*'SAA with CME'!E$17)</f>
        <v/>
      </c>
      <c r="E48" s="30" t="str">
        <f>IF(D48&gt;$B$3,"",'Index Returns'!E33*'SAA with CME'!F$17)</f>
        <v/>
      </c>
      <c r="F48" s="30" t="str">
        <f>IF(E48&gt;$B$3,"",'Index Returns'!F33*'SAA with CME'!G$17)</f>
        <v/>
      </c>
      <c r="G48" s="30" t="str">
        <f>IF(F48&gt;$B$3,"",'Index Returns'!G33*'SAA with CME'!H$17)</f>
        <v/>
      </c>
      <c r="H48" s="30" t="str">
        <f t="shared" si="2"/>
        <v/>
      </c>
      <c r="I48" s="35" t="str">
        <f t="shared" si="3"/>
        <v/>
      </c>
    </row>
    <row r="49" spans="1:9" ht="18" x14ac:dyDescent="0.35">
      <c r="A49" s="47">
        <v>44104</v>
      </c>
      <c r="B49" s="30" t="str">
        <f>IF(A49&gt;$B$3,"",'Index Returns'!B34*'SAA with CME'!C$17)</f>
        <v/>
      </c>
      <c r="C49" s="30" t="str">
        <f>IF(B49&gt;$B$3,"",'Index Returns'!C34*'SAA with CME'!D$17)</f>
        <v/>
      </c>
      <c r="D49" s="30" t="str">
        <f>IF(C49&gt;$B$3,"",'Index Returns'!D34*'SAA with CME'!E$17)</f>
        <v/>
      </c>
      <c r="E49" s="30" t="str">
        <f>IF(D49&gt;$B$3,"",'Index Returns'!E34*'SAA with CME'!F$17)</f>
        <v/>
      </c>
      <c r="F49" s="30" t="str">
        <f>IF(E49&gt;$B$3,"",'Index Returns'!F34*'SAA with CME'!G$17)</f>
        <v/>
      </c>
      <c r="G49" s="30" t="str">
        <f>IF(F49&gt;$B$3,"",'Index Returns'!G34*'SAA with CME'!H$17)</f>
        <v/>
      </c>
      <c r="H49" s="30" t="str">
        <f t="shared" si="2"/>
        <v/>
      </c>
      <c r="I49" s="35" t="str">
        <f t="shared" si="3"/>
        <v/>
      </c>
    </row>
    <row r="50" spans="1:9" ht="18" x14ac:dyDescent="0.35">
      <c r="A50" s="47">
        <v>44134</v>
      </c>
      <c r="B50" s="30" t="str">
        <f>IF(A50&gt;$B$3,"",'Index Returns'!B35*'SAA with CME'!C$17)</f>
        <v/>
      </c>
      <c r="C50" s="30" t="str">
        <f>IF(B50&gt;$B$3,"",'Index Returns'!C35*'SAA with CME'!D$17)</f>
        <v/>
      </c>
      <c r="D50" s="30" t="str">
        <f>IF(C50&gt;$B$3,"",'Index Returns'!D35*'SAA with CME'!E$17)</f>
        <v/>
      </c>
      <c r="E50" s="30" t="str">
        <f>IF(D50&gt;$B$3,"",'Index Returns'!E35*'SAA with CME'!F$17)</f>
        <v/>
      </c>
      <c r="F50" s="30" t="str">
        <f>IF(E50&gt;$B$3,"",'Index Returns'!F35*'SAA with CME'!G$17)</f>
        <v/>
      </c>
      <c r="G50" s="30" t="str">
        <f>IF(F50&gt;$B$3,"",'Index Returns'!G35*'SAA with CME'!H$17)</f>
        <v/>
      </c>
      <c r="H50" s="30" t="str">
        <f t="shared" si="2"/>
        <v/>
      </c>
      <c r="I50" s="35" t="str">
        <f t="shared" si="3"/>
        <v/>
      </c>
    </row>
    <row r="51" spans="1:9" ht="18" x14ac:dyDescent="0.35">
      <c r="A51" s="47">
        <v>44165</v>
      </c>
      <c r="B51" s="30" t="str">
        <f>IF(A51&gt;$B$3,"",'Index Returns'!B36*'SAA with CME'!C$17)</f>
        <v/>
      </c>
      <c r="C51" s="30" t="str">
        <f>IF(B51&gt;$B$3,"",'Index Returns'!C36*'SAA with CME'!D$17)</f>
        <v/>
      </c>
      <c r="D51" s="30" t="str">
        <f>IF(C51&gt;$B$3,"",'Index Returns'!D36*'SAA with CME'!E$17)</f>
        <v/>
      </c>
      <c r="E51" s="30" t="str">
        <f>IF(D51&gt;$B$3,"",'Index Returns'!E36*'SAA with CME'!F$17)</f>
        <v/>
      </c>
      <c r="F51" s="30" t="str">
        <f>IF(E51&gt;$B$3,"",'Index Returns'!F36*'SAA with CME'!G$17)</f>
        <v/>
      </c>
      <c r="G51" s="30" t="str">
        <f>IF(F51&gt;$B$3,"",'Index Returns'!G36*'SAA with CME'!H$17)</f>
        <v/>
      </c>
      <c r="H51" s="30" t="str">
        <f t="shared" si="2"/>
        <v/>
      </c>
      <c r="I51" s="35" t="str">
        <f t="shared" si="3"/>
        <v/>
      </c>
    </row>
    <row r="52" spans="1:9" ht="18" x14ac:dyDescent="0.35">
      <c r="A52" s="47">
        <v>44196</v>
      </c>
      <c r="B52" s="30" t="str">
        <f>IF(A52&gt;$B$3,"",'Index Returns'!B37*'SAA with CME'!C$17)</f>
        <v/>
      </c>
      <c r="C52" s="30" t="str">
        <f>IF(B52&gt;$B$3,"",'Index Returns'!C37*'SAA with CME'!D$17)</f>
        <v/>
      </c>
      <c r="D52" s="30" t="str">
        <f>IF(C52&gt;$B$3,"",'Index Returns'!D37*'SAA with CME'!E$17)</f>
        <v/>
      </c>
      <c r="E52" s="30" t="str">
        <f>IF(D52&gt;$B$3,"",'Index Returns'!E37*'SAA with CME'!F$17)</f>
        <v/>
      </c>
      <c r="F52" s="30" t="str">
        <f>IF(E52&gt;$B$3,"",'Index Returns'!F37*'SAA with CME'!G$17)</f>
        <v/>
      </c>
      <c r="G52" s="30" t="str">
        <f>IF(F52&gt;$B$3,"",'Index Returns'!G37*'SAA with CME'!H$17)</f>
        <v/>
      </c>
      <c r="H52" s="30" t="str">
        <f t="shared" si="2"/>
        <v/>
      </c>
      <c r="I52" s="35" t="str">
        <f t="shared" si="3"/>
        <v/>
      </c>
    </row>
    <row r="53" spans="1:9" ht="18" x14ac:dyDescent="0.35">
      <c r="A53" s="47">
        <v>44225</v>
      </c>
      <c r="B53" s="30" t="str">
        <f>IF(A53&gt;$B$3,"",'Index Returns'!B38*'SAA with CME'!C$17)</f>
        <v/>
      </c>
      <c r="C53" s="30" t="str">
        <f>IF(B53&gt;$B$3,"",'Index Returns'!C38*'SAA with CME'!D$17)</f>
        <v/>
      </c>
      <c r="D53" s="30" t="str">
        <f>IF(C53&gt;$B$3,"",'Index Returns'!D38*'SAA with CME'!E$17)</f>
        <v/>
      </c>
      <c r="E53" s="30" t="str">
        <f>IF(D53&gt;$B$3,"",'Index Returns'!E38*'SAA with CME'!F$17)</f>
        <v/>
      </c>
      <c r="F53" s="30" t="str">
        <f>IF(E53&gt;$B$3,"",'Index Returns'!F38*'SAA with CME'!G$17)</f>
        <v/>
      </c>
      <c r="G53" s="30" t="str">
        <f>IF(F53&gt;$B$3,"",'Index Returns'!G38*'SAA with CME'!H$17)</f>
        <v/>
      </c>
      <c r="H53" s="30" t="str">
        <f t="shared" si="2"/>
        <v/>
      </c>
      <c r="I53" s="35" t="str">
        <f t="shared" si="3"/>
        <v/>
      </c>
    </row>
    <row r="54" spans="1:9" ht="18" x14ac:dyDescent="0.35">
      <c r="A54" s="47">
        <v>44253</v>
      </c>
      <c r="B54" s="30" t="str">
        <f>IF(A54&gt;$B$3,"",'Index Returns'!B39*'SAA with CME'!C$17)</f>
        <v/>
      </c>
      <c r="C54" s="30" t="str">
        <f>IF(B54&gt;$B$3,"",'Index Returns'!C39*'SAA with CME'!D$17)</f>
        <v/>
      </c>
      <c r="D54" s="30" t="str">
        <f>IF(C54&gt;$B$3,"",'Index Returns'!D39*'SAA with CME'!E$17)</f>
        <v/>
      </c>
      <c r="E54" s="30" t="str">
        <f>IF(D54&gt;$B$3,"",'Index Returns'!E39*'SAA with CME'!F$17)</f>
        <v/>
      </c>
      <c r="F54" s="30" t="str">
        <f>IF(E54&gt;$B$3,"",'Index Returns'!F39*'SAA with CME'!G$17)</f>
        <v/>
      </c>
      <c r="G54" s="30" t="str">
        <f>IF(F54&gt;$B$3,"",'Index Returns'!G39*'SAA with CME'!H$17)</f>
        <v/>
      </c>
      <c r="H54" s="30" t="str">
        <f t="shared" si="2"/>
        <v/>
      </c>
      <c r="I54" s="35" t="str">
        <f t="shared" si="3"/>
        <v/>
      </c>
    </row>
    <row r="55" spans="1:9" ht="18" x14ac:dyDescent="0.35">
      <c r="A55" s="47">
        <v>44286</v>
      </c>
      <c r="B55" s="30" t="str">
        <f>IF(A55&gt;$B$3,"",'Index Returns'!B40*'SAA with CME'!C$17)</f>
        <v/>
      </c>
      <c r="C55" s="30" t="str">
        <f>IF(B55&gt;$B$3,"",'Index Returns'!C40*'SAA with CME'!D$17)</f>
        <v/>
      </c>
      <c r="D55" s="30" t="str">
        <f>IF(C55&gt;$B$3,"",'Index Returns'!D40*'SAA with CME'!E$17)</f>
        <v/>
      </c>
      <c r="E55" s="30" t="str">
        <f>IF(D55&gt;$B$3,"",'Index Returns'!E40*'SAA with CME'!F$17)</f>
        <v/>
      </c>
      <c r="F55" s="30" t="str">
        <f>IF(E55&gt;$B$3,"",'Index Returns'!F40*'SAA with CME'!G$17)</f>
        <v/>
      </c>
      <c r="G55" s="30" t="str">
        <f>IF(F55&gt;$B$3,"",'Index Returns'!G40*'SAA with CME'!H$17)</f>
        <v/>
      </c>
      <c r="H55" s="30" t="str">
        <f t="shared" si="2"/>
        <v/>
      </c>
      <c r="I55" s="35" t="str">
        <f t="shared" si="3"/>
        <v/>
      </c>
    </row>
    <row r="56" spans="1:9" ht="18" x14ac:dyDescent="0.35">
      <c r="A56" s="47">
        <v>44316</v>
      </c>
      <c r="B56" s="30" t="str">
        <f>IF(A56&gt;$B$3,"",'Index Returns'!B41*'SAA with CME'!C$17)</f>
        <v/>
      </c>
      <c r="C56" s="30" t="str">
        <f>IF(B56&gt;$B$3,"",'Index Returns'!C41*'SAA with CME'!D$17)</f>
        <v/>
      </c>
      <c r="D56" s="30" t="str">
        <f>IF(C56&gt;$B$3,"",'Index Returns'!D41*'SAA with CME'!E$17)</f>
        <v/>
      </c>
      <c r="E56" s="30" t="str">
        <f>IF(D56&gt;$B$3,"",'Index Returns'!E41*'SAA with CME'!F$17)</f>
        <v/>
      </c>
      <c r="F56" s="30" t="str">
        <f>IF(E56&gt;$B$3,"",'Index Returns'!F41*'SAA with CME'!G$17)</f>
        <v/>
      </c>
      <c r="G56" s="30" t="str">
        <f>IF(F56&gt;$B$3,"",'Index Returns'!G41*'SAA with CME'!H$17)</f>
        <v/>
      </c>
      <c r="H56" s="30" t="str">
        <f t="shared" si="2"/>
        <v/>
      </c>
      <c r="I56" s="35" t="str">
        <f t="shared" si="3"/>
        <v/>
      </c>
    </row>
    <row r="57" spans="1:9" ht="18" x14ac:dyDescent="0.35">
      <c r="A57" s="47">
        <v>44347</v>
      </c>
      <c r="B57" s="30" t="str">
        <f>IF(A57&gt;$B$3,"",'Index Returns'!B42*'SAA with CME'!C$17)</f>
        <v/>
      </c>
      <c r="C57" s="30" t="str">
        <f>IF(B57&gt;$B$3,"",'Index Returns'!C42*'SAA with CME'!D$17)</f>
        <v/>
      </c>
      <c r="D57" s="30" t="str">
        <f>IF(C57&gt;$B$3,"",'Index Returns'!D42*'SAA with CME'!E$17)</f>
        <v/>
      </c>
      <c r="E57" s="30" t="str">
        <f>IF(D57&gt;$B$3,"",'Index Returns'!E42*'SAA with CME'!F$17)</f>
        <v/>
      </c>
      <c r="F57" s="30" t="str">
        <f>IF(E57&gt;$B$3,"",'Index Returns'!F42*'SAA with CME'!G$17)</f>
        <v/>
      </c>
      <c r="G57" s="30" t="str">
        <f>IF(F57&gt;$B$3,"",'Index Returns'!G42*'SAA with CME'!H$17)</f>
        <v/>
      </c>
      <c r="H57" s="30" t="str">
        <f t="shared" si="2"/>
        <v/>
      </c>
      <c r="I57" s="35" t="str">
        <f t="shared" si="3"/>
        <v/>
      </c>
    </row>
    <row r="58" spans="1:9" ht="18" x14ac:dyDescent="0.35">
      <c r="A58" s="47">
        <v>44377</v>
      </c>
      <c r="B58" s="30" t="str">
        <f>IF(A58&gt;$B$3,"",'Index Returns'!B43*'SAA with CME'!C$17)</f>
        <v/>
      </c>
      <c r="C58" s="30" t="str">
        <f>IF(B58&gt;$B$3,"",'Index Returns'!C43*'SAA with CME'!D$17)</f>
        <v/>
      </c>
      <c r="D58" s="30" t="str">
        <f>IF(C58&gt;$B$3,"",'Index Returns'!D43*'SAA with CME'!E$17)</f>
        <v/>
      </c>
      <c r="E58" s="30" t="str">
        <f>IF(D58&gt;$B$3,"",'Index Returns'!E43*'SAA with CME'!F$17)</f>
        <v/>
      </c>
      <c r="F58" s="30" t="str">
        <f>IF(E58&gt;$B$3,"",'Index Returns'!F43*'SAA with CME'!G$17)</f>
        <v/>
      </c>
      <c r="G58" s="30" t="str">
        <f>IF(F58&gt;$B$3,"",'Index Returns'!G43*'SAA with CME'!H$17)</f>
        <v/>
      </c>
      <c r="H58" s="30" t="str">
        <f t="shared" si="2"/>
        <v/>
      </c>
      <c r="I58" s="35" t="str">
        <f t="shared" si="3"/>
        <v/>
      </c>
    </row>
    <row r="59" spans="1:9" ht="18" x14ac:dyDescent="0.35">
      <c r="A59" s="47">
        <v>44407</v>
      </c>
      <c r="B59" s="30" t="str">
        <f>IF(A59&gt;$B$3,"",'Index Returns'!B44*'SAA with CME'!C$17)</f>
        <v/>
      </c>
      <c r="C59" s="30" t="str">
        <f>IF(B59&gt;$B$3,"",'Index Returns'!C44*'SAA with CME'!D$17)</f>
        <v/>
      </c>
      <c r="D59" s="30" t="str">
        <f>IF(C59&gt;$B$3,"",'Index Returns'!D44*'SAA with CME'!E$17)</f>
        <v/>
      </c>
      <c r="E59" s="30" t="str">
        <f>IF(D59&gt;$B$3,"",'Index Returns'!E44*'SAA with CME'!F$17)</f>
        <v/>
      </c>
      <c r="F59" s="30" t="str">
        <f>IF(E59&gt;$B$3,"",'Index Returns'!F44*'SAA with CME'!G$17)</f>
        <v/>
      </c>
      <c r="G59" s="30" t="str">
        <f>IF(F59&gt;$B$3,"",'Index Returns'!G44*'SAA with CME'!H$17)</f>
        <v/>
      </c>
      <c r="H59" s="30" t="str">
        <f t="shared" si="2"/>
        <v/>
      </c>
      <c r="I59" s="35" t="str">
        <f t="shared" si="3"/>
        <v/>
      </c>
    </row>
    <row r="60" spans="1:9" ht="18" x14ac:dyDescent="0.35">
      <c r="A60" s="47">
        <v>44439</v>
      </c>
      <c r="B60" s="30" t="str">
        <f>IF(A60&gt;$B$3,"",'Index Returns'!B45*'SAA with CME'!C$17)</f>
        <v/>
      </c>
      <c r="C60" s="30" t="str">
        <f>IF(B60&gt;$B$3,"",'Index Returns'!C45*'SAA with CME'!D$17)</f>
        <v/>
      </c>
      <c r="D60" s="30" t="str">
        <f>IF(C60&gt;$B$3,"",'Index Returns'!D45*'SAA with CME'!E$17)</f>
        <v/>
      </c>
      <c r="E60" s="30" t="str">
        <f>IF(D60&gt;$B$3,"",'Index Returns'!E45*'SAA with CME'!F$17)</f>
        <v/>
      </c>
      <c r="F60" s="30" t="str">
        <f>IF(E60&gt;$B$3,"",'Index Returns'!F45*'SAA with CME'!G$17)</f>
        <v/>
      </c>
      <c r="G60" s="30" t="str">
        <f>IF(F60&gt;$B$3,"",'Index Returns'!G45*'SAA with CME'!H$17)</f>
        <v/>
      </c>
      <c r="H60" s="30" t="str">
        <f t="shared" si="2"/>
        <v/>
      </c>
      <c r="I60" s="35" t="str">
        <f t="shared" si="3"/>
        <v/>
      </c>
    </row>
    <row r="61" spans="1:9" ht="18" x14ac:dyDescent="0.35">
      <c r="A61" s="47">
        <v>44469</v>
      </c>
      <c r="B61" s="30" t="str">
        <f>IF(A61&gt;$B$3,"",'Index Returns'!B46*'SAA with CME'!C$17)</f>
        <v/>
      </c>
      <c r="C61" s="30" t="str">
        <f>IF(B61&gt;$B$3,"",'Index Returns'!C46*'SAA with CME'!D$17)</f>
        <v/>
      </c>
      <c r="D61" s="30" t="str">
        <f>IF(C61&gt;$B$3,"",'Index Returns'!D46*'SAA with CME'!E$17)</f>
        <v/>
      </c>
      <c r="E61" s="30" t="str">
        <f>IF(D61&gt;$B$3,"",'Index Returns'!E46*'SAA with CME'!F$17)</f>
        <v/>
      </c>
      <c r="F61" s="30" t="str">
        <f>IF(E61&gt;$B$3,"",'Index Returns'!F46*'SAA with CME'!G$17)</f>
        <v/>
      </c>
      <c r="G61" s="30" t="str">
        <f>IF(F61&gt;$B$3,"",'Index Returns'!G46*'SAA with CME'!H$17)</f>
        <v/>
      </c>
      <c r="H61" s="30" t="str">
        <f t="shared" si="2"/>
        <v/>
      </c>
      <c r="I61" s="35" t="str">
        <f t="shared" si="3"/>
        <v/>
      </c>
    </row>
    <row r="62" spans="1:9" ht="18" x14ac:dyDescent="0.35">
      <c r="A62" s="47">
        <v>44498</v>
      </c>
      <c r="B62" s="30" t="str">
        <f>IF(A62&gt;$B$3,"",'Index Returns'!B47*'SAA with CME'!C$17)</f>
        <v/>
      </c>
      <c r="C62" s="30" t="str">
        <f>IF(B62&gt;$B$3,"",'Index Returns'!C47*'SAA with CME'!D$17)</f>
        <v/>
      </c>
      <c r="D62" s="30" t="str">
        <f>IF(C62&gt;$B$3,"",'Index Returns'!D47*'SAA with CME'!E$17)</f>
        <v/>
      </c>
      <c r="E62" s="30" t="str">
        <f>IF(D62&gt;$B$3,"",'Index Returns'!E47*'SAA with CME'!F$17)</f>
        <v/>
      </c>
      <c r="F62" s="30" t="str">
        <f>IF(E62&gt;$B$3,"",'Index Returns'!F47*'SAA with CME'!G$17)</f>
        <v/>
      </c>
      <c r="G62" s="30" t="str">
        <f>IF(F62&gt;$B$3,"",'Index Returns'!G47*'SAA with CME'!H$17)</f>
        <v/>
      </c>
      <c r="H62" s="30" t="str">
        <f t="shared" si="2"/>
        <v/>
      </c>
      <c r="I62" s="35" t="str">
        <f t="shared" si="3"/>
        <v/>
      </c>
    </row>
    <row r="63" spans="1:9" ht="18" x14ac:dyDescent="0.35">
      <c r="A63" s="47">
        <v>44530</v>
      </c>
      <c r="B63" s="30" t="str">
        <f>IF(A63&gt;$B$3,"",'Index Returns'!B48*'SAA with CME'!C$17)</f>
        <v/>
      </c>
      <c r="C63" s="30" t="str">
        <f>IF(B63&gt;$B$3,"",'Index Returns'!C48*'SAA with CME'!D$17)</f>
        <v/>
      </c>
      <c r="D63" s="30" t="str">
        <f>IF(C63&gt;$B$3,"",'Index Returns'!D48*'SAA with CME'!E$17)</f>
        <v/>
      </c>
      <c r="E63" s="30" t="str">
        <f>IF(D63&gt;$B$3,"",'Index Returns'!E48*'SAA with CME'!F$17)</f>
        <v/>
      </c>
      <c r="F63" s="30" t="str">
        <f>IF(E63&gt;$B$3,"",'Index Returns'!F48*'SAA with CME'!G$17)</f>
        <v/>
      </c>
      <c r="G63" s="30" t="str">
        <f>IF(F63&gt;$B$3,"",'Index Returns'!G48*'SAA with CME'!H$17)</f>
        <v/>
      </c>
      <c r="H63" s="30" t="str">
        <f t="shared" si="2"/>
        <v/>
      </c>
      <c r="I63" s="35" t="str">
        <f t="shared" si="3"/>
        <v/>
      </c>
    </row>
    <row r="64" spans="1:9" ht="18" x14ac:dyDescent="0.35">
      <c r="A64" s="47">
        <v>44561</v>
      </c>
      <c r="B64" s="30" t="str">
        <f>IF(A64&gt;$B$3,"",'Index Returns'!B49*'SAA with CME'!C$17)</f>
        <v/>
      </c>
      <c r="C64" s="30" t="str">
        <f>IF(B64&gt;$B$3,"",'Index Returns'!C49*'SAA with CME'!D$17)</f>
        <v/>
      </c>
      <c r="D64" s="30" t="str">
        <f>IF(C64&gt;$B$3,"",'Index Returns'!D49*'SAA with CME'!E$17)</f>
        <v/>
      </c>
      <c r="E64" s="30" t="str">
        <f>IF(D64&gt;$B$3,"",'Index Returns'!E49*'SAA with CME'!F$17)</f>
        <v/>
      </c>
      <c r="F64" s="30" t="str">
        <f>IF(E64&gt;$B$3,"",'Index Returns'!F49*'SAA with CME'!G$17)</f>
        <v/>
      </c>
      <c r="G64" s="30" t="str">
        <f>IF(F64&gt;$B$3,"",'Index Returns'!G49*'SAA with CME'!H$17)</f>
        <v/>
      </c>
      <c r="H64" s="30" t="str">
        <f t="shared" si="2"/>
        <v/>
      </c>
      <c r="I64" s="35" t="str">
        <f t="shared" si="3"/>
        <v/>
      </c>
    </row>
    <row r="65" spans="1:9" ht="18" x14ac:dyDescent="0.35">
      <c r="A65" s="47">
        <v>44592</v>
      </c>
      <c r="B65" s="30" t="str">
        <f>IF(A65&gt;$B$3,"",'Index Returns'!B50*'SAA with CME'!C$17)</f>
        <v/>
      </c>
      <c r="C65" s="30" t="str">
        <f>IF(B65&gt;$B$3,"",'Index Returns'!C50*'SAA with CME'!D$17)</f>
        <v/>
      </c>
      <c r="D65" s="30" t="str">
        <f>IF(C65&gt;$B$3,"",'Index Returns'!D50*'SAA with CME'!E$17)</f>
        <v/>
      </c>
      <c r="E65" s="30" t="str">
        <f>IF(D65&gt;$B$3,"",'Index Returns'!E50*'SAA with CME'!F$17)</f>
        <v/>
      </c>
      <c r="F65" s="30" t="str">
        <f>IF(E65&gt;$B$3,"",'Index Returns'!F50*'SAA with CME'!G$17)</f>
        <v/>
      </c>
      <c r="G65" s="30" t="str">
        <f>IF(F65&gt;$B$3,"",'Index Returns'!G50*'SAA with CME'!H$17)</f>
        <v/>
      </c>
      <c r="H65" s="30" t="str">
        <f t="shared" si="2"/>
        <v/>
      </c>
      <c r="I65" s="35" t="str">
        <f t="shared" si="3"/>
        <v/>
      </c>
    </row>
    <row r="66" spans="1:9" ht="18" x14ac:dyDescent="0.35">
      <c r="A66" s="47">
        <v>44620</v>
      </c>
      <c r="B66" s="30" t="str">
        <f>IF(A66&gt;$B$3,"",'Index Returns'!B51*'SAA with CME'!C$17)</f>
        <v/>
      </c>
      <c r="C66" s="30" t="str">
        <f>IF(B66&gt;$B$3,"",'Index Returns'!C51*'SAA with CME'!D$17)</f>
        <v/>
      </c>
      <c r="D66" s="30" t="str">
        <f>IF(C66&gt;$B$3,"",'Index Returns'!D51*'SAA with CME'!E$17)</f>
        <v/>
      </c>
      <c r="E66" s="30" t="str">
        <f>IF(D66&gt;$B$3,"",'Index Returns'!E51*'SAA with CME'!F$17)</f>
        <v/>
      </c>
      <c r="F66" s="30" t="str">
        <f>IF(E66&gt;$B$3,"",'Index Returns'!F51*'SAA with CME'!G$17)</f>
        <v/>
      </c>
      <c r="G66" s="30" t="str">
        <f>IF(F66&gt;$B$3,"",'Index Returns'!G51*'SAA with CME'!H$17)</f>
        <v/>
      </c>
      <c r="H66" s="30" t="str">
        <f t="shared" si="2"/>
        <v/>
      </c>
      <c r="I66" s="35" t="str">
        <f t="shared" si="3"/>
        <v/>
      </c>
    </row>
    <row r="67" spans="1:9" ht="18" x14ac:dyDescent="0.35">
      <c r="A67" s="47">
        <v>44651</v>
      </c>
      <c r="B67" s="30" t="str">
        <f>IF(A67&gt;$B$3,"",'Index Returns'!B52*'SAA with CME'!C$17)</f>
        <v/>
      </c>
      <c r="C67" s="30" t="str">
        <f>IF(B67&gt;$B$3,"",'Index Returns'!C52*'SAA with CME'!D$17)</f>
        <v/>
      </c>
      <c r="D67" s="30" t="str">
        <f>IF(C67&gt;$B$3,"",'Index Returns'!D52*'SAA with CME'!E$17)</f>
        <v/>
      </c>
      <c r="E67" s="30" t="str">
        <f>IF(D67&gt;$B$3,"",'Index Returns'!E52*'SAA with CME'!F$17)</f>
        <v/>
      </c>
      <c r="F67" s="30" t="str">
        <f>IF(E67&gt;$B$3,"",'Index Returns'!F52*'SAA with CME'!G$17)</f>
        <v/>
      </c>
      <c r="G67" s="30" t="str">
        <f>IF(F67&gt;$B$3,"",'Index Returns'!G52*'SAA with CME'!H$17)</f>
        <v/>
      </c>
      <c r="H67" s="30" t="str">
        <f t="shared" si="2"/>
        <v/>
      </c>
      <c r="I67" s="35" t="str">
        <f t="shared" si="3"/>
        <v/>
      </c>
    </row>
    <row r="68" spans="1:9" ht="18" x14ac:dyDescent="0.35">
      <c r="A68" s="47">
        <v>44680</v>
      </c>
      <c r="B68" s="30" t="str">
        <f>IF(A68&gt;$B$3,"",'Index Returns'!B53*'SAA with CME'!C$17)</f>
        <v/>
      </c>
      <c r="C68" s="30" t="str">
        <f>IF(B68&gt;$B$3,"",'Index Returns'!C53*'SAA with CME'!D$17)</f>
        <v/>
      </c>
      <c r="D68" s="30" t="str">
        <f>IF(C68&gt;$B$3,"",'Index Returns'!D53*'SAA with CME'!E$17)</f>
        <v/>
      </c>
      <c r="E68" s="30" t="str">
        <f>IF(D68&gt;$B$3,"",'Index Returns'!E53*'SAA with CME'!F$17)</f>
        <v/>
      </c>
      <c r="F68" s="30" t="str">
        <f>IF(E68&gt;$B$3,"",'Index Returns'!F53*'SAA with CME'!G$17)</f>
        <v/>
      </c>
      <c r="G68" s="30" t="str">
        <f>IF(F68&gt;$B$3,"",'Index Returns'!G53*'SAA with CME'!H$17)</f>
        <v/>
      </c>
      <c r="H68" s="30" t="str">
        <f t="shared" si="2"/>
        <v/>
      </c>
      <c r="I68" s="35" t="str">
        <f t="shared" si="3"/>
        <v/>
      </c>
    </row>
    <row r="69" spans="1:9" ht="18" x14ac:dyDescent="0.35">
      <c r="A69" s="47">
        <v>44712</v>
      </c>
      <c r="B69" s="30" t="str">
        <f>IF(A69&gt;$B$3,"",'Index Returns'!B54*'SAA with CME'!C$17)</f>
        <v/>
      </c>
      <c r="C69" s="30" t="str">
        <f>IF(B69&gt;$B$3,"",'Index Returns'!C54*'SAA with CME'!D$17)</f>
        <v/>
      </c>
      <c r="D69" s="30" t="str">
        <f>IF(C69&gt;$B$3,"",'Index Returns'!D54*'SAA with CME'!E$17)</f>
        <v/>
      </c>
      <c r="E69" s="30" t="str">
        <f>IF(D69&gt;$B$3,"",'Index Returns'!E54*'SAA with CME'!F$17)</f>
        <v/>
      </c>
      <c r="F69" s="30" t="str">
        <f>IF(E69&gt;$B$3,"",'Index Returns'!F54*'SAA with CME'!G$17)</f>
        <v/>
      </c>
      <c r="G69" s="30" t="str">
        <f>IF(F69&gt;$B$3,"",'Index Returns'!G54*'SAA with CME'!H$17)</f>
        <v/>
      </c>
      <c r="H69" s="30" t="str">
        <f t="shared" si="2"/>
        <v/>
      </c>
      <c r="I69" s="35" t="str">
        <f t="shared" si="3"/>
        <v/>
      </c>
    </row>
    <row r="70" spans="1:9" ht="18" x14ac:dyDescent="0.35">
      <c r="A70" s="47">
        <v>44742</v>
      </c>
      <c r="B70" s="30" t="str">
        <f>IF(A70&gt;$B$3,"",'Index Returns'!B55*'SAA with CME'!C$17)</f>
        <v/>
      </c>
      <c r="C70" s="30" t="str">
        <f>IF(B70&gt;$B$3,"",'Index Returns'!C55*'SAA with CME'!D$17)</f>
        <v/>
      </c>
      <c r="D70" s="30" t="str">
        <f>IF(C70&gt;$B$3,"",'Index Returns'!D55*'SAA with CME'!E$17)</f>
        <v/>
      </c>
      <c r="E70" s="30" t="str">
        <f>IF(D70&gt;$B$3,"",'Index Returns'!E55*'SAA with CME'!F$17)</f>
        <v/>
      </c>
      <c r="F70" s="30" t="str">
        <f>IF(E70&gt;$B$3,"",'Index Returns'!F55*'SAA with CME'!G$17)</f>
        <v/>
      </c>
      <c r="G70" s="30" t="str">
        <f>IF(F70&gt;$B$3,"",'Index Returns'!G55*'SAA with CME'!H$17)</f>
        <v/>
      </c>
      <c r="H70" s="30" t="str">
        <f t="shared" si="2"/>
        <v/>
      </c>
      <c r="I70" s="35" t="str">
        <f t="shared" si="3"/>
        <v/>
      </c>
    </row>
    <row r="71" spans="1:9" ht="18" x14ac:dyDescent="0.35">
      <c r="A71" s="47">
        <v>44771</v>
      </c>
      <c r="B71" s="30" t="str">
        <f>IF(A71&gt;$B$3,"",'Index Returns'!B56*'SAA with CME'!C$17)</f>
        <v/>
      </c>
      <c r="C71" s="30" t="str">
        <f>IF(B71&gt;$B$3,"",'Index Returns'!C56*'SAA with CME'!D$17)</f>
        <v/>
      </c>
      <c r="D71" s="30" t="str">
        <f>IF(C71&gt;$B$3,"",'Index Returns'!D56*'SAA with CME'!E$17)</f>
        <v/>
      </c>
      <c r="E71" s="30" t="str">
        <f>IF(D71&gt;$B$3,"",'Index Returns'!E56*'SAA with CME'!F$17)</f>
        <v/>
      </c>
      <c r="F71" s="30" t="str">
        <f>IF(E71&gt;$B$3,"",'Index Returns'!F56*'SAA with CME'!G$17)</f>
        <v/>
      </c>
      <c r="G71" s="30" t="str">
        <f>IF(F71&gt;$B$3,"",'Index Returns'!G56*'SAA with CME'!H$17)</f>
        <v/>
      </c>
      <c r="H71" s="30" t="str">
        <f t="shared" si="2"/>
        <v/>
      </c>
      <c r="I71" s="35" t="str">
        <f t="shared" si="3"/>
        <v/>
      </c>
    </row>
    <row r="72" spans="1:9" ht="18" x14ac:dyDescent="0.35">
      <c r="A72" s="47">
        <v>44804</v>
      </c>
      <c r="B72" s="30" t="str">
        <f>IF(A72&gt;$B$3,"",'Index Returns'!B57*'SAA with CME'!C$17)</f>
        <v/>
      </c>
      <c r="C72" s="30" t="str">
        <f>IF(B72&gt;$B$3,"",'Index Returns'!C57*'SAA with CME'!D$17)</f>
        <v/>
      </c>
      <c r="D72" s="30" t="str">
        <f>IF(C72&gt;$B$3,"",'Index Returns'!D57*'SAA with CME'!E$17)</f>
        <v/>
      </c>
      <c r="E72" s="30" t="str">
        <f>IF(D72&gt;$B$3,"",'Index Returns'!E57*'SAA with CME'!F$17)</f>
        <v/>
      </c>
      <c r="F72" s="30" t="str">
        <f>IF(E72&gt;$B$3,"",'Index Returns'!F57*'SAA with CME'!G$17)</f>
        <v/>
      </c>
      <c r="G72" s="30" t="str">
        <f>IF(F72&gt;$B$3,"",'Index Returns'!G57*'SAA with CME'!H$17)</f>
        <v/>
      </c>
      <c r="H72" s="30" t="str">
        <f t="shared" si="2"/>
        <v/>
      </c>
      <c r="I72" s="35" t="str">
        <f t="shared" si="3"/>
        <v/>
      </c>
    </row>
    <row r="73" spans="1:9" ht="18" x14ac:dyDescent="0.35">
      <c r="A73" s="47">
        <v>44834</v>
      </c>
      <c r="B73" s="30" t="str">
        <f>IF(A73&gt;$B$3,"",'Index Returns'!B58*'SAA with CME'!C$17)</f>
        <v/>
      </c>
      <c r="C73" s="30" t="str">
        <f>IF(B73&gt;$B$3,"",'Index Returns'!C58*'SAA with CME'!D$17)</f>
        <v/>
      </c>
      <c r="D73" s="30" t="str">
        <f>IF(C73&gt;$B$3,"",'Index Returns'!D58*'SAA with CME'!E$17)</f>
        <v/>
      </c>
      <c r="E73" s="30" t="str">
        <f>IF(D73&gt;$B$3,"",'Index Returns'!E58*'SAA with CME'!F$17)</f>
        <v/>
      </c>
      <c r="F73" s="30" t="str">
        <f>IF(E73&gt;$B$3,"",'Index Returns'!F58*'SAA with CME'!G$17)</f>
        <v/>
      </c>
      <c r="G73" s="30" t="str">
        <f>IF(F73&gt;$B$3,"",'Index Returns'!G58*'SAA with CME'!H$17)</f>
        <v/>
      </c>
      <c r="H73" s="30" t="str">
        <f t="shared" si="2"/>
        <v/>
      </c>
      <c r="I73" s="35" t="str">
        <f t="shared" si="3"/>
        <v/>
      </c>
    </row>
    <row r="74" spans="1:9" ht="18" x14ac:dyDescent="0.35">
      <c r="A74" s="47">
        <v>44865</v>
      </c>
      <c r="B74" s="30" t="str">
        <f>IF(A74&gt;$B$3,"",'Index Returns'!B59*'SAA with CME'!C$17)</f>
        <v/>
      </c>
      <c r="C74" s="30" t="str">
        <f>IF(B74&gt;$B$3,"",'Index Returns'!C59*'SAA with CME'!D$17)</f>
        <v/>
      </c>
      <c r="D74" s="30" t="str">
        <f>IF(C74&gt;$B$3,"",'Index Returns'!D59*'SAA with CME'!E$17)</f>
        <v/>
      </c>
      <c r="E74" s="30" t="str">
        <f>IF(D74&gt;$B$3,"",'Index Returns'!E59*'SAA with CME'!F$17)</f>
        <v/>
      </c>
      <c r="F74" s="30" t="str">
        <f>IF(E74&gt;$B$3,"",'Index Returns'!F59*'SAA with CME'!G$17)</f>
        <v/>
      </c>
      <c r="G74" s="30" t="str">
        <f>IF(F74&gt;$B$3,"",'Index Returns'!G59*'SAA with CME'!H$17)</f>
        <v/>
      </c>
      <c r="H74" s="30" t="str">
        <f t="shared" si="2"/>
        <v/>
      </c>
      <c r="I74" s="35" t="str">
        <f t="shared" si="3"/>
        <v/>
      </c>
    </row>
    <row r="75" spans="1:9" ht="18" x14ac:dyDescent="0.35">
      <c r="A75" s="47">
        <v>44895</v>
      </c>
      <c r="B75" s="30" t="str">
        <f>IF(A75&gt;$B$3,"",'Index Returns'!B60*'SAA with CME'!C$17)</f>
        <v/>
      </c>
      <c r="C75" s="30" t="str">
        <f>IF(B75&gt;$B$3,"",'Index Returns'!C60*'SAA with CME'!D$17)</f>
        <v/>
      </c>
      <c r="D75" s="30" t="str">
        <f>IF(C75&gt;$B$3,"",'Index Returns'!D60*'SAA with CME'!E$17)</f>
        <v/>
      </c>
      <c r="E75" s="30" t="str">
        <f>IF(D75&gt;$B$3,"",'Index Returns'!E60*'SAA with CME'!F$17)</f>
        <v/>
      </c>
      <c r="F75" s="30" t="str">
        <f>IF(E75&gt;$B$3,"",'Index Returns'!F60*'SAA with CME'!G$17)</f>
        <v/>
      </c>
      <c r="G75" s="30" t="str">
        <f>IF(F75&gt;$B$3,"",'Index Returns'!G60*'SAA with CME'!H$17)</f>
        <v/>
      </c>
      <c r="H75" s="30" t="str">
        <f t="shared" si="2"/>
        <v/>
      </c>
      <c r="I75" s="35" t="str">
        <f t="shared" si="3"/>
        <v/>
      </c>
    </row>
    <row r="76" spans="1:9" ht="18" x14ac:dyDescent="0.35">
      <c r="A76" s="47">
        <v>44925</v>
      </c>
      <c r="B76" s="30" t="str">
        <f>IF(A76&gt;$B$3,"",'Index Returns'!B61*'SAA with CME'!C$17)</f>
        <v/>
      </c>
      <c r="C76" s="30" t="str">
        <f>IF(B76&gt;$B$3,"",'Index Returns'!C61*'SAA with CME'!D$17)</f>
        <v/>
      </c>
      <c r="D76" s="30" t="str">
        <f>IF(C76&gt;$B$3,"",'Index Returns'!D61*'SAA with CME'!E$17)</f>
        <v/>
      </c>
      <c r="E76" s="30" t="str">
        <f>IF(D76&gt;$B$3,"",'Index Returns'!E61*'SAA with CME'!F$17)</f>
        <v/>
      </c>
      <c r="F76" s="30" t="str">
        <f>IF(E76&gt;$B$3,"",'Index Returns'!F61*'SAA with CME'!G$17)</f>
        <v/>
      </c>
      <c r="G76" s="30" t="str">
        <f>IF(F76&gt;$B$3,"",'Index Returns'!G61*'SAA with CME'!H$17)</f>
        <v/>
      </c>
      <c r="H76" s="30" t="str">
        <f t="shared" si="2"/>
        <v/>
      </c>
      <c r="I76" s="35" t="str">
        <f t="shared" si="3"/>
        <v/>
      </c>
    </row>
    <row r="77" spans="1:9" ht="18" x14ac:dyDescent="0.35">
      <c r="A77" s="47">
        <v>44957</v>
      </c>
      <c r="B77" s="30" t="str">
        <f>IF(A77&gt;$B$3,"",'Index Returns'!B62*'SAA with CME'!C$17)</f>
        <v/>
      </c>
      <c r="C77" s="30" t="str">
        <f>IF(B77&gt;$B$3,"",'Index Returns'!C62*'SAA with CME'!D$17)</f>
        <v/>
      </c>
      <c r="D77" s="30" t="str">
        <f>IF(C77&gt;$B$3,"",'Index Returns'!D62*'SAA with CME'!E$17)</f>
        <v/>
      </c>
      <c r="E77" s="30" t="str">
        <f>IF(D77&gt;$B$3,"",'Index Returns'!E62*'SAA with CME'!F$17)</f>
        <v/>
      </c>
      <c r="F77" s="30" t="str">
        <f>IF(E77&gt;$B$3,"",'Index Returns'!F62*'SAA with CME'!G$17)</f>
        <v/>
      </c>
      <c r="G77" s="30" t="str">
        <f>IF(F77&gt;$B$3,"",'Index Returns'!G62*'SAA with CME'!H$17)</f>
        <v/>
      </c>
      <c r="H77" s="30" t="str">
        <f t="shared" si="2"/>
        <v/>
      </c>
      <c r="I77" s="35" t="str">
        <f t="shared" si="3"/>
        <v/>
      </c>
    </row>
    <row r="78" spans="1:9" ht="18" x14ac:dyDescent="0.35">
      <c r="A78" s="47">
        <v>44985</v>
      </c>
      <c r="B78" s="30" t="str">
        <f>IF(A78&gt;$B$3,"",'Index Returns'!B63*'SAA with CME'!C$17)</f>
        <v/>
      </c>
      <c r="C78" s="30" t="str">
        <f>IF(B78&gt;$B$3,"",'Index Returns'!C63*'SAA with CME'!D$17)</f>
        <v/>
      </c>
      <c r="D78" s="30" t="str">
        <f>IF(C78&gt;$B$3,"",'Index Returns'!D63*'SAA with CME'!E$17)</f>
        <v/>
      </c>
      <c r="E78" s="30" t="str">
        <f>IF(D78&gt;$B$3,"",'Index Returns'!E63*'SAA with CME'!F$17)</f>
        <v/>
      </c>
      <c r="F78" s="30" t="str">
        <f>IF(E78&gt;$B$3,"",'Index Returns'!F63*'SAA with CME'!G$17)</f>
        <v/>
      </c>
      <c r="G78" s="30" t="str">
        <f>IF(F78&gt;$B$3,"",'Index Returns'!G63*'SAA with CME'!H$17)</f>
        <v/>
      </c>
      <c r="H78" s="30" t="str">
        <f t="shared" si="2"/>
        <v/>
      </c>
      <c r="I78" s="35" t="str">
        <f t="shared" si="3"/>
        <v/>
      </c>
    </row>
    <row r="79" spans="1:9" ht="18" x14ac:dyDescent="0.35">
      <c r="A79" s="47">
        <v>45016</v>
      </c>
      <c r="B79" s="30" t="str">
        <f>IF(A79&gt;$B$3,"",'Index Returns'!B64*'SAA with CME'!C$17)</f>
        <v/>
      </c>
      <c r="C79" s="30" t="str">
        <f>IF(B79&gt;$B$3,"",'Index Returns'!C64*'SAA with CME'!D$17)</f>
        <v/>
      </c>
      <c r="D79" s="30" t="str">
        <f>IF(C79&gt;$B$3,"",'Index Returns'!D64*'SAA with CME'!E$17)</f>
        <v/>
      </c>
      <c r="E79" s="30" t="str">
        <f>IF(D79&gt;$B$3,"",'Index Returns'!E64*'SAA with CME'!F$17)</f>
        <v/>
      </c>
      <c r="F79" s="30" t="str">
        <f>IF(E79&gt;$B$3,"",'Index Returns'!F64*'SAA with CME'!G$17)</f>
        <v/>
      </c>
      <c r="G79" s="30" t="str">
        <f>IF(F79&gt;$B$3,"",'Index Returns'!G64*'SAA with CME'!H$17)</f>
        <v/>
      </c>
      <c r="H79" s="30" t="str">
        <f t="shared" si="2"/>
        <v/>
      </c>
      <c r="I79" s="35" t="str">
        <f t="shared" si="3"/>
        <v/>
      </c>
    </row>
    <row r="80" spans="1:9" ht="18" x14ac:dyDescent="0.35">
      <c r="A80" s="47">
        <v>45044</v>
      </c>
      <c r="B80" s="30" t="str">
        <f>IF(A80&gt;$B$3,"",'Index Returns'!B65*'SAA with CME'!C$17)</f>
        <v/>
      </c>
      <c r="C80" s="30" t="str">
        <f>IF(B80&gt;$B$3,"",'Index Returns'!C65*'SAA with CME'!D$17)</f>
        <v/>
      </c>
      <c r="D80" s="30" t="str">
        <f>IF(C80&gt;$B$3,"",'Index Returns'!D65*'SAA with CME'!E$17)</f>
        <v/>
      </c>
      <c r="E80" s="30" t="str">
        <f>IF(D80&gt;$B$3,"",'Index Returns'!E65*'SAA with CME'!F$17)</f>
        <v/>
      </c>
      <c r="F80" s="30" t="str">
        <f>IF(E80&gt;$B$3,"",'Index Returns'!F65*'SAA with CME'!G$17)</f>
        <v/>
      </c>
      <c r="G80" s="30" t="str">
        <f>IF(F80&gt;$B$3,"",'Index Returns'!G65*'SAA with CME'!H$17)</f>
        <v/>
      </c>
      <c r="H80" s="30" t="str">
        <f t="shared" si="2"/>
        <v/>
      </c>
      <c r="I80" s="35" t="str">
        <f t="shared" si="3"/>
        <v/>
      </c>
    </row>
    <row r="81" spans="1:9" ht="18" x14ac:dyDescent="0.35">
      <c r="A81" s="47">
        <v>45077</v>
      </c>
      <c r="B81" s="30" t="str">
        <f>IF(A81&gt;$B$3,"",'Index Returns'!B66*'SAA with CME'!C$17)</f>
        <v/>
      </c>
      <c r="C81" s="30" t="str">
        <f>IF(B81&gt;$B$3,"",'Index Returns'!C66*'SAA with CME'!D$17)</f>
        <v/>
      </c>
      <c r="D81" s="30" t="str">
        <f>IF(C81&gt;$B$3,"",'Index Returns'!D66*'SAA with CME'!E$17)</f>
        <v/>
      </c>
      <c r="E81" s="30" t="str">
        <f>IF(D81&gt;$B$3,"",'Index Returns'!E66*'SAA with CME'!F$17)</f>
        <v/>
      </c>
      <c r="F81" s="30" t="str">
        <f>IF(E81&gt;$B$3,"",'Index Returns'!F66*'SAA with CME'!G$17)</f>
        <v/>
      </c>
      <c r="G81" s="30" t="str">
        <f>IF(F81&gt;$B$3,"",'Index Returns'!G66*'SAA with CME'!H$17)</f>
        <v/>
      </c>
      <c r="H81" s="30" t="str">
        <f t="shared" si="2"/>
        <v/>
      </c>
      <c r="I81" s="35" t="str">
        <f t="shared" si="3"/>
        <v/>
      </c>
    </row>
    <row r="82" spans="1:9" ht="18" x14ac:dyDescent="0.35">
      <c r="A82" s="47">
        <v>45107</v>
      </c>
      <c r="B82" s="30" t="str">
        <f>IF(A82&gt;$B$3,"",'Index Returns'!B67*'SAA with CME'!C$17)</f>
        <v/>
      </c>
      <c r="C82" s="30" t="str">
        <f>IF(B82&gt;$B$3,"",'Index Returns'!C67*'SAA with CME'!D$17)</f>
        <v/>
      </c>
      <c r="D82" s="30" t="str">
        <f>IF(C82&gt;$B$3,"",'Index Returns'!D67*'SAA with CME'!E$17)</f>
        <v/>
      </c>
      <c r="E82" s="30" t="str">
        <f>IF(D82&gt;$B$3,"",'Index Returns'!E67*'SAA with CME'!F$17)</f>
        <v/>
      </c>
      <c r="F82" s="30" t="str">
        <f>IF(E82&gt;$B$3,"",'Index Returns'!F67*'SAA with CME'!G$17)</f>
        <v/>
      </c>
      <c r="G82" s="30" t="str">
        <f>IF(F82&gt;$B$3,"",'Index Returns'!G67*'SAA with CME'!H$17)</f>
        <v/>
      </c>
      <c r="H82" s="30" t="str">
        <f t="shared" si="2"/>
        <v/>
      </c>
      <c r="I82" s="35" t="str">
        <f t="shared" si="3"/>
        <v/>
      </c>
    </row>
    <row r="83" spans="1:9" ht="18" x14ac:dyDescent="0.35">
      <c r="A83" s="47">
        <v>45138</v>
      </c>
      <c r="B83" s="30" t="str">
        <f>IF(A83&gt;$B$3,"",'Index Returns'!B68*'SAA with CME'!C$17)</f>
        <v/>
      </c>
      <c r="C83" s="30" t="str">
        <f>IF(B83&gt;$B$3,"",'Index Returns'!C68*'SAA with CME'!D$17)</f>
        <v/>
      </c>
      <c r="D83" s="30" t="str">
        <f>IF(C83&gt;$B$3,"",'Index Returns'!D68*'SAA with CME'!E$17)</f>
        <v/>
      </c>
      <c r="E83" s="30" t="str">
        <f>IF(D83&gt;$B$3,"",'Index Returns'!E68*'SAA with CME'!F$17)</f>
        <v/>
      </c>
      <c r="F83" s="30" t="str">
        <f>IF(E83&gt;$B$3,"",'Index Returns'!F68*'SAA with CME'!G$17)</f>
        <v/>
      </c>
      <c r="G83" s="30" t="str">
        <f>IF(F83&gt;$B$3,"",'Index Returns'!G68*'SAA with CME'!H$17)</f>
        <v/>
      </c>
      <c r="H83" s="30" t="str">
        <f t="shared" si="2"/>
        <v/>
      </c>
      <c r="I83" s="35" t="str">
        <f t="shared" si="3"/>
        <v/>
      </c>
    </row>
    <row r="84" spans="1:9" ht="18" x14ac:dyDescent="0.35">
      <c r="A84" s="47">
        <v>45169</v>
      </c>
      <c r="B84" s="30" t="str">
        <f>IF(A84&gt;$B$3,"",'Index Returns'!B69*'SAA with CME'!C$17)</f>
        <v/>
      </c>
      <c r="C84" s="30" t="str">
        <f>IF(B84&gt;$B$3,"",'Index Returns'!C69*'SAA with CME'!D$17)</f>
        <v/>
      </c>
      <c r="D84" s="30" t="str">
        <f>IF(C84&gt;$B$3,"",'Index Returns'!D69*'SAA with CME'!E$17)</f>
        <v/>
      </c>
      <c r="E84" s="30" t="str">
        <f>IF(D84&gt;$B$3,"",'Index Returns'!E69*'SAA with CME'!F$17)</f>
        <v/>
      </c>
      <c r="F84" s="30" t="str">
        <f>IF(E84&gt;$B$3,"",'Index Returns'!F69*'SAA with CME'!G$17)</f>
        <v/>
      </c>
      <c r="G84" s="30" t="str">
        <f>IF(F84&gt;$B$3,"",'Index Returns'!G69*'SAA with CME'!H$17)</f>
        <v/>
      </c>
      <c r="H84" s="30" t="str">
        <f t="shared" si="2"/>
        <v/>
      </c>
      <c r="I84" s="35" t="str">
        <f t="shared" si="3"/>
        <v/>
      </c>
    </row>
    <row r="85" spans="1:9" ht="18" x14ac:dyDescent="0.35">
      <c r="A85" s="47">
        <v>45198</v>
      </c>
      <c r="B85" s="30" t="str">
        <f>IF(A85&gt;$B$3,"",'Index Returns'!B70*'SAA with CME'!C$17)</f>
        <v/>
      </c>
      <c r="C85" s="30" t="str">
        <f>IF(B85&gt;$B$3,"",'Index Returns'!C70*'SAA with CME'!D$17)</f>
        <v/>
      </c>
      <c r="D85" s="30" t="str">
        <f>IF(C85&gt;$B$3,"",'Index Returns'!D70*'SAA with CME'!E$17)</f>
        <v/>
      </c>
      <c r="E85" s="30" t="str">
        <f>IF(D85&gt;$B$3,"",'Index Returns'!E70*'SAA with CME'!F$17)</f>
        <v/>
      </c>
      <c r="F85" s="30" t="str">
        <f>IF(E85&gt;$B$3,"",'Index Returns'!F70*'SAA with CME'!G$17)</f>
        <v/>
      </c>
      <c r="G85" s="30" t="str">
        <f>IF(F85&gt;$B$3,"",'Index Returns'!G70*'SAA with CME'!H$17)</f>
        <v/>
      </c>
      <c r="H85" s="30" t="str">
        <f t="shared" si="2"/>
        <v/>
      </c>
      <c r="I85" s="35" t="str">
        <f t="shared" si="3"/>
        <v/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E31D-C429-48A0-BE45-6B296A3D292A}">
  <sheetPr>
    <tabColor rgb="FF06005A"/>
  </sheetPr>
  <dimension ref="A1:T32"/>
  <sheetViews>
    <sheetView zoomScaleNormal="100" workbookViewId="0"/>
  </sheetViews>
  <sheetFormatPr defaultColWidth="8.7265625" defaultRowHeight="17.5" x14ac:dyDescent="0.35"/>
  <cols>
    <col min="1" max="1" width="38.81640625" style="2" bestFit="1" customWidth="1"/>
    <col min="2" max="2" width="24" style="2" bestFit="1" customWidth="1"/>
    <col min="3" max="3" width="19.81640625" style="2" bestFit="1" customWidth="1"/>
    <col min="4" max="4" width="15" style="2" bestFit="1" customWidth="1"/>
    <col min="5" max="5" width="14.7265625" style="2" bestFit="1" customWidth="1"/>
    <col min="6" max="6" width="14.81640625" style="2" bestFit="1" customWidth="1"/>
    <col min="7" max="7" width="24.26953125" style="2" bestFit="1" customWidth="1"/>
    <col min="8" max="8" width="20.81640625" style="2" bestFit="1" customWidth="1"/>
    <col min="9" max="9" width="14.1796875" style="2" bestFit="1" customWidth="1"/>
    <col min="10" max="10" width="59" style="2" bestFit="1" customWidth="1"/>
    <col min="11" max="11" width="7" style="2" bestFit="1" customWidth="1"/>
    <col min="12" max="12" width="12.54296875" style="2" bestFit="1" customWidth="1"/>
    <col min="13" max="14" width="9.7265625" style="2" bestFit="1" customWidth="1"/>
    <col min="15" max="15" width="14.81640625" style="2" bestFit="1" customWidth="1"/>
    <col min="16" max="16" width="9.7265625" style="2" bestFit="1" customWidth="1"/>
    <col min="17" max="17" width="9.81640625" style="2" bestFit="1" customWidth="1"/>
    <col min="18" max="18" width="22.54296875" style="2" customWidth="1"/>
    <col min="19" max="16384" width="8.7265625" style="2"/>
  </cols>
  <sheetData>
    <row r="1" spans="1:12" ht="18" x14ac:dyDescent="0.35">
      <c r="A1" s="1" t="s">
        <v>29</v>
      </c>
      <c r="B1" s="1"/>
      <c r="C1" s="1"/>
      <c r="D1" s="1"/>
      <c r="E1" s="1"/>
    </row>
    <row r="2" spans="1:12" x14ac:dyDescent="0.35">
      <c r="C2" s="26" t="s">
        <v>30</v>
      </c>
    </row>
    <row r="3" spans="1:12" x14ac:dyDescent="0.35">
      <c r="A3" s="2" t="s">
        <v>31</v>
      </c>
      <c r="B3" s="48">
        <v>43371</v>
      </c>
      <c r="C3" s="2">
        <f>MATCH(B3,'Index Returns'!A:A,1)</f>
        <v>10</v>
      </c>
    </row>
    <row r="4" spans="1:12" x14ac:dyDescent="0.35">
      <c r="A4" s="2" t="s">
        <v>32</v>
      </c>
      <c r="B4" s="48">
        <v>43465</v>
      </c>
      <c r="C4" s="2">
        <f>MATCH(B4,'Index Returns'!A:A,1)</f>
        <v>13</v>
      </c>
    </row>
    <row r="6" spans="1:12" ht="18" x14ac:dyDescent="0.4">
      <c r="C6" s="6" t="s">
        <v>2</v>
      </c>
      <c r="D6" s="6" t="s">
        <v>3</v>
      </c>
      <c r="E6" s="6" t="s">
        <v>4</v>
      </c>
      <c r="F6" s="6" t="s">
        <v>5</v>
      </c>
      <c r="G6" s="6" t="s">
        <v>6</v>
      </c>
      <c r="H6" s="6" t="s">
        <v>7</v>
      </c>
    </row>
    <row r="7" spans="1:12" ht="18" x14ac:dyDescent="0.4">
      <c r="B7" s="36" t="s">
        <v>1</v>
      </c>
      <c r="C7" s="9">
        <f>MATCH(C6,'Index Returns'!$B$1:$G$1,0)</f>
        <v>1</v>
      </c>
      <c r="D7" s="9">
        <f>MATCH(D6,'Index Returns'!$B$1:$G$1,0)</f>
        <v>2</v>
      </c>
      <c r="E7" s="9">
        <f>MATCH(E6,'Index Returns'!$B$1:$G$1,0)</f>
        <v>3</v>
      </c>
      <c r="F7" s="9">
        <f>MATCH(F6,'Index Returns'!$B$1:$G$1,0)</f>
        <v>4</v>
      </c>
      <c r="G7" s="9">
        <f>MATCH(G6,'Index Returns'!$B$1:$G$1,0)</f>
        <v>5</v>
      </c>
      <c r="H7" s="9">
        <f>MATCH(H6,'Index Returns'!$B$1:$G$1,0)</f>
        <v>6</v>
      </c>
    </row>
    <row r="8" spans="1:12" ht="18" x14ac:dyDescent="0.4">
      <c r="A8" s="37" t="s">
        <v>2</v>
      </c>
      <c r="B8" s="9">
        <f>MATCH(A8,'Index Returns'!$B$1:$G$1,0)</f>
        <v>1</v>
      </c>
      <c r="C8" s="7">
        <f ca="1">CORREL(OFFSET(INDIRECT("'Index Returns'!$A$"&amp;TAA!$C$3&amp;":$A$"&amp;TAA!$C$4),0,TAA!C$7),OFFSET(INDIRECT("'Index Returns'!$A$"&amp;TAA!$C$3&amp;":$A$"&amp;TAA!$C$4),0,TAA!$B8))</f>
        <v>0.99999999999999989</v>
      </c>
      <c r="D8" s="7">
        <f ca="1">CORREL(OFFSET(INDIRECT("'Index Returns'!$A$"&amp;TAA!$C$3&amp;":$A$"&amp;TAA!$C$4),0,TAA!D$7),OFFSET(INDIRECT("'Index Returns'!$A$"&amp;TAA!$C$3&amp;":$A$"&amp;TAA!$C$4),0,TAA!$B8))</f>
        <v>0.98521619576052144</v>
      </c>
      <c r="E8" s="7">
        <f ca="1">CORREL(OFFSET(INDIRECT("'Index Returns'!$A$"&amp;TAA!$C$3&amp;":$A$"&amp;TAA!$C$4),0,TAA!E$7),OFFSET(INDIRECT("'Index Returns'!$A$"&amp;TAA!$C$3&amp;":$A$"&amp;TAA!$C$4),0,TAA!$B8))</f>
        <v>0.98669661053457336</v>
      </c>
      <c r="F8" s="7">
        <f ca="1">CORREL(OFFSET(INDIRECT("'Index Returns'!$A$"&amp;TAA!$C$3&amp;":$A$"&amp;TAA!$C$4),0,TAA!F$7),OFFSET(INDIRECT("'Index Returns'!$A$"&amp;TAA!$C$3&amp;":$A$"&amp;TAA!$C$4),0,TAA!$B8))</f>
        <v>0.51489359135850465</v>
      </c>
      <c r="G8" s="7">
        <f ca="1">CORREL(OFFSET(INDIRECT("'Index Returns'!$A$"&amp;TAA!$C$3&amp;":$A$"&amp;TAA!$C$4),0,TAA!G$7),OFFSET(INDIRECT("'Index Returns'!$A$"&amp;TAA!$C$3&amp;":$A$"&amp;TAA!$C$4),0,TAA!$B8))</f>
        <v>-0.33301792603513902</v>
      </c>
      <c r="H8" s="7">
        <f ca="1">CORREL(OFFSET(INDIRECT("'Index Returns'!$A$"&amp;TAA!$C$3&amp;":$A$"&amp;TAA!$C$4),0,TAA!H$7),OFFSET(INDIRECT("'Index Returns'!$A$"&amp;TAA!$C$3&amp;":$A$"&amp;TAA!$C$4),0,TAA!$B8))</f>
        <v>0.47813672061002477</v>
      </c>
    </row>
    <row r="9" spans="1:12" ht="18" x14ac:dyDescent="0.4">
      <c r="A9" s="37" t="s">
        <v>3</v>
      </c>
      <c r="B9" s="9">
        <f>MATCH(A9,'Index Returns'!$B$1:$G$1,0)</f>
        <v>2</v>
      </c>
      <c r="C9" s="7">
        <f ca="1">CORREL(OFFSET(INDIRECT("'Index Returns'!$A$"&amp;TAA!$C$3&amp;":$A$"&amp;TAA!$C$4),0,TAA!C$7),OFFSET(INDIRECT("'Index Returns'!$A$"&amp;TAA!$C$3&amp;":$A$"&amp;TAA!$C$4),0,TAA!$B9))</f>
        <v>0.98521619576052144</v>
      </c>
      <c r="D9" s="7">
        <f ca="1">CORREL(OFFSET(INDIRECT("'Index Returns'!$A$"&amp;TAA!$C$3&amp;":$A$"&amp;TAA!$C$4),0,TAA!D$7),OFFSET(INDIRECT("'Index Returns'!$A$"&amp;TAA!$C$3&amp;":$A$"&amp;TAA!$C$4),0,TAA!$B9))</f>
        <v>1.0000000000000002</v>
      </c>
      <c r="E9" s="7">
        <f ca="1">CORREL(OFFSET(INDIRECT("'Index Returns'!$A$"&amp;TAA!$C$3&amp;":$A$"&amp;TAA!$C$4),0,TAA!E$7),OFFSET(INDIRECT("'Index Returns'!$A$"&amp;TAA!$C$3&amp;":$A$"&amp;TAA!$C$4),0,TAA!$B9))</f>
        <v>0.99996064926747075</v>
      </c>
      <c r="F9" s="7">
        <f ca="1">CORREL(OFFSET(INDIRECT("'Index Returns'!$A$"&amp;TAA!$C$3&amp;":$A$"&amp;TAA!$C$4),0,TAA!F$7),OFFSET(INDIRECT("'Index Returns'!$A$"&amp;TAA!$C$3&amp;":$A$"&amp;TAA!$C$4),0,TAA!$B9))</f>
        <v>0.38657729289039444</v>
      </c>
      <c r="G9" s="7">
        <f ca="1">CORREL(OFFSET(INDIRECT("'Index Returns'!$A$"&amp;TAA!$C$3&amp;":$A$"&amp;TAA!$C$4),0,TAA!G$7),OFFSET(INDIRECT("'Index Returns'!$A$"&amp;TAA!$C$3&amp;":$A$"&amp;TAA!$C$4),0,TAA!$B9))</f>
        <v>-0.24927020714576351</v>
      </c>
      <c r="H9" s="7">
        <f ca="1">CORREL(OFFSET(INDIRECT("'Index Returns'!$A$"&amp;TAA!$C$3&amp;":$A$"&amp;TAA!$C$4),0,TAA!H$7),OFFSET(INDIRECT("'Index Returns'!$A$"&amp;TAA!$C$3&amp;":$A$"&amp;TAA!$C$4),0,TAA!$B9))</f>
        <v>0.60896440744433189</v>
      </c>
    </row>
    <row r="10" spans="1:12" ht="18" x14ac:dyDescent="0.4">
      <c r="A10" s="37" t="s">
        <v>4</v>
      </c>
      <c r="B10" s="9">
        <f>MATCH(A10,'Index Returns'!$B$1:$G$1,0)</f>
        <v>3</v>
      </c>
      <c r="C10" s="7">
        <f ca="1">CORREL(OFFSET(INDIRECT("'Index Returns'!$A$"&amp;TAA!$C$3&amp;":$A$"&amp;TAA!$C$4),0,TAA!C$7),OFFSET(INDIRECT("'Index Returns'!$A$"&amp;TAA!$C$3&amp;":$A$"&amp;TAA!$C$4),0,TAA!$B10))</f>
        <v>0.98669661053457336</v>
      </c>
      <c r="D10" s="7">
        <f ca="1">CORREL(OFFSET(INDIRECT("'Index Returns'!$A$"&amp;TAA!$C$3&amp;":$A$"&amp;TAA!$C$4),0,TAA!D$7),OFFSET(INDIRECT("'Index Returns'!$A$"&amp;TAA!$C$3&amp;":$A$"&amp;TAA!$C$4),0,TAA!$B10))</f>
        <v>0.99996064926747075</v>
      </c>
      <c r="E10" s="7">
        <f ca="1">CORREL(OFFSET(INDIRECT("'Index Returns'!$A$"&amp;TAA!$C$3&amp;":$A$"&amp;TAA!$C$4),0,TAA!E$7),OFFSET(INDIRECT("'Index Returns'!$A$"&amp;TAA!$C$3&amp;":$A$"&amp;TAA!$C$4),0,TAA!$B10))</f>
        <v>0.99999999999999989</v>
      </c>
      <c r="F10" s="7">
        <f ca="1">CORREL(OFFSET(INDIRECT("'Index Returns'!$A$"&amp;TAA!$C$3&amp;":$A$"&amp;TAA!$C$4),0,TAA!F$7),OFFSET(INDIRECT("'Index Returns'!$A$"&amp;TAA!$C$3&amp;":$A$"&amp;TAA!$C$4),0,TAA!$B10))</f>
        <v>0.39337735008408725</v>
      </c>
      <c r="G10" s="7">
        <f ca="1">CORREL(OFFSET(INDIRECT("'Index Returns'!$A$"&amp;TAA!$C$3&amp;":$A$"&amp;TAA!$C$4),0,TAA!G$7),OFFSET(INDIRECT("'Index Returns'!$A$"&amp;TAA!$C$3&amp;":$A$"&amp;TAA!$C$4),0,TAA!$B10))</f>
        <v>-0.25357960936018459</v>
      </c>
      <c r="H10" s="7">
        <f ca="1">CORREL(OFFSET(INDIRECT("'Index Returns'!$A$"&amp;TAA!$C$3&amp;":$A$"&amp;TAA!$C$4),0,TAA!H$7),OFFSET(INDIRECT("'Index Returns'!$A$"&amp;TAA!$C$3&amp;":$A$"&amp;TAA!$C$4),0,TAA!$B10))</f>
        <v>0.60254628480239369</v>
      </c>
    </row>
    <row r="11" spans="1:12" ht="18" x14ac:dyDescent="0.4">
      <c r="A11" s="37" t="s">
        <v>5</v>
      </c>
      <c r="B11" s="9">
        <f>MATCH(A11,'Index Returns'!$B$1:$G$1,0)</f>
        <v>4</v>
      </c>
      <c r="C11" s="7">
        <f ca="1">CORREL(OFFSET(INDIRECT("'Index Returns'!$A$"&amp;TAA!$C$3&amp;":$A$"&amp;TAA!$C$4),0,TAA!C$7),OFFSET(INDIRECT("'Index Returns'!$A$"&amp;TAA!$C$3&amp;":$A$"&amp;TAA!$C$4),0,TAA!$B11))</f>
        <v>0.51489359135850465</v>
      </c>
      <c r="D11" s="7">
        <f ca="1">CORREL(OFFSET(INDIRECT("'Index Returns'!$A$"&amp;TAA!$C$3&amp;":$A$"&amp;TAA!$C$4),0,TAA!D$7),OFFSET(INDIRECT("'Index Returns'!$A$"&amp;TAA!$C$3&amp;":$A$"&amp;TAA!$C$4),0,TAA!$B11))</f>
        <v>0.38657729289039444</v>
      </c>
      <c r="E11" s="7">
        <f ca="1">CORREL(OFFSET(INDIRECT("'Index Returns'!$A$"&amp;TAA!$C$3&amp;":$A$"&amp;TAA!$C$4),0,TAA!E$7),OFFSET(INDIRECT("'Index Returns'!$A$"&amp;TAA!$C$3&amp;":$A$"&amp;TAA!$C$4),0,TAA!$B11))</f>
        <v>0.39337735008408725</v>
      </c>
      <c r="F11" s="7">
        <f ca="1">CORREL(OFFSET(INDIRECT("'Index Returns'!$A$"&amp;TAA!$C$3&amp;":$A$"&amp;TAA!$C$4),0,TAA!F$7),OFFSET(INDIRECT("'Index Returns'!$A$"&amp;TAA!$C$3&amp;":$A$"&amp;TAA!$C$4),0,TAA!$B11))</f>
        <v>0.99999999999999989</v>
      </c>
      <c r="G11" s="7">
        <f ca="1">CORREL(OFFSET(INDIRECT("'Index Returns'!$A$"&amp;TAA!$C$3&amp;":$A$"&amp;TAA!$C$4),0,TAA!G$7),OFFSET(INDIRECT("'Index Returns'!$A$"&amp;TAA!$C$3&amp;":$A$"&amp;TAA!$C$4),0,TAA!$B11))</f>
        <v>-0.89756363449878529</v>
      </c>
      <c r="H11" s="7">
        <f ca="1">CORREL(OFFSET(INDIRECT("'Index Returns'!$A$"&amp;TAA!$C$3&amp;":$A$"&amp;TAA!$C$4),0,TAA!H$7),OFFSET(INDIRECT("'Index Returns'!$A$"&amp;TAA!$C$3&amp;":$A$"&amp;TAA!$C$4),0,TAA!$B11))</f>
        <v>-0.14934220060920478</v>
      </c>
    </row>
    <row r="12" spans="1:12" ht="18" x14ac:dyDescent="0.4">
      <c r="A12" s="37" t="s">
        <v>6</v>
      </c>
      <c r="B12" s="9">
        <f>MATCH(A12,'Index Returns'!$B$1:$G$1,0)</f>
        <v>5</v>
      </c>
      <c r="C12" s="7">
        <f ca="1">CORREL(OFFSET(INDIRECT("'Index Returns'!$A$"&amp;TAA!$C$3&amp;":$A$"&amp;TAA!$C$4),0,TAA!C$7),OFFSET(INDIRECT("'Index Returns'!$A$"&amp;TAA!$C$3&amp;":$A$"&amp;TAA!$C$4),0,TAA!$B12))</f>
        <v>-0.33301792603513902</v>
      </c>
      <c r="D12" s="7">
        <f ca="1">CORREL(OFFSET(INDIRECT("'Index Returns'!$A$"&amp;TAA!$C$3&amp;":$A$"&amp;TAA!$C$4),0,TAA!D$7),OFFSET(INDIRECT("'Index Returns'!$A$"&amp;TAA!$C$3&amp;":$A$"&amp;TAA!$C$4),0,TAA!$B12))</f>
        <v>-0.24927020714576351</v>
      </c>
      <c r="E12" s="7">
        <f ca="1">CORREL(OFFSET(INDIRECT("'Index Returns'!$A$"&amp;TAA!$C$3&amp;":$A$"&amp;TAA!$C$4),0,TAA!E$7),OFFSET(INDIRECT("'Index Returns'!$A$"&amp;TAA!$C$3&amp;":$A$"&amp;TAA!$C$4),0,TAA!$B12))</f>
        <v>-0.25357960936018459</v>
      </c>
      <c r="F12" s="7">
        <f ca="1">CORREL(OFFSET(INDIRECT("'Index Returns'!$A$"&amp;TAA!$C$3&amp;":$A$"&amp;TAA!$C$4),0,TAA!F$7),OFFSET(INDIRECT("'Index Returns'!$A$"&amp;TAA!$C$3&amp;":$A$"&amp;TAA!$C$4),0,TAA!$B12))</f>
        <v>-0.89756363449878529</v>
      </c>
      <c r="G12" s="7">
        <f ca="1">CORREL(OFFSET(INDIRECT("'Index Returns'!$A$"&amp;TAA!$C$3&amp;":$A$"&amp;TAA!$C$4),0,TAA!G$7),OFFSET(INDIRECT("'Index Returns'!$A$"&amp;TAA!$C$3&amp;":$A$"&amp;TAA!$C$4),0,TAA!$B12))</f>
        <v>0.99999999999999989</v>
      </c>
      <c r="H12" s="7">
        <f ca="1">CORREL(OFFSET(INDIRECT("'Index Returns'!$A$"&amp;TAA!$C$3&amp;":$A$"&amp;TAA!$C$4),0,TAA!H$7),OFFSET(INDIRECT("'Index Returns'!$A$"&amp;TAA!$C$3&amp;":$A$"&amp;TAA!$C$4),0,TAA!$B12))</f>
        <v>-7.8085723864313561E-2</v>
      </c>
    </row>
    <row r="13" spans="1:12" ht="18" x14ac:dyDescent="0.4">
      <c r="A13" s="37" t="s">
        <v>7</v>
      </c>
      <c r="B13" s="9">
        <f>MATCH(A13,'Index Returns'!$B$1:$G$1,0)</f>
        <v>6</v>
      </c>
      <c r="C13" s="7">
        <f ca="1">CORREL(OFFSET(INDIRECT("'Index Returns'!$A$"&amp;TAA!$C$3&amp;":$A$"&amp;TAA!$C$4),0,TAA!C$7),OFFSET(INDIRECT("'Index Returns'!$A$"&amp;TAA!$C$3&amp;":$A$"&amp;TAA!$C$4),0,TAA!$B13))</f>
        <v>0.47813672061002477</v>
      </c>
      <c r="D13" s="7">
        <f ca="1">CORREL(OFFSET(INDIRECT("'Index Returns'!$A$"&amp;TAA!$C$3&amp;":$A$"&amp;TAA!$C$4),0,TAA!D$7),OFFSET(INDIRECT("'Index Returns'!$A$"&amp;TAA!$C$3&amp;":$A$"&amp;TAA!$C$4),0,TAA!$B13))</f>
        <v>0.60896440744433189</v>
      </c>
      <c r="E13" s="7">
        <f ca="1">CORREL(OFFSET(INDIRECT("'Index Returns'!$A$"&amp;TAA!$C$3&amp;":$A$"&amp;TAA!$C$4),0,TAA!E$7),OFFSET(INDIRECT("'Index Returns'!$A$"&amp;TAA!$C$3&amp;":$A$"&amp;TAA!$C$4),0,TAA!$B13))</f>
        <v>0.60254628480239369</v>
      </c>
      <c r="F13" s="7">
        <f ca="1">CORREL(OFFSET(INDIRECT("'Index Returns'!$A$"&amp;TAA!$C$3&amp;":$A$"&amp;TAA!$C$4),0,TAA!F$7),OFFSET(INDIRECT("'Index Returns'!$A$"&amp;TAA!$C$3&amp;":$A$"&amp;TAA!$C$4),0,TAA!$B13))</f>
        <v>-0.14934220060920478</v>
      </c>
      <c r="G13" s="7">
        <f ca="1">CORREL(OFFSET(INDIRECT("'Index Returns'!$A$"&amp;TAA!$C$3&amp;":$A$"&amp;TAA!$C$4),0,TAA!G$7),OFFSET(INDIRECT("'Index Returns'!$A$"&amp;TAA!$C$3&amp;":$A$"&amp;TAA!$C$4),0,TAA!$B13))</f>
        <v>-7.8085723864313561E-2</v>
      </c>
      <c r="H13" s="7">
        <f ca="1">CORREL(OFFSET(INDIRECT("'Index Returns'!$A$"&amp;TAA!$C$3&amp;":$A$"&amp;TAA!$C$4),0,TAA!H$7),OFFSET(INDIRECT("'Index Returns'!$A$"&amp;TAA!$C$3&amp;":$A$"&amp;TAA!$C$4),0,TAA!$B13))</f>
        <v>1</v>
      </c>
    </row>
    <row r="15" spans="1:12" ht="18" x14ac:dyDescent="0.4">
      <c r="B15" s="8" t="s">
        <v>8</v>
      </c>
      <c r="C15" s="10">
        <f>(1+AVERAGEIFS('Index Returns'!B2:B70,'Index Returns'!$A$2:$A$70,"&gt;="&amp;$B$3,'Index Returns'!$A$2:$A$70,"&lt;="&amp;$B$4))^12-1</f>
        <v>-0.28199268282483503</v>
      </c>
      <c r="D15" s="10">
        <f>(1+AVERAGEIFS('Index Returns'!C2:C70,'Index Returns'!$A$2:$A$70,"&gt;="&amp;$B$3,'Index Returns'!$A$2:$A$70,"&lt;="&amp;$B$4))^12-1</f>
        <v>-0.3199865549050529</v>
      </c>
      <c r="E15" s="10">
        <f>(1+AVERAGEIFS('Index Returns'!D2:D70,'Index Returns'!$A$2:$A$70,"&gt;="&amp;$B$3,'Index Returns'!$A$2:$A$70,"&lt;="&amp;$B$4))^12-1</f>
        <v>-0.31965408493616443</v>
      </c>
      <c r="F15" s="10">
        <f>(1+AVERAGEIFS('Index Returns'!E2:E70,'Index Returns'!$A$2:$A$70,"&gt;="&amp;$B$3,'Index Returns'!$A$2:$A$70,"&lt;="&amp;$B$4))^12-1</f>
        <v>-3.8916196711131334E-2</v>
      </c>
      <c r="G15" s="10">
        <f>(1+AVERAGEIFS('Index Returns'!F2:F70,'Index Returns'!$A$2:$A$70,"&gt;="&amp;$B$3,'Index Returns'!$A$2:$A$70,"&lt;="&amp;$B$4))^12-1</f>
        <v>-2.3843289202896023E-2</v>
      </c>
      <c r="H15" s="10">
        <f>(1+AVERAGEIFS('Index Returns'!G2:G70,'Index Returns'!$A$2:$A$70,"&gt;="&amp;$B$3,'Index Returns'!$A$2:$A$70,"&lt;="&amp;$B$4))^12-1</f>
        <v>-0.11756669547459342</v>
      </c>
      <c r="I15" s="8"/>
      <c r="J15" s="11"/>
      <c r="K15" s="11"/>
      <c r="L15" s="11"/>
    </row>
    <row r="16" spans="1:12" ht="18" x14ac:dyDescent="0.4">
      <c r="B16" s="8" t="s">
        <v>9</v>
      </c>
      <c r="C16" s="10" cm="1">
        <f t="array" ref="C16">_xlfn.STDEV.S(IF(('Index Returns'!$A$2:$A$70&gt;=$B$3)*('Index Returns'!$A$2:$A70&lt;=$B$4),'Index Returns'!B2:B70))*SQRT(12)</f>
        <v>0.10588499971721183</v>
      </c>
      <c r="D16" s="10" cm="1">
        <f t="array" ref="D16">_xlfn.STDEV.S(IF(('Index Returns'!$A$2:$A$70&gt;=$B$3)*('Index Returns'!$A$2:$A70&lt;=$B$4),'Index Returns'!C2:C70))*SQRT(12)</f>
        <v>7.6963170915767307E-2</v>
      </c>
      <c r="E16" s="10" cm="1">
        <f t="array" ref="E16">_xlfn.STDEV.S(IF(('Index Returns'!$A$2:$A$70&gt;=$B$3)*('Index Returns'!$A$2:$A70&lt;=$B$4),'Index Returns'!D2:D70))*SQRT(12)</f>
        <v>7.6552924235716621E-2</v>
      </c>
      <c r="F16" s="10" cm="1">
        <f t="array" ref="F16">_xlfn.STDEV.S(IF(('Index Returns'!$A$2:$A$70&gt;=$B$3)*('Index Returns'!$A$2:$A70&lt;=$B$4),'Index Returns'!E2:E70))*SQRT(12)</f>
        <v>0.22244967964573931</v>
      </c>
      <c r="G16" s="10" cm="1">
        <f t="array" ref="G16">_xlfn.STDEV.S(IF(('Index Returns'!$A$2:$A$70&gt;=$B$3)*('Index Returns'!$A$2:$A70&lt;=$B$4),'Index Returns'!F2:F70))*SQRT(12)</f>
        <v>2.5844867211205279E-2</v>
      </c>
      <c r="H16" s="10" cm="1">
        <f t="array" ref="H16">_xlfn.STDEV.S(IF(('Index Returns'!$A$2:$A$70&gt;=$B$3)*('Index Returns'!$A$2:$A70&lt;=$B$4),'Index Returns'!G2:G70))*SQRT(12)</f>
        <v>8.3565663679805627E-2</v>
      </c>
      <c r="I16" s="8"/>
      <c r="J16" s="11"/>
      <c r="K16" s="11"/>
      <c r="L16" s="11"/>
    </row>
    <row r="17" spans="1:20" x14ac:dyDescent="0.35">
      <c r="B17" s="10"/>
      <c r="C17" s="10"/>
      <c r="D17" s="10"/>
    </row>
    <row r="18" spans="1:20" ht="18" x14ac:dyDescent="0.4">
      <c r="B18" s="10"/>
      <c r="C18" s="38" t="s">
        <v>33</v>
      </c>
      <c r="D18" s="38"/>
      <c r="E18" s="39"/>
      <c r="F18" s="39"/>
      <c r="G18" s="39"/>
      <c r="H18" s="39"/>
    </row>
    <row r="19" spans="1:20" ht="18" x14ac:dyDescent="0.4">
      <c r="B19" s="13"/>
      <c r="C19" s="14" t="str">
        <f>C6</f>
        <v>US Large Cap</v>
      </c>
      <c r="D19" s="14" t="str">
        <f t="shared" ref="D19:H19" si="0">D6</f>
        <v>Dev ex US</v>
      </c>
      <c r="E19" s="14" t="str">
        <f t="shared" si="0"/>
        <v>EM</v>
      </c>
      <c r="F19" s="14" t="str">
        <f t="shared" si="0"/>
        <v>UST</v>
      </c>
      <c r="G19" s="14" t="str">
        <f t="shared" si="0"/>
        <v>US IG Corp Bond</v>
      </c>
      <c r="H19" s="14" t="str">
        <f t="shared" si="0"/>
        <v>REITs</v>
      </c>
    </row>
    <row r="20" spans="1:20" ht="18" x14ac:dyDescent="0.4">
      <c r="B20" s="6" t="s">
        <v>11</v>
      </c>
      <c r="C20" s="15">
        <f>'SAA with CME'!C17</f>
        <v>0.32957596499828701</v>
      </c>
      <c r="D20" s="15">
        <f>'SAA with CME'!D17</f>
        <v>0.1</v>
      </c>
      <c r="E20" s="15">
        <f>'SAA with CME'!E17</f>
        <v>0.17145982881619667</v>
      </c>
      <c r="F20" s="15">
        <f>'SAA with CME'!F17</f>
        <v>0.19896420618551627</v>
      </c>
      <c r="G20" s="15">
        <f>'SAA with CME'!G17</f>
        <v>0.1</v>
      </c>
      <c r="H20" s="15">
        <f>'SAA with CME'!H17</f>
        <v>0.1</v>
      </c>
    </row>
    <row r="21" spans="1:20" x14ac:dyDescent="0.35">
      <c r="B21" s="10"/>
      <c r="C21" s="10"/>
      <c r="D21" s="10"/>
    </row>
    <row r="22" spans="1:20" ht="18" x14ac:dyDescent="0.4">
      <c r="B22" s="10"/>
      <c r="C22" s="38" t="s">
        <v>34</v>
      </c>
      <c r="D22" s="38"/>
      <c r="E22" s="39"/>
      <c r="F22" s="39"/>
      <c r="G22" s="39"/>
      <c r="H22" s="39"/>
      <c r="J22" s="12" t="s">
        <v>10</v>
      </c>
    </row>
    <row r="23" spans="1:20" ht="18" x14ac:dyDescent="0.4">
      <c r="B23" s="13"/>
      <c r="C23" s="14" t="str">
        <f t="shared" ref="C23:H23" si="1">C6</f>
        <v>US Large Cap</v>
      </c>
      <c r="D23" s="14" t="str">
        <f t="shared" si="1"/>
        <v>Dev ex US</v>
      </c>
      <c r="E23" s="14" t="str">
        <f t="shared" si="1"/>
        <v>EM</v>
      </c>
      <c r="F23" s="14" t="str">
        <f t="shared" si="1"/>
        <v>UST</v>
      </c>
      <c r="G23" s="14" t="str">
        <f t="shared" si="1"/>
        <v>US IG Corp Bond</v>
      </c>
      <c r="H23" s="14" t="str">
        <f t="shared" si="1"/>
        <v>REITs</v>
      </c>
    </row>
    <row r="24" spans="1:20" ht="18" x14ac:dyDescent="0.4">
      <c r="B24" s="6" t="s">
        <v>11</v>
      </c>
      <c r="C24" s="15">
        <v>0.12957596499828697</v>
      </c>
      <c r="D24" s="15">
        <v>0.1</v>
      </c>
      <c r="E24" s="15">
        <v>0.1</v>
      </c>
      <c r="F24" s="15">
        <v>0.27042402357179623</v>
      </c>
      <c r="G24" s="15">
        <v>0.3</v>
      </c>
      <c r="H24" s="15">
        <v>0.1</v>
      </c>
      <c r="I24" s="16">
        <f>SUM(C24:H24)</f>
        <v>0.99999998857008332</v>
      </c>
      <c r="J24" s="17" t="s">
        <v>39</v>
      </c>
      <c r="K24" s="83">
        <v>0.1</v>
      </c>
      <c r="L24" s="17" t="s">
        <v>12</v>
      </c>
      <c r="M24" s="11"/>
      <c r="N24" s="11"/>
      <c r="O24" s="11"/>
      <c r="P24" s="11"/>
      <c r="R24" s="11"/>
      <c r="S24" s="11"/>
      <c r="T24" s="11"/>
    </row>
    <row r="25" spans="1:20" ht="18" x14ac:dyDescent="0.4">
      <c r="B25" s="6" t="s">
        <v>8</v>
      </c>
      <c r="C25" s="10">
        <f>C15*C24</f>
        <v>-3.653947399948386E-2</v>
      </c>
      <c r="D25" s="10">
        <f t="shared" ref="D25:H25" si="2">D15*D24</f>
        <v>-3.199865549050529E-2</v>
      </c>
      <c r="E25" s="10">
        <f t="shared" si="2"/>
        <v>-3.1965408493616447E-2</v>
      </c>
      <c r="F25" s="10">
        <f t="shared" si="2"/>
        <v>-1.052387449673564E-2</v>
      </c>
      <c r="G25" s="10">
        <f t="shared" si="2"/>
        <v>-7.1529867608688064E-3</v>
      </c>
      <c r="H25" s="10">
        <f t="shared" si="2"/>
        <v>-1.1756669547459343E-2</v>
      </c>
      <c r="I25" s="18">
        <f>SUM(C25:H25)</f>
        <v>-0.1299370687886694</v>
      </c>
      <c r="J25" s="19" t="s">
        <v>13</v>
      </c>
      <c r="M25" s="11"/>
      <c r="N25" s="11"/>
      <c r="O25" s="11"/>
      <c r="P25" s="11"/>
      <c r="R25" s="11"/>
      <c r="S25" s="11"/>
      <c r="T25" s="11"/>
    </row>
    <row r="26" spans="1:20" x14ac:dyDescent="0.35">
      <c r="H26" s="42" t="s">
        <v>14</v>
      </c>
      <c r="I26" s="43">
        <f t="array" aca="1" ref="I26" ca="1">MMULT(MMULT(C24:H24*$C$16:$H$16,$C$8:$H$13),TRANSPOSE(C24:H24*$C$16:$H$16))</f>
        <v>5.2949175677738554E-3</v>
      </c>
      <c r="M26" s="11"/>
      <c r="N26" s="11"/>
      <c r="O26" s="11"/>
      <c r="P26" s="11"/>
      <c r="R26" s="11"/>
      <c r="S26" s="11"/>
      <c r="T26" s="11"/>
    </row>
    <row r="27" spans="1:20" ht="18" x14ac:dyDescent="0.4">
      <c r="H27" s="44" t="s">
        <v>9</v>
      </c>
      <c r="I27" s="20">
        <f ca="1">SQRT(I26)</f>
        <v>7.2766184232608042E-2</v>
      </c>
      <c r="J27" s="21" t="s">
        <v>15</v>
      </c>
      <c r="K27" s="22">
        <v>0.15</v>
      </c>
      <c r="M27" s="11"/>
      <c r="N27" s="11"/>
      <c r="O27" s="11"/>
      <c r="P27" s="11"/>
      <c r="R27" s="11"/>
      <c r="S27" s="11"/>
      <c r="T27" s="11"/>
    </row>
    <row r="28" spans="1:20" ht="18" x14ac:dyDescent="0.4">
      <c r="H28" s="23" t="s">
        <v>16</v>
      </c>
      <c r="I28" s="24">
        <v>1.6500000000000001E-2</v>
      </c>
      <c r="M28" s="11"/>
      <c r="N28" s="11"/>
      <c r="O28" s="11"/>
      <c r="P28" s="11"/>
      <c r="R28" s="11"/>
      <c r="S28" s="11"/>
      <c r="T28" s="11"/>
    </row>
    <row r="29" spans="1:20" ht="18" x14ac:dyDescent="0.4">
      <c r="H29" s="23" t="s">
        <v>17</v>
      </c>
      <c r="I29" s="25">
        <f ca="1">(I25-I28)/I27</f>
        <v>-2.0124329773918244</v>
      </c>
      <c r="M29" s="11"/>
      <c r="N29" s="11"/>
      <c r="O29" s="11"/>
      <c r="P29" s="11"/>
      <c r="R29" s="11"/>
      <c r="S29" s="11"/>
      <c r="T29" s="11"/>
    </row>
    <row r="30" spans="1:20" ht="18" x14ac:dyDescent="0.4">
      <c r="A30" s="27"/>
      <c r="B30" s="27"/>
      <c r="C30" s="27"/>
      <c r="D30" s="27"/>
      <c r="E30" s="27"/>
      <c r="F30" s="27"/>
      <c r="G30" s="27"/>
      <c r="H30" s="27"/>
      <c r="J30" s="11"/>
      <c r="K30" s="11"/>
      <c r="L30" s="11"/>
      <c r="M30" s="11"/>
      <c r="N30" s="11"/>
      <c r="O30" s="11"/>
      <c r="P30" s="11"/>
      <c r="R30" s="11"/>
      <c r="S30" s="11"/>
      <c r="T30" s="11"/>
    </row>
    <row r="31" spans="1:20" ht="18" x14ac:dyDescent="0.4">
      <c r="A31" s="27"/>
      <c r="B31" s="27" t="s">
        <v>35</v>
      </c>
      <c r="C31" s="40">
        <f t="shared" ref="C31:H31" si="3">C24-C20</f>
        <v>-0.20000000000000004</v>
      </c>
      <c r="D31" s="40">
        <f t="shared" si="3"/>
        <v>0</v>
      </c>
      <c r="E31" s="40">
        <f t="shared" si="3"/>
        <v>-7.1459828816196669E-2</v>
      </c>
      <c r="F31" s="40">
        <f t="shared" si="3"/>
        <v>7.1459817386279961E-2</v>
      </c>
      <c r="G31" s="40">
        <f t="shared" si="3"/>
        <v>0.19999999999999998</v>
      </c>
      <c r="H31" s="40">
        <f t="shared" si="3"/>
        <v>0</v>
      </c>
      <c r="J31" s="11"/>
      <c r="K31" s="11"/>
      <c r="L31" s="11"/>
      <c r="M31" s="11"/>
      <c r="N31" s="11"/>
      <c r="O31" s="11"/>
      <c r="P31" s="11"/>
      <c r="R31" s="11"/>
      <c r="S31" s="11"/>
      <c r="T31" s="11"/>
    </row>
    <row r="32" spans="1:20" ht="18" x14ac:dyDescent="0.4">
      <c r="A32" s="27"/>
      <c r="B32" s="27"/>
      <c r="C32" s="27"/>
      <c r="D32" s="27"/>
      <c r="E32" s="27"/>
      <c r="F32" s="27"/>
      <c r="G32" s="27"/>
      <c r="H32" s="27"/>
      <c r="J32" s="11"/>
      <c r="K32" s="11"/>
      <c r="L32" s="11"/>
      <c r="M32" s="11"/>
      <c r="N32" s="11"/>
      <c r="O32" s="11"/>
      <c r="P32" s="11"/>
      <c r="R32" s="11"/>
      <c r="S32" s="11"/>
      <c r="T32" s="1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DC6C8A3-F02B-4B2F-A380-42F14E782522}">
          <x14:formula1>
            <xm:f>'Index Returns'!$A$2:$A$70</xm:f>
          </x14:formula1>
          <xm:sqref>B3:B4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F1220-565D-4359-B83E-42EC211F71E7}">
  <sheetPr>
    <tabColor rgb="FF06005A"/>
  </sheetPr>
  <dimension ref="A1:P86"/>
  <sheetViews>
    <sheetView zoomScaleNormal="100" workbookViewId="0"/>
  </sheetViews>
  <sheetFormatPr defaultColWidth="8.7265625" defaultRowHeight="17.5" x14ac:dyDescent="0.35"/>
  <cols>
    <col min="1" max="1" width="48.81640625" style="2" customWidth="1"/>
    <col min="2" max="2" width="19.7265625" style="2" bestFit="1" customWidth="1"/>
    <col min="3" max="3" width="14.81640625" style="2" bestFit="1" customWidth="1"/>
    <col min="4" max="4" width="10" style="2" bestFit="1" customWidth="1"/>
    <col min="5" max="5" width="15.453125" style="2" customWidth="1"/>
    <col min="6" max="6" width="24.1796875" style="2" bestFit="1" customWidth="1"/>
    <col min="7" max="7" width="10" style="2" bestFit="1" customWidth="1"/>
    <col min="8" max="8" width="22.54296875" style="2" bestFit="1" customWidth="1"/>
    <col min="9" max="9" width="21" style="2" bestFit="1" customWidth="1"/>
    <col min="10" max="11" width="9.7265625" style="2" bestFit="1" customWidth="1"/>
    <col min="12" max="12" width="12.1796875" style="2" bestFit="1" customWidth="1"/>
    <col min="13" max="13" width="9.7265625" style="2" bestFit="1" customWidth="1"/>
    <col min="14" max="15" width="8.7265625" style="2"/>
    <col min="16" max="16" width="9.81640625" style="2" bestFit="1" customWidth="1"/>
    <col min="17" max="17" width="19" style="2" bestFit="1" customWidth="1"/>
    <col min="18" max="16384" width="8.7265625" style="2"/>
  </cols>
  <sheetData>
    <row r="1" spans="1:16" ht="18" x14ac:dyDescent="0.35">
      <c r="A1" s="1" t="s">
        <v>36</v>
      </c>
      <c r="B1" s="1"/>
      <c r="C1" s="1"/>
      <c r="D1" s="1"/>
      <c r="E1" s="1"/>
      <c r="I1" s="11"/>
      <c r="J1" s="11"/>
      <c r="K1" s="11"/>
      <c r="L1" s="11"/>
      <c r="M1" s="11"/>
    </row>
    <row r="2" spans="1:16" x14ac:dyDescent="0.35">
      <c r="C2" s="26"/>
      <c r="I2" s="11"/>
      <c r="J2" s="11"/>
      <c r="K2" s="11"/>
      <c r="L2" s="11"/>
      <c r="M2" s="11"/>
    </row>
    <row r="3" spans="1:16" ht="18" x14ac:dyDescent="0.4">
      <c r="A3" s="8" t="s">
        <v>37</v>
      </c>
      <c r="B3" s="84">
        <f>TAA!B4</f>
        <v>43465</v>
      </c>
      <c r="C3" s="26"/>
      <c r="E3" s="8" t="s">
        <v>69</v>
      </c>
      <c r="F3" s="85">
        <f>SKEW(H18:H32)</f>
        <v>-0.47851268399685282</v>
      </c>
      <c r="I3" s="11"/>
      <c r="J3" s="11"/>
      <c r="K3" s="11"/>
      <c r="L3" s="11"/>
      <c r="M3" s="11"/>
    </row>
    <row r="4" spans="1:16" ht="18" x14ac:dyDescent="0.4">
      <c r="A4" s="8" t="s">
        <v>38</v>
      </c>
      <c r="B4" s="84">
        <f>EOMONTH(B3,3)</f>
        <v>43555</v>
      </c>
      <c r="C4" s="26"/>
      <c r="E4" s="8" t="s">
        <v>70</v>
      </c>
      <c r="F4" s="85">
        <f>KURT(H18:H32)</f>
        <v>2.0317190401984515</v>
      </c>
      <c r="I4" s="11"/>
      <c r="J4" s="11"/>
      <c r="K4" s="11"/>
      <c r="L4" s="11"/>
      <c r="M4" s="11"/>
    </row>
    <row r="5" spans="1:16" x14ac:dyDescent="0.35">
      <c r="C5" s="26"/>
      <c r="I5" s="11"/>
      <c r="J5" s="11"/>
      <c r="K5" s="11"/>
      <c r="L5" s="11"/>
      <c r="M5" s="11"/>
    </row>
    <row r="6" spans="1:16" ht="18" x14ac:dyDescent="0.4">
      <c r="A6" s="27" t="s">
        <v>21</v>
      </c>
      <c r="B6" s="28">
        <f>(1+AVERAGEIFS(H18:H86,A18:A86,"&lt;="&amp;B4))^12-1</f>
        <v>4.8304048416061285E-3</v>
      </c>
      <c r="G6" s="8"/>
      <c r="H6" s="29"/>
      <c r="I6" s="11"/>
      <c r="J6" s="11"/>
      <c r="K6" s="11"/>
      <c r="L6" s="11"/>
      <c r="M6" s="11"/>
    </row>
    <row r="7" spans="1:16" ht="18" x14ac:dyDescent="0.4">
      <c r="A7" s="27" t="s">
        <v>22</v>
      </c>
      <c r="B7" s="28" cm="1">
        <f t="array" ref="B7">GEOMEAN(IF((A18:A86&lt;=B4), (1+H18:H86)))^12-1</f>
        <v>2.3521964448065535E-3</v>
      </c>
      <c r="G7" s="8"/>
      <c r="H7" s="29"/>
      <c r="I7" s="11"/>
      <c r="J7" s="11"/>
      <c r="K7" s="11"/>
      <c r="L7" s="11"/>
      <c r="M7" s="11"/>
    </row>
    <row r="8" spans="1:16" ht="18" x14ac:dyDescent="0.4">
      <c r="A8" s="8" t="s">
        <v>23</v>
      </c>
      <c r="B8" s="28" cm="1">
        <f t="array" ref="B8">_xlfn.STDEV.S(IF((A18:A86&lt;=B4),H18:H86))*SQRT(12)</f>
        <v>7.2531634637756678E-2</v>
      </c>
      <c r="G8" s="30"/>
      <c r="I8" s="11"/>
      <c r="J8" s="11"/>
      <c r="K8" s="11"/>
      <c r="L8" s="11"/>
      <c r="M8" s="11"/>
    </row>
    <row r="9" spans="1:16" ht="18" x14ac:dyDescent="0.4">
      <c r="A9" s="8" t="s">
        <v>16</v>
      </c>
      <c r="B9" s="31">
        <v>2.35E-2</v>
      </c>
      <c r="I9" s="11"/>
      <c r="J9" s="11"/>
      <c r="K9" s="11"/>
      <c r="L9" s="11"/>
      <c r="M9" s="11"/>
    </row>
    <row r="10" spans="1:16" ht="18" x14ac:dyDescent="0.4">
      <c r="A10" s="8" t="s">
        <v>17</v>
      </c>
      <c r="B10" s="32">
        <f>(B6-B9)/B8</f>
        <v>-0.25739934377096374</v>
      </c>
      <c r="J10" s="11"/>
      <c r="K10" s="11"/>
      <c r="L10" s="11"/>
      <c r="M10" s="11"/>
      <c r="O10" s="11"/>
      <c r="P10" s="11"/>
    </row>
    <row r="11" spans="1:16" ht="18" x14ac:dyDescent="0.4">
      <c r="A11" s="8"/>
      <c r="B11" s="32"/>
      <c r="J11" s="11"/>
      <c r="K11" s="11"/>
      <c r="L11" s="11"/>
      <c r="M11" s="11"/>
      <c r="O11" s="11"/>
      <c r="P11" s="11"/>
    </row>
    <row r="12" spans="1:16" ht="18" x14ac:dyDescent="0.4">
      <c r="A12" s="8" t="s">
        <v>24</v>
      </c>
      <c r="B12" s="33">
        <f>B9</f>
        <v>2.35E-2</v>
      </c>
      <c r="J12" s="11"/>
      <c r="K12" s="11"/>
      <c r="L12" s="11"/>
      <c r="M12" s="11"/>
      <c r="O12" s="11"/>
      <c r="P12" s="11"/>
    </row>
    <row r="13" spans="1:16" ht="18" x14ac:dyDescent="0.4">
      <c r="A13" s="8" t="s">
        <v>25</v>
      </c>
      <c r="B13" s="32">
        <f>SQRT(SUMIFS(I18:I86,A18:A86,"&lt;="&amp;B4)/COUNTIFS(A18:A86,"&lt;="&amp;B4))</f>
        <v>3.0329287508292956E-2</v>
      </c>
      <c r="J13" s="11"/>
      <c r="K13" s="11"/>
      <c r="L13" s="11"/>
      <c r="M13" s="11"/>
      <c r="O13" s="11"/>
      <c r="P13" s="11"/>
    </row>
    <row r="14" spans="1:16" ht="18" x14ac:dyDescent="0.4">
      <c r="A14" s="8" t="s">
        <v>26</v>
      </c>
      <c r="B14" s="32">
        <f>(B6-B12)/B13</f>
        <v>-0.61556326218639434</v>
      </c>
      <c r="J14" s="11"/>
      <c r="K14" s="11"/>
      <c r="L14" s="11"/>
      <c r="M14" s="11"/>
      <c r="O14" s="11"/>
      <c r="P14" s="11"/>
    </row>
    <row r="15" spans="1:16" ht="18" x14ac:dyDescent="0.4">
      <c r="A15" s="8"/>
      <c r="B15" s="41"/>
    </row>
    <row r="16" spans="1:16" ht="18" x14ac:dyDescent="0.4">
      <c r="I16" s="6" t="s">
        <v>26</v>
      </c>
    </row>
    <row r="17" spans="1:9" ht="18" x14ac:dyDescent="0.4">
      <c r="A17" s="34" t="s">
        <v>18</v>
      </c>
      <c r="B17" s="34" t="s">
        <v>2</v>
      </c>
      <c r="C17" s="34" t="s">
        <v>3</v>
      </c>
      <c r="D17" s="34" t="s">
        <v>4</v>
      </c>
      <c r="E17" s="34" t="s">
        <v>5</v>
      </c>
      <c r="F17" s="34" t="s">
        <v>6</v>
      </c>
      <c r="G17" s="34" t="s">
        <v>7</v>
      </c>
      <c r="H17" s="34" t="s">
        <v>27</v>
      </c>
      <c r="I17" s="34" t="s">
        <v>28</v>
      </c>
    </row>
    <row r="18" spans="1:9" ht="18" x14ac:dyDescent="0.35">
      <c r="A18" s="47">
        <v>43131</v>
      </c>
      <c r="B18" s="30">
        <f>IF(A18&lt;=$B$3,'Index Returns'!B2*'SAA with CME'!C$17,IF(TAAPortfolioPerformance!A18&gt;TAAPortfolioPerformance!$B$4,"",'Index Returns'!B2*TAA!C$24))</f>
        <v>1.4926628601605037E-2</v>
      </c>
      <c r="C18" s="30">
        <f>IF(B18&lt;=$B$3,'Index Returns'!C2*'SAA with CME'!D$17,IF(TAAPortfolioPerformance!B18&gt;TAAPortfolioPerformance!$B$4,"",'Index Returns'!C2*TAA!D$24))</f>
        <v>4.8460328911913361E-3</v>
      </c>
      <c r="D18" s="30">
        <f>IF(C18&lt;=$B$3,'Index Returns'!D2*'SAA with CME'!E$17,IF(TAAPortfolioPerformance!C18&gt;TAAPortfolioPerformance!$B$4,"",'Index Returns'!D2*TAA!E$24))</f>
        <v>8.283099348613954E-3</v>
      </c>
      <c r="E18" s="30">
        <f>IF(D18&lt;=$B$3,'Index Returns'!E2*'SAA with CME'!F$17,IF(TAAPortfolioPerformance!D18&gt;TAAPortfolioPerformance!$B$4,"",'Index Returns'!E2*TAA!F$24))</f>
        <v>1.4943163276727794E-2</v>
      </c>
      <c r="F18" s="30">
        <f>IF(E18&lt;=$B$3,'Index Returns'!F2*'SAA with CME'!G$17,IF(TAAPortfolioPerformance!E18&gt;TAAPortfolioPerformance!$B$4,"",'Index Returns'!F2*TAA!G$24))</f>
        <v>-2.387200985490543E-4</v>
      </c>
      <c r="G18" s="30">
        <f>IF(F18&lt;=$B$3,'Index Returns'!G2*'SAA with CME'!H$17,IF(TAAPortfolioPerformance!F18&gt;TAAPortfolioPerformance!$B$4,"",'Index Returns'!G2*TAA!H$24))</f>
        <v>-7.527980992320496E-4</v>
      </c>
      <c r="H18" s="30">
        <f t="shared" ref="H18:H30" si="0">IF(G18="","",SUM(B18:G18))</f>
        <v>4.2007405920357017E-2</v>
      </c>
      <c r="I18" s="35">
        <f t="shared" ref="I18:I30" si="1">IF(G18="","",(MIN(H18-$B$12,0)^2))</f>
        <v>0</v>
      </c>
    </row>
    <row r="19" spans="1:9" ht="18" x14ac:dyDescent="0.35">
      <c r="A19" s="47">
        <v>43159</v>
      </c>
      <c r="B19" s="30">
        <f>IF(A19&lt;=$B$3,'Index Returns'!B3*'SAA with CME'!C$17,IF(TAAPortfolioPerformance!A19&gt;TAAPortfolioPerformance!$B$4,"",'Index Returns'!B3*TAA!C$24))</f>
        <v>-1.0296659156791472E-2</v>
      </c>
      <c r="C19" s="30">
        <f>IF(B19&lt;=$B$3,'Index Returns'!C3*'SAA with CME'!D$17,IF(TAAPortfolioPerformance!B19&gt;TAAPortfolioPerformance!$B$4,"",'Index Returns'!C3*TAA!D$24))</f>
        <v>-3.7155503597122302E-3</v>
      </c>
      <c r="D19" s="30">
        <f>IF(C19&lt;=$B$3,'Index Returns'!D3*'SAA with CME'!E$17,IF(TAAPortfolioPerformance!C19&gt;TAAPortfolioPerformance!$B$4,"",'Index Returns'!D3*TAA!E$24))</f>
        <v>-6.3611126209803664E-3</v>
      </c>
      <c r="E19" s="30">
        <f>IF(D19&lt;=$B$3,'Index Returns'!E3*'SAA with CME'!F$17,IF(TAAPortfolioPerformance!D19&gt;TAAPortfolioPerformance!$B$4,"",'Index Returns'!E3*TAA!F$24))</f>
        <v>2.1121092841799992E-2</v>
      </c>
      <c r="F19" s="30">
        <f>IF(E19&lt;=$B$3,'Index Returns'!F3*'SAA with CME'!G$17,IF(TAAPortfolioPerformance!E19&gt;TAAPortfolioPerformance!$B$4,"",'Index Returns'!F3*TAA!G$24))</f>
        <v>-1.7245749636891499E-3</v>
      </c>
      <c r="G19" s="30">
        <f>IF(F19&lt;=$B$3,'Index Returns'!G3*'SAA with CME'!H$17,IF(TAAPortfolioPerformance!F19&gt;TAAPortfolioPerformance!$B$4,"",'Index Returns'!G3*TAA!H$24))</f>
        <v>-5.2868836144315239E-3</v>
      </c>
      <c r="H19" s="30">
        <f t="shared" si="0"/>
        <v>-6.2636878738047503E-3</v>
      </c>
      <c r="I19" s="35">
        <f t="shared" si="1"/>
        <v>8.8587711584927199E-4</v>
      </c>
    </row>
    <row r="20" spans="1:9" ht="18" x14ac:dyDescent="0.35">
      <c r="A20" s="47">
        <v>43189</v>
      </c>
      <c r="B20" s="30">
        <f>IF(A20&lt;=$B$3,'Index Returns'!B4*'SAA with CME'!C$17,IF(TAAPortfolioPerformance!A20&gt;TAAPortfolioPerformance!$B$4,"",'Index Returns'!B4*TAA!C$24))</f>
        <v>8.2074284424090262E-4</v>
      </c>
      <c r="C20" s="30">
        <f>IF(B20&lt;=$B$3,'Index Returns'!C4*'SAA with CME'!D$17,IF(TAAPortfolioPerformance!B20&gt;TAAPortfolioPerformance!$B$4,"",'Index Returns'!C4*TAA!D$24))</f>
        <v>-1.1658812300966157E-3</v>
      </c>
      <c r="D20" s="30">
        <f>IF(C20&lt;=$B$3,'Index Returns'!D4*'SAA with CME'!E$17,IF(TAAPortfolioPerformance!C20&gt;TAAPortfolioPerformance!$B$4,"",'Index Returns'!D4*TAA!E$24))</f>
        <v>-1.9824724397053697E-3</v>
      </c>
      <c r="E20" s="30">
        <f>IF(D20&lt;=$B$3,'Index Returns'!E4*'SAA with CME'!F$17,IF(TAAPortfolioPerformance!D20&gt;TAAPortfolioPerformance!$B$4,"",'Index Returns'!E4*TAA!F$24))</f>
        <v>-1.1519928467668811E-3</v>
      </c>
      <c r="F20" s="30">
        <f>IF(E20&lt;=$B$3,'Index Returns'!F4*'SAA with CME'!G$17,IF(TAAPortfolioPerformance!E20&gt;TAAPortfolioPerformance!$B$4,"",'Index Returns'!F4*TAA!G$24))</f>
        <v>-4.778198554641961E-4</v>
      </c>
      <c r="G20" s="30">
        <f>IF(F20&lt;=$B$3,'Index Returns'!G4*'SAA with CME'!H$17,IF(TAAPortfolioPerformance!F20&gt;TAAPortfolioPerformance!$B$4,"",'Index Returns'!G4*TAA!H$24))</f>
        <v>6.8646035241346024E-4</v>
      </c>
      <c r="H20" s="30">
        <f t="shared" si="0"/>
        <v>-3.2709631753787003E-3</v>
      </c>
      <c r="I20" s="35">
        <f t="shared" si="1"/>
        <v>7.1668446933748238E-4</v>
      </c>
    </row>
    <row r="21" spans="1:9" ht="18" x14ac:dyDescent="0.35">
      <c r="A21" s="47">
        <v>43220</v>
      </c>
      <c r="B21" s="30">
        <f>IF(A21&lt;=$B$3,'Index Returns'!B5*'SAA with CME'!C$17,IF(TAAPortfolioPerformance!A21&gt;TAAPortfolioPerformance!$B$4,"",'Index Returns'!B5*TAA!C$24))</f>
        <v>-5.6346549782799399E-3</v>
      </c>
      <c r="C21" s="30">
        <f>IF(B21&lt;=$B$3,'Index Returns'!C5*'SAA with CME'!D$17,IF(TAAPortfolioPerformance!B21&gt;TAAPortfolioPerformance!$B$4,"",'Index Returns'!C5*TAA!D$24))</f>
        <v>6.5936006118937974E-4</v>
      </c>
      <c r="D21" s="30">
        <f>IF(C21&lt;=$B$3,'Index Returns'!D5*'SAA with CME'!E$17,IF(TAAPortfolioPerformance!C21&gt;TAAPortfolioPerformance!$B$4,"",'Index Returns'!D5*TAA!E$24))</f>
        <v>1.1238747892949065E-3</v>
      </c>
      <c r="E21" s="30">
        <f>IF(D21&lt;=$B$3,'Index Returns'!E5*'SAA with CME'!F$17,IF(TAAPortfolioPerformance!D21&gt;TAAPortfolioPerformance!$B$4,"",'Index Returns'!E5*TAA!F$24))</f>
        <v>1.8774701156907109E-3</v>
      </c>
      <c r="F21" s="30">
        <f>IF(E21&lt;=$B$3,'Index Returns'!F5*'SAA with CME'!G$17,IF(TAAPortfolioPerformance!E21&gt;TAAPortfolioPerformance!$B$4,"",'Index Returns'!F5*TAA!G$24))</f>
        <v>5.5783421938290985E-5</v>
      </c>
      <c r="G21" s="30">
        <f>IF(F21&lt;=$B$3,'Index Returns'!G5*'SAA with CME'!H$17,IF(TAAPortfolioPerformance!F21&gt;TAAPortfolioPerformance!$B$4,"",'Index Returns'!G5*TAA!H$24))</f>
        <v>1.0842501694914668E-3</v>
      </c>
      <c r="H21" s="30">
        <f t="shared" si="0"/>
        <v>-8.3391642067518509E-4</v>
      </c>
      <c r="I21" s="35">
        <f t="shared" si="1"/>
        <v>5.9213948836840549E-4</v>
      </c>
    </row>
    <row r="22" spans="1:9" ht="18" x14ac:dyDescent="0.35">
      <c r="A22" s="47">
        <v>43251</v>
      </c>
      <c r="B22" s="30">
        <f>IF(A22&lt;=$B$3,'Index Returns'!B6*'SAA with CME'!C$17,IF(TAAPortfolioPerformance!A22&gt;TAAPortfolioPerformance!$B$4,"",'Index Returns'!B6*TAA!C$24))</f>
        <v>6.5678023120977263E-3</v>
      </c>
      <c r="C22" s="30">
        <f>IF(B22&lt;=$B$3,'Index Returns'!C6*'SAA with CME'!D$17,IF(TAAPortfolioPerformance!B22&gt;TAAPortfolioPerformance!$B$4,"",'Index Returns'!C6*TAA!D$24))</f>
        <v>6.6551801415288788E-4</v>
      </c>
      <c r="D22" s="30">
        <f>IF(C22&lt;=$B$3,'Index Returns'!D6*'SAA with CME'!E$17,IF(TAAPortfolioPerformance!C22&gt;TAAPortfolioPerformance!$B$4,"",'Index Returns'!D6*TAA!E$24))</f>
        <v>1.1245944607453007E-3</v>
      </c>
      <c r="E22" s="30">
        <f>IF(D22&lt;=$B$3,'Index Returns'!E6*'SAA with CME'!F$17,IF(TAAPortfolioPerformance!D22&gt;TAAPortfolioPerformance!$B$4,"",'Index Returns'!E6*TAA!F$24))</f>
        <v>7.5804864208010025E-3</v>
      </c>
      <c r="F22" s="30">
        <f>IF(E22&lt;=$B$3,'Index Returns'!F6*'SAA with CME'!G$17,IF(TAAPortfolioPerformance!E22&gt;TAAPortfolioPerformance!$B$4,"",'Index Returns'!F6*TAA!G$24))</f>
        <v>-7.68914709824932E-4</v>
      </c>
      <c r="G22" s="30">
        <f>IF(F22&lt;=$B$3,'Index Returns'!G6*'SAA with CME'!H$17,IF(TAAPortfolioPerformance!F22&gt;TAAPortfolioPerformance!$B$4,"",'Index Returns'!G6*TAA!H$24))</f>
        <v>2.1958016183356095E-3</v>
      </c>
      <c r="H22" s="30">
        <f t="shared" si="0"/>
        <v>1.7365288116307595E-2</v>
      </c>
      <c r="I22" s="35">
        <f t="shared" si="1"/>
        <v>3.7634689895916815E-5</v>
      </c>
    </row>
    <row r="23" spans="1:9" ht="18" x14ac:dyDescent="0.35">
      <c r="A23" s="47">
        <v>43280</v>
      </c>
      <c r="B23" s="30">
        <f>IF(A23&lt;=$B$3,'Index Returns'!B7*'SAA with CME'!C$17,IF(TAAPortfolioPerformance!A23&gt;TAAPortfolioPerformance!$B$4,"",'Index Returns'!B7*TAA!C$24))</f>
        <v>7.471744498048204E-3</v>
      </c>
      <c r="C23" s="30">
        <f>IF(B23&lt;=$B$3,'Index Returns'!C7*'SAA with CME'!D$17,IF(TAAPortfolioPerformance!B23&gt;TAAPortfolioPerformance!$B$4,"",'Index Returns'!C7*TAA!D$24))</f>
        <v>-2.1363402330665648E-3</v>
      </c>
      <c r="D23" s="30">
        <f>IF(C23&lt;=$B$3,'Index Returns'!D7*'SAA with CME'!E$17,IF(TAAPortfolioPerformance!C23&gt;TAAPortfolioPerformance!$B$4,"",'Index Returns'!D7*TAA!E$24))</f>
        <v>-3.6375456999787844E-3</v>
      </c>
      <c r="E23" s="30">
        <f>IF(D23&lt;=$B$3,'Index Returns'!E7*'SAA with CME'!F$17,IF(TAAPortfolioPerformance!D23&gt;TAAPortfolioPerformance!$B$4,"",'Index Returns'!E7*TAA!F$24))</f>
        <v>-4.3998961997828408E-3</v>
      </c>
      <c r="F23" s="30">
        <f>IF(E23&lt;=$B$3,'Index Returns'!F7*'SAA with CME'!G$17,IF(TAAPortfolioPerformance!E23&gt;TAAPortfolioPerformance!$B$4,"",'Index Returns'!F7*TAA!G$24))</f>
        <v>1.1626138669614992E-4</v>
      </c>
      <c r="G23" s="30">
        <f>IF(F23&lt;=$B$3,'Index Returns'!G7*'SAA with CME'!H$17,IF(TAAPortfolioPerformance!F23&gt;TAAPortfolioPerformance!$B$4,"",'Index Returns'!G7*TAA!H$24))</f>
        <v>2.579093099328304E-3</v>
      </c>
      <c r="H23" s="30">
        <f t="shared" si="0"/>
        <v>-6.6831487555321471E-6</v>
      </c>
      <c r="I23" s="35">
        <f t="shared" si="1"/>
        <v>5.5256415265598732E-4</v>
      </c>
    </row>
    <row r="24" spans="1:9" ht="18" x14ac:dyDescent="0.35">
      <c r="A24" s="47">
        <v>43312</v>
      </c>
      <c r="B24" s="30">
        <f>IF(A24&lt;=$B$3,'Index Returns'!B8*'SAA with CME'!C$17,IF(TAAPortfolioPerformance!A24&gt;TAAPortfolioPerformance!$B$4,"",'Index Returns'!B8*TAA!C$24))</f>
        <v>4.191492097835669E-3</v>
      </c>
      <c r="C24" s="30">
        <f>IF(B24&lt;=$B$3,'Index Returns'!C8*'SAA with CME'!D$17,IF(TAAPortfolioPerformance!B24&gt;TAAPortfolioPerformance!$B$4,"",'Index Returns'!C8*TAA!D$24))</f>
        <v>-1.5943986013986023E-3</v>
      </c>
      <c r="D24" s="30">
        <f>IF(C24&lt;=$B$3,'Index Returns'!D8*'SAA with CME'!E$17,IF(TAAPortfolioPerformance!C24&gt;TAAPortfolioPerformance!$B$4,"",'Index Returns'!D8*TAA!E$24))</f>
        <v>-2.7632609894392103E-3</v>
      </c>
      <c r="E24" s="30">
        <f>IF(D24&lt;=$B$3,'Index Returns'!E8*'SAA with CME'!F$17,IF(TAAPortfolioPerformance!D24&gt;TAAPortfolioPerformance!$B$4,"",'Index Returns'!E8*TAA!F$24))</f>
        <v>-1.6026638378101436E-3</v>
      </c>
      <c r="F24" s="30">
        <f>IF(E24&lt;=$B$3,'Index Returns'!F8*'SAA with CME'!G$17,IF(TAAPortfolioPerformance!E24&gt;TAAPortfolioPerformance!$B$4,"",'Index Returns'!F8*TAA!G$24))</f>
        <v>6.5594834696110747E-4</v>
      </c>
      <c r="G24" s="30">
        <f>IF(F24&lt;=$B$3,'Index Returns'!G8*'SAA with CME'!H$17,IF(TAAPortfolioPerformance!F24&gt;TAAPortfolioPerformance!$B$4,"",'Index Returns'!G8*TAA!H$24))</f>
        <v>1.6301113377244327E-3</v>
      </c>
      <c r="H24" s="30">
        <f t="shared" si="0"/>
        <v>5.1722835387325297E-4</v>
      </c>
      <c r="I24" s="35">
        <f t="shared" si="1"/>
        <v>5.282077925380076E-4</v>
      </c>
    </row>
    <row r="25" spans="1:9" ht="18" x14ac:dyDescent="0.35">
      <c r="A25" s="47">
        <v>43343</v>
      </c>
      <c r="B25" s="30">
        <f>IF(A25&lt;=$B$3,'Index Returns'!B9*'SAA with CME'!C$17,IF(TAAPortfolioPerformance!A25&gt;TAAPortfolioPerformance!$B$4,"",'Index Returns'!B9*TAA!C$24))</f>
        <v>7.0728601529258398E-3</v>
      </c>
      <c r="C25" s="30">
        <f>IF(B25&lt;=$B$3,'Index Returns'!C9*'SAA with CME'!D$17,IF(TAAPortfolioPerformance!B25&gt;TAAPortfolioPerformance!$B$4,"",'Index Returns'!C9*TAA!D$24))</f>
        <v>-5.9675164752774005E-4</v>
      </c>
      <c r="D25" s="30">
        <f>IF(C25&lt;=$B$3,'Index Returns'!D9*'SAA with CME'!E$17,IF(TAAPortfolioPerformance!C25&gt;TAAPortfolioPerformance!$B$4,"",'Index Returns'!D9*TAA!E$24))</f>
        <v>-1.0215458406442098E-3</v>
      </c>
      <c r="E25" s="30">
        <f>IF(D25&lt;=$B$3,'Index Returns'!E9*'SAA with CME'!F$17,IF(TAAPortfolioPerformance!D25&gt;TAAPortfolioPerformance!$B$4,"",'Index Returns'!E9*TAA!F$24))</f>
        <v>5.6708812523719317E-6</v>
      </c>
      <c r="F25" s="30">
        <f>IF(E25&lt;=$B$3,'Index Returns'!F9*'SAA with CME'!G$17,IF(TAAPortfolioPerformance!E25&gt;TAAPortfolioPerformance!$B$4,"",'Index Returns'!F9*TAA!G$24))</f>
        <v>6.4836119979054139E-4</v>
      </c>
      <c r="G25" s="30">
        <f>IF(F25&lt;=$B$3,'Index Returns'!G9*'SAA with CME'!H$17,IF(TAAPortfolioPerformance!F25&gt;TAAPortfolioPerformance!$B$4,"",'Index Returns'!G9*TAA!H$24))</f>
        <v>1.3213226837170372E-3</v>
      </c>
      <c r="H25" s="30">
        <f t="shared" si="0"/>
        <v>7.4299174295138406E-3</v>
      </c>
      <c r="I25" s="35">
        <f t="shared" si="1"/>
        <v>2.5824755382224297E-4</v>
      </c>
    </row>
    <row r="26" spans="1:9" ht="18" x14ac:dyDescent="0.35">
      <c r="A26" s="47">
        <v>43371</v>
      </c>
      <c r="B26" s="30">
        <f>IF(A26&lt;=$B$3,'Index Returns'!B10*'SAA with CME'!C$17,IF(TAAPortfolioPerformance!A26&gt;TAAPortfolioPerformance!$B$4,"",'Index Returns'!B10*TAA!C$24))</f>
        <v>4.7076171154710302E-3</v>
      </c>
      <c r="C26" s="30">
        <f>IF(B26&lt;=$B$3,'Index Returns'!C10*'SAA with CME'!D$17,IF(TAAPortfolioPerformance!B26&gt;TAAPortfolioPerformance!$B$4,"",'Index Returns'!C10*TAA!D$24))</f>
        <v>-3.186077500864567E-4</v>
      </c>
      <c r="D26" s="30">
        <f>IF(C26&lt;=$B$3,'Index Returns'!D10*'SAA with CME'!E$17,IF(TAAPortfolioPerformance!C26&gt;TAAPortfolioPerformance!$B$4,"",'Index Returns'!D10*TAA!E$24))</f>
        <v>-5.4617437547554689E-4</v>
      </c>
      <c r="E26" s="30">
        <f>IF(D26&lt;=$B$3,'Index Returns'!E10*'SAA with CME'!F$17,IF(TAAPortfolioPerformance!D26&gt;TAAPortfolioPerformance!$B$4,"",'Index Returns'!E10*TAA!F$24))</f>
        <v>7.9568599808212456E-3</v>
      </c>
      <c r="F26" s="30">
        <f>IF(E26&lt;=$B$3,'Index Returns'!F10*'SAA with CME'!G$17,IF(TAAPortfolioPerformance!E26&gt;TAAPortfolioPerformance!$B$4,"",'Index Returns'!F10*TAA!G$24))</f>
        <v>-3.2318034267610684E-4</v>
      </c>
      <c r="G26" s="30">
        <f>IF(F26&lt;=$B$3,'Index Returns'!G10*'SAA with CME'!H$17,IF(TAAPortfolioPerformance!F26&gt;TAAPortfolioPerformance!$B$4,"",'Index Returns'!G10*TAA!H$24))</f>
        <v>-5.8463042097383418E-4</v>
      </c>
      <c r="H26" s="30">
        <f t="shared" si="0"/>
        <v>1.089188420708033E-2</v>
      </c>
      <c r="I26" s="35">
        <f t="shared" si="1"/>
        <v>1.5896458384767042E-4</v>
      </c>
    </row>
    <row r="27" spans="1:9" ht="18" x14ac:dyDescent="0.35">
      <c r="A27" s="47">
        <v>43404</v>
      </c>
      <c r="B27" s="30">
        <f>IF(A27&lt;=$B$3,'Index Returns'!B11*'SAA with CME'!C$17,IF(TAAPortfolioPerformance!A27&gt;TAAPortfolioPerformance!$B$4,"",'Index Returns'!B11*TAA!C$24))</f>
        <v>-1.540912943785732E-2</v>
      </c>
      <c r="C27" s="30">
        <f>IF(B27&lt;=$B$3,'Index Returns'!C11*'SAA with CME'!D$17,IF(TAAPortfolioPerformance!B27&gt;TAAPortfolioPerformance!$B$4,"",'Index Returns'!C11*TAA!D$24))</f>
        <v>-5.0317545795630081E-3</v>
      </c>
      <c r="D27" s="30">
        <f>IF(C27&lt;=$B$3,'Index Returns'!D11*'SAA with CME'!E$17,IF(TAAPortfolioPerformance!C27&gt;TAAPortfolioPerformance!$B$4,"",'Index Returns'!D11*TAA!E$24))</f>
        <v>-8.5667173203909999E-3</v>
      </c>
      <c r="E27" s="30">
        <f>IF(D27&lt;=$B$3,'Index Returns'!E11*'SAA with CME'!F$17,IF(TAAPortfolioPerformance!D27&gt;TAAPortfolioPerformance!$B$4,"",'Index Returns'!E11*TAA!F$24))</f>
        <v>9.7588615867376903E-3</v>
      </c>
      <c r="F27" s="30">
        <f>IF(E27&lt;=$B$3,'Index Returns'!F11*'SAA with CME'!G$17,IF(TAAPortfolioPerformance!E27&gt;TAAPortfolioPerformance!$B$4,"",'Index Returns'!F11*TAA!G$24))</f>
        <v>-8.0948277797958748E-4</v>
      </c>
      <c r="G27" s="30">
        <f>IF(F27&lt;=$B$3,'Index Returns'!G11*'SAA with CME'!H$17,IF(TAAPortfolioPerformance!F27&gt;TAAPortfolioPerformance!$B$4,"",'Index Returns'!G11*TAA!H$24))</f>
        <v>-3.7030481474632109E-3</v>
      </c>
      <c r="H27" s="30">
        <f t="shared" si="0"/>
        <v>-2.3761270676516438E-2</v>
      </c>
      <c r="I27" s="35">
        <f t="shared" si="1"/>
        <v>2.2336277059589521E-3</v>
      </c>
    </row>
    <row r="28" spans="1:9" ht="18" x14ac:dyDescent="0.35">
      <c r="A28" s="47">
        <v>43434</v>
      </c>
      <c r="B28" s="30">
        <f>IF(A28&lt;=$B$3,'Index Returns'!B12*'SAA with CME'!C$17,IF(TAAPortfolioPerformance!A28&gt;TAAPortfolioPerformance!$B$4,"",'Index Returns'!B12*TAA!C$24))</f>
        <v>-7.6170774148298483E-3</v>
      </c>
      <c r="C28" s="30">
        <f>IF(B28&lt;=$B$3,'Index Returns'!C12*'SAA with CME'!D$17,IF(TAAPortfolioPerformance!B28&gt;TAAPortfolioPerformance!$B$4,"",'Index Returns'!C12*TAA!D$24))</f>
        <v>-2.4771692233434232E-3</v>
      </c>
      <c r="D28" s="30">
        <f>IF(C28&lt;=$B$3,'Index Returns'!D12*'SAA with CME'!E$17,IF(TAAPortfolioPerformance!C28&gt;TAAPortfolioPerformance!$B$4,"",'Index Returns'!D12*TAA!E$24))</f>
        <v>-4.2811271038604029E-3</v>
      </c>
      <c r="E28" s="30">
        <f>IF(D28&lt;=$B$3,'Index Returns'!E12*'SAA with CME'!F$17,IF(TAAPortfolioPerformance!D28&gt;TAAPortfolioPerformance!$B$4,"",'Index Returns'!E12*TAA!F$24))</f>
        <v>-2.2356840395207031E-3</v>
      </c>
      <c r="F28" s="30">
        <f>IF(E28&lt;=$B$3,'Index Returns'!F12*'SAA with CME'!G$17,IF(TAAPortfolioPerformance!E28&gt;TAAPortfolioPerformance!$B$4,"",'Index Returns'!F12*TAA!G$24))</f>
        <v>-5.4872829138057197E-4</v>
      </c>
      <c r="G28" s="30">
        <f>IF(F28&lt;=$B$3,'Index Returns'!G12*'SAA with CME'!H$17,IF(TAAPortfolioPerformance!F28&gt;TAAPortfolioPerformance!$B$4,"",'Index Returns'!G12*TAA!H$24))</f>
        <v>2.031523266677914E-3</v>
      </c>
      <c r="H28" s="30">
        <f t="shared" si="0"/>
        <v>-1.5128262806257035E-2</v>
      </c>
      <c r="I28" s="35">
        <f t="shared" si="1"/>
        <v>1.4921426874292608E-3</v>
      </c>
    </row>
    <row r="29" spans="1:9" ht="18" x14ac:dyDescent="0.35">
      <c r="A29" s="47">
        <v>43465</v>
      </c>
      <c r="B29" s="30">
        <f>IF(A29&lt;=$B$3,'Index Returns'!B13*'SAA with CME'!C$17,IF(TAAPortfolioPerformance!A29&gt;TAAPortfolioPerformance!$B$4,"",'Index Returns'!B13*TAA!C$24))</f>
        <v>-1.7577139521845316E-2</v>
      </c>
      <c r="C29" s="30">
        <f>IF(B29&lt;=$B$3,'Index Returns'!C13*'SAA with CME'!D$17,IF(TAAPortfolioPerformance!B29&gt;TAAPortfolioPerformance!$B$4,"",'Index Returns'!C13*TAA!D$24))</f>
        <v>-4.8228644620873853E-3</v>
      </c>
      <c r="D29" s="30">
        <f>IF(C29&lt;=$B$3,'Index Returns'!D13*'SAA with CME'!E$17,IF(TAAPortfolioPerformance!C29&gt;TAAPortfolioPerformance!$B$4,"",'Index Returns'!D13*TAA!E$24))</f>
        <v>-8.2692751507322144E-3</v>
      </c>
      <c r="E29" s="30">
        <f>IF(D29&lt;=$B$3,'Index Returns'!E13*'SAA with CME'!F$17,IF(TAAPortfolioPerformance!D29&gt;TAAPortfolioPerformance!$B$4,"",'Index Returns'!E13*TAA!F$24))</f>
        <v>-1.8108228177665699E-2</v>
      </c>
      <c r="F29" s="30">
        <f>IF(E29&lt;=$B$3,'Index Returns'!F13*'SAA with CME'!G$17,IF(TAAPortfolioPerformance!E29&gt;TAAPortfolioPerformance!$B$4,"",'Index Returns'!F13*TAA!G$24))</f>
        <v>8.777949998828383E-4</v>
      </c>
      <c r="G29" s="30">
        <f>IF(F29&lt;=$B$3,'Index Returns'!G13*'SAA with CME'!H$17,IF(TAAPortfolioPerformance!F29&gt;TAAPortfolioPerformance!$B$4,"",'Index Returns'!G13*TAA!H$24))</f>
        <v>-1.8912625191269195E-3</v>
      </c>
      <c r="H29" s="30">
        <f t="shared" si="0"/>
        <v>-4.97909748315747E-2</v>
      </c>
      <c r="I29" s="35">
        <f t="shared" si="1"/>
        <v>5.3715669917625171E-3</v>
      </c>
    </row>
    <row r="30" spans="1:9" ht="18" x14ac:dyDescent="0.35">
      <c r="A30" s="47">
        <v>43496</v>
      </c>
      <c r="B30" s="30">
        <f>IF(A30&lt;=$B$3,'Index Returns'!B14*'SAA with CME'!C$17,IF(TAAPortfolioPerformance!A30&gt;TAAPortfolioPerformance!$B$4,"",'Index Returns'!B14*TAA!C$24))</f>
        <v>1.3891740003563605E-3</v>
      </c>
      <c r="C30" s="30">
        <f>IF(B30&lt;=$B$3,'Index Returns'!C14*'SAA with CME'!D$17,IF(TAAPortfolioPerformance!B30&gt;TAAPortfolioPerformance!$B$4,"",'Index Returns'!C14*TAA!D$24))</f>
        <v>2.3572824937548643E-3</v>
      </c>
      <c r="D30" s="30">
        <f>IF(C30&lt;=$B$3,'Index Returns'!D14*'SAA with CME'!E$17,IF(TAAPortfolioPerformance!C30&gt;TAAPortfolioPerformance!$B$4,"",'Index Returns'!D14*TAA!E$24))</f>
        <v>4.0280696459449265E-3</v>
      </c>
      <c r="E30" s="30">
        <f>IF(D30&lt;=$B$3,'Index Returns'!E14*'SAA with CME'!F$17,IF(TAAPortfolioPerformance!D30&gt;TAAPortfolioPerformance!$B$4,"",'Index Returns'!E14*TAA!F$24))</f>
        <v>-8.3176914043314263E-3</v>
      </c>
      <c r="F30" s="30">
        <f>IF(E30&lt;=$B$3,'Index Returns'!F14*'SAA with CME'!G$17,IF(TAAPortfolioPerformance!E30&gt;TAAPortfolioPerformance!$B$4,"",'Index Returns'!F14*TAA!G$24))</f>
        <v>1.1654969086754828E-3</v>
      </c>
      <c r="G30" s="30">
        <f>IF(F30&lt;=$B$3,'Index Returns'!G14*'SAA with CME'!H$17,IF(TAAPortfolioPerformance!F30&gt;TAAPortfolioPerformance!$B$4,"",'Index Returns'!G14*TAA!H$24))</f>
        <v>1.8205844557513604E-3</v>
      </c>
      <c r="H30" s="30">
        <f t="shared" si="0"/>
        <v>2.4429161001515679E-3</v>
      </c>
      <c r="I30" s="35">
        <f t="shared" si="1"/>
        <v>4.4340078236525607E-4</v>
      </c>
    </row>
    <row r="31" spans="1:9" ht="18" x14ac:dyDescent="0.35">
      <c r="A31" s="47">
        <v>43524</v>
      </c>
      <c r="B31" s="30">
        <f>IF(A31&lt;=$B$3,'Index Returns'!B15*'SAA with CME'!C$17,IF(TAAPortfolioPerformance!A31&gt;TAAPortfolioPerformance!$B$4,"",'Index Returns'!B15*TAA!C$24))</f>
        <v>7.8308171114713117E-3</v>
      </c>
      <c r="C31" s="30">
        <f>IF(B31&lt;=$B$3,'Index Returns'!C15*'SAA with CME'!D$17,IF(TAAPortfolioPerformance!B31&gt;TAAPortfolioPerformance!$B$4,"",'Index Returns'!C15*TAA!D$24))</f>
        <v>3.9657916360968572E-3</v>
      </c>
      <c r="D31" s="30">
        <f>IF(C31&lt;=$B$3,'Index Returns'!D15*'SAA with CME'!E$17,IF(TAAPortfolioPerformance!C31&gt;TAAPortfolioPerformance!$B$4,"",'Index Returns'!D15*TAA!E$24))</f>
        <v>6.8731871712843853E-3</v>
      </c>
      <c r="E31" s="30">
        <f>IF(D31&lt;=$B$3,'Index Returns'!E15*'SAA with CME'!F$17,IF(TAAPortfolioPerformance!D31&gt;TAAPortfolioPerformance!$B$4,"",'Index Returns'!E15*TAA!F$24))</f>
        <v>-2.7579418267898639E-3</v>
      </c>
      <c r="F31" s="30">
        <f>IF(E31&lt;=$B$3,'Index Returns'!F15*'SAA with CME'!G$17,IF(TAAPortfolioPerformance!E31&gt;TAAPortfolioPerformance!$B$4,"",'Index Returns'!F15*TAA!G$24))</f>
        <v>1.7772019159698631E-3</v>
      </c>
      <c r="G31" s="30">
        <f>IF(F31&lt;=$B$3,'Index Returns'!G15*'SAA with CME'!H$17,IF(TAAPortfolioPerformance!F31&gt;TAAPortfolioPerformance!$B$4,"",'Index Returns'!G15*TAA!H$24))</f>
        <v>6.1916370528644861E-3</v>
      </c>
      <c r="H31" s="30">
        <f t="shared" ref="H31:H86" si="2">IF(G31="","",SUM(B31:G31))</f>
        <v>2.3880693060897035E-2</v>
      </c>
      <c r="I31" s="35">
        <f t="shared" ref="I31:I86" si="3">IF(G31="","",(MIN(H31-$B$12,0)^2))</f>
        <v>0</v>
      </c>
    </row>
    <row r="32" spans="1:9" ht="18" x14ac:dyDescent="0.35">
      <c r="A32" s="47">
        <v>43553</v>
      </c>
      <c r="B32" s="30">
        <f>IF(A32&lt;=$B$3,'Index Returns'!B16*'SAA with CME'!C$17,IF(TAAPortfolioPerformance!A32&gt;TAAPortfolioPerformance!$B$4,"",'Index Returns'!B16*TAA!C$24))</f>
        <v>2.0203787583210073E-3</v>
      </c>
      <c r="C32" s="30">
        <f>IF(B32&lt;=$B$3,'Index Returns'!C16*'SAA with CME'!D$17,IF(TAAPortfolioPerformance!B32&gt;TAAPortfolioPerformance!$B$4,"",'Index Returns'!C16*TAA!D$24))</f>
        <v>1.5250953079988232E-3</v>
      </c>
      <c r="D32" s="30">
        <f>IF(C32&lt;=$B$3,'Index Returns'!D16*'SAA with CME'!E$17,IF(TAAPortfolioPerformance!C32&gt;TAAPortfolioPerformance!$B$4,"",'Index Returns'!D16*TAA!E$24))</f>
        <v>2.646281726458543E-3</v>
      </c>
      <c r="E32" s="30">
        <f>IF(D32&lt;=$B$3,'Index Returns'!E16*'SAA with CME'!F$17,IF(TAAPortfolioPerformance!D32&gt;TAAPortfolioPerformance!$B$4,"",'Index Returns'!E16*TAA!F$24))</f>
        <v>-7.8776350824918441E-3</v>
      </c>
      <c r="F32" s="30">
        <f>IF(E32&lt;=$B$3,'Index Returns'!F16*'SAA with CME'!G$17,IF(TAAPortfolioPerformance!E32&gt;TAAPortfolioPerformance!$B$4,"",'Index Returns'!F16*TAA!G$24))</f>
        <v>1.1312778058509933E-3</v>
      </c>
      <c r="G32" s="30">
        <f>IF(F32&lt;=$B$3,'Index Returns'!G16*'SAA with CME'!H$17,IF(TAAPortfolioPerformance!F32&gt;TAAPortfolioPerformance!$B$4,"",'Index Returns'!G16*TAA!H$24))</f>
        <v>1.0997066337557623E-3</v>
      </c>
      <c r="H32" s="30">
        <f t="shared" si="2"/>
        <v>5.4510514989328501E-4</v>
      </c>
      <c r="I32" s="35">
        <f t="shared" si="3"/>
        <v>5.2692719757945579E-4</v>
      </c>
    </row>
    <row r="33" spans="1:9" ht="18" x14ac:dyDescent="0.35">
      <c r="A33" s="47">
        <v>43585</v>
      </c>
      <c r="B33" s="30" t="str">
        <f>IF(A33&lt;=$B$3,'Index Returns'!B17*'SAA with CME'!C$17,IF(TAAPortfolioPerformance!A33&gt;TAAPortfolioPerformance!$B$4,"",'Index Returns'!B17*TAA!C$24))</f>
        <v/>
      </c>
      <c r="C33" s="30" t="str">
        <f>IF(B33&lt;=$B$3,'Index Returns'!C17*'SAA with CME'!D$17,IF(TAAPortfolioPerformance!B33&gt;TAAPortfolioPerformance!$B$4,"",'Index Returns'!C17*TAA!D$24))</f>
        <v/>
      </c>
      <c r="D33" s="30" t="str">
        <f>IF(C33&lt;=$B$3,'Index Returns'!D17*'SAA with CME'!E$17,IF(TAAPortfolioPerformance!C33&gt;TAAPortfolioPerformance!$B$4,"",'Index Returns'!D17*TAA!E$24))</f>
        <v/>
      </c>
      <c r="E33" s="30" t="str">
        <f>IF(D33&lt;=$B$3,'Index Returns'!E17*'SAA with CME'!F$17,IF(TAAPortfolioPerformance!D33&gt;TAAPortfolioPerformance!$B$4,"",'Index Returns'!E17*TAA!F$24))</f>
        <v/>
      </c>
      <c r="F33" s="30" t="str">
        <f>IF(E33&lt;=$B$3,'Index Returns'!F17*'SAA with CME'!G$17,IF(TAAPortfolioPerformance!E33&gt;TAAPortfolioPerformance!$B$4,"",'Index Returns'!F17*TAA!G$24))</f>
        <v/>
      </c>
      <c r="G33" s="30" t="str">
        <f>IF(F33&lt;=$B$3,'Index Returns'!G17*'SAA with CME'!H$17,IF(TAAPortfolioPerformance!F33&gt;TAAPortfolioPerformance!$B$4,"",'Index Returns'!G17*TAA!H$24))</f>
        <v/>
      </c>
      <c r="H33" s="30" t="str">
        <f t="shared" si="2"/>
        <v/>
      </c>
      <c r="I33" s="35" t="str">
        <f t="shared" si="3"/>
        <v/>
      </c>
    </row>
    <row r="34" spans="1:9" ht="18" x14ac:dyDescent="0.35">
      <c r="A34" s="47">
        <v>43616</v>
      </c>
      <c r="B34" s="30" t="str">
        <f>IF(A34&lt;=$B$3,'Index Returns'!B18*'SAA with CME'!C$17,IF(TAAPortfolioPerformance!A34&gt;TAAPortfolioPerformance!$B$4,"",'Index Returns'!B18*TAA!C$24))</f>
        <v/>
      </c>
      <c r="C34" s="30" t="str">
        <f>IF(B34&lt;=$B$3,'Index Returns'!C18*'SAA with CME'!D$17,IF(TAAPortfolioPerformance!B34&gt;TAAPortfolioPerformance!$B$4,"",'Index Returns'!C18*TAA!D$24))</f>
        <v/>
      </c>
      <c r="D34" s="30" t="str">
        <f>IF(C34&lt;=$B$3,'Index Returns'!D18*'SAA with CME'!E$17,IF(TAAPortfolioPerformance!C34&gt;TAAPortfolioPerformance!$B$4,"",'Index Returns'!D18*TAA!E$24))</f>
        <v/>
      </c>
      <c r="E34" s="30" t="str">
        <f>IF(D34&lt;=$B$3,'Index Returns'!E18*'SAA with CME'!F$17,IF(TAAPortfolioPerformance!D34&gt;TAAPortfolioPerformance!$B$4,"",'Index Returns'!E18*TAA!F$24))</f>
        <v/>
      </c>
      <c r="F34" s="30" t="str">
        <f>IF(E34&lt;=$B$3,'Index Returns'!F18*'SAA with CME'!G$17,IF(TAAPortfolioPerformance!E34&gt;TAAPortfolioPerformance!$B$4,"",'Index Returns'!F18*TAA!G$24))</f>
        <v/>
      </c>
      <c r="G34" s="30" t="str">
        <f>IF(F34&lt;=$B$3,'Index Returns'!G18*'SAA with CME'!H$17,IF(TAAPortfolioPerformance!F34&gt;TAAPortfolioPerformance!$B$4,"",'Index Returns'!G18*TAA!H$24))</f>
        <v/>
      </c>
      <c r="H34" s="30" t="str">
        <f t="shared" si="2"/>
        <v/>
      </c>
      <c r="I34" s="35" t="str">
        <f t="shared" si="3"/>
        <v/>
      </c>
    </row>
    <row r="35" spans="1:9" ht="18" x14ac:dyDescent="0.35">
      <c r="A35" s="47">
        <v>43644</v>
      </c>
      <c r="B35" s="30" t="str">
        <f>IF(A35&lt;=$B$3,'Index Returns'!B19*'SAA with CME'!C$17,IF(TAAPortfolioPerformance!A35&gt;TAAPortfolioPerformance!$B$4,"",'Index Returns'!B19*TAA!C$24))</f>
        <v/>
      </c>
      <c r="C35" s="30" t="str">
        <f>IF(B35&lt;=$B$3,'Index Returns'!C19*'SAA with CME'!D$17,IF(TAAPortfolioPerformance!B35&gt;TAAPortfolioPerformance!$B$4,"",'Index Returns'!C19*TAA!D$24))</f>
        <v/>
      </c>
      <c r="D35" s="30" t="str">
        <f>IF(C35&lt;=$B$3,'Index Returns'!D19*'SAA with CME'!E$17,IF(TAAPortfolioPerformance!C35&gt;TAAPortfolioPerformance!$B$4,"",'Index Returns'!D19*TAA!E$24))</f>
        <v/>
      </c>
      <c r="E35" s="30" t="str">
        <f>IF(D35&lt;=$B$3,'Index Returns'!E19*'SAA with CME'!F$17,IF(TAAPortfolioPerformance!D35&gt;TAAPortfolioPerformance!$B$4,"",'Index Returns'!E19*TAA!F$24))</f>
        <v/>
      </c>
      <c r="F35" s="30" t="str">
        <f>IF(E35&lt;=$B$3,'Index Returns'!F19*'SAA with CME'!G$17,IF(TAAPortfolioPerformance!E35&gt;TAAPortfolioPerformance!$B$4,"",'Index Returns'!F19*TAA!G$24))</f>
        <v/>
      </c>
      <c r="G35" s="30" t="str">
        <f>IF(F35&lt;=$B$3,'Index Returns'!G19*'SAA with CME'!H$17,IF(TAAPortfolioPerformance!F35&gt;TAAPortfolioPerformance!$B$4,"",'Index Returns'!G19*TAA!H$24))</f>
        <v/>
      </c>
      <c r="H35" s="30" t="str">
        <f t="shared" si="2"/>
        <v/>
      </c>
      <c r="I35" s="35" t="str">
        <f t="shared" si="3"/>
        <v/>
      </c>
    </row>
    <row r="36" spans="1:9" ht="18" x14ac:dyDescent="0.35">
      <c r="A36" s="47">
        <v>43677</v>
      </c>
      <c r="B36" s="30" t="str">
        <f>IF(A36&lt;=$B$3,'Index Returns'!B20*'SAA with CME'!C$17,IF(TAAPortfolioPerformance!A36&gt;TAAPortfolioPerformance!$B$4,"",'Index Returns'!B20*TAA!C$24))</f>
        <v/>
      </c>
      <c r="C36" s="30" t="str">
        <f>IF(B36&lt;=$B$3,'Index Returns'!C20*'SAA with CME'!D$17,IF(TAAPortfolioPerformance!B36&gt;TAAPortfolioPerformance!$B$4,"",'Index Returns'!C20*TAA!D$24))</f>
        <v/>
      </c>
      <c r="D36" s="30" t="str">
        <f>IF(C36&lt;=$B$3,'Index Returns'!D20*'SAA with CME'!E$17,IF(TAAPortfolioPerformance!C36&gt;TAAPortfolioPerformance!$B$4,"",'Index Returns'!D20*TAA!E$24))</f>
        <v/>
      </c>
      <c r="E36" s="30" t="str">
        <f>IF(D36&lt;=$B$3,'Index Returns'!E20*'SAA with CME'!F$17,IF(TAAPortfolioPerformance!D36&gt;TAAPortfolioPerformance!$B$4,"",'Index Returns'!E20*TAA!F$24))</f>
        <v/>
      </c>
      <c r="F36" s="30" t="str">
        <f>IF(E36&lt;=$B$3,'Index Returns'!F20*'SAA with CME'!G$17,IF(TAAPortfolioPerformance!E36&gt;TAAPortfolioPerformance!$B$4,"",'Index Returns'!F20*TAA!G$24))</f>
        <v/>
      </c>
      <c r="G36" s="30" t="str">
        <f>IF(F36&lt;=$B$3,'Index Returns'!G20*'SAA with CME'!H$17,IF(TAAPortfolioPerformance!F36&gt;TAAPortfolioPerformance!$B$4,"",'Index Returns'!G20*TAA!H$24))</f>
        <v/>
      </c>
      <c r="H36" s="30" t="str">
        <f t="shared" si="2"/>
        <v/>
      </c>
      <c r="I36" s="35" t="str">
        <f t="shared" si="3"/>
        <v/>
      </c>
    </row>
    <row r="37" spans="1:9" ht="18" x14ac:dyDescent="0.35">
      <c r="A37" s="47">
        <v>43707</v>
      </c>
      <c r="B37" s="30" t="str">
        <f>IF(A37&lt;=$B$3,'Index Returns'!B21*'SAA with CME'!C$17,IF(TAAPortfolioPerformance!A37&gt;TAAPortfolioPerformance!$B$4,"",'Index Returns'!B21*TAA!C$24))</f>
        <v/>
      </c>
      <c r="C37" s="30" t="str">
        <f>IF(B37&lt;=$B$3,'Index Returns'!C21*'SAA with CME'!D$17,IF(TAAPortfolioPerformance!B37&gt;TAAPortfolioPerformance!$B$4,"",'Index Returns'!C21*TAA!D$24))</f>
        <v/>
      </c>
      <c r="D37" s="30" t="str">
        <f>IF(C37&lt;=$B$3,'Index Returns'!D21*'SAA with CME'!E$17,IF(TAAPortfolioPerformance!C37&gt;TAAPortfolioPerformance!$B$4,"",'Index Returns'!D21*TAA!E$24))</f>
        <v/>
      </c>
      <c r="E37" s="30" t="str">
        <f>IF(D37&lt;=$B$3,'Index Returns'!E21*'SAA with CME'!F$17,IF(TAAPortfolioPerformance!D37&gt;TAAPortfolioPerformance!$B$4,"",'Index Returns'!E21*TAA!F$24))</f>
        <v/>
      </c>
      <c r="F37" s="30" t="str">
        <f>IF(E37&lt;=$B$3,'Index Returns'!F21*'SAA with CME'!G$17,IF(TAAPortfolioPerformance!E37&gt;TAAPortfolioPerformance!$B$4,"",'Index Returns'!F21*TAA!G$24))</f>
        <v/>
      </c>
      <c r="G37" s="30" t="str">
        <f>IF(F37&lt;=$B$3,'Index Returns'!G21*'SAA with CME'!H$17,IF(TAAPortfolioPerformance!F37&gt;TAAPortfolioPerformance!$B$4,"",'Index Returns'!G21*TAA!H$24))</f>
        <v/>
      </c>
      <c r="H37" s="30" t="str">
        <f t="shared" si="2"/>
        <v/>
      </c>
      <c r="I37" s="35" t="str">
        <f t="shared" si="3"/>
        <v/>
      </c>
    </row>
    <row r="38" spans="1:9" ht="18" x14ac:dyDescent="0.35">
      <c r="A38" s="47">
        <v>43738</v>
      </c>
      <c r="B38" s="30" t="str">
        <f>IF(A38&lt;=$B$3,'Index Returns'!B22*'SAA with CME'!C$17,IF(TAAPortfolioPerformance!A38&gt;TAAPortfolioPerformance!$B$4,"",'Index Returns'!B22*TAA!C$24))</f>
        <v/>
      </c>
      <c r="C38" s="30" t="str">
        <f>IF(B38&lt;=$B$3,'Index Returns'!C22*'SAA with CME'!D$17,IF(TAAPortfolioPerformance!B38&gt;TAAPortfolioPerformance!$B$4,"",'Index Returns'!C22*TAA!D$24))</f>
        <v/>
      </c>
      <c r="D38" s="30" t="str">
        <f>IF(C38&lt;=$B$3,'Index Returns'!D22*'SAA with CME'!E$17,IF(TAAPortfolioPerformance!C38&gt;TAAPortfolioPerformance!$B$4,"",'Index Returns'!D22*TAA!E$24))</f>
        <v/>
      </c>
      <c r="E38" s="30" t="str">
        <f>IF(D38&lt;=$B$3,'Index Returns'!E22*'SAA with CME'!F$17,IF(TAAPortfolioPerformance!D38&gt;TAAPortfolioPerformance!$B$4,"",'Index Returns'!E22*TAA!F$24))</f>
        <v/>
      </c>
      <c r="F38" s="30" t="str">
        <f>IF(E38&lt;=$B$3,'Index Returns'!F22*'SAA with CME'!G$17,IF(TAAPortfolioPerformance!E38&gt;TAAPortfolioPerformance!$B$4,"",'Index Returns'!F22*TAA!G$24))</f>
        <v/>
      </c>
      <c r="G38" s="30" t="str">
        <f>IF(F38&lt;=$B$3,'Index Returns'!G22*'SAA with CME'!H$17,IF(TAAPortfolioPerformance!F38&gt;TAAPortfolioPerformance!$B$4,"",'Index Returns'!G22*TAA!H$24))</f>
        <v/>
      </c>
      <c r="H38" s="30" t="str">
        <f t="shared" si="2"/>
        <v/>
      </c>
      <c r="I38" s="35" t="str">
        <f t="shared" si="3"/>
        <v/>
      </c>
    </row>
    <row r="39" spans="1:9" ht="18" x14ac:dyDescent="0.35">
      <c r="A39" s="47">
        <v>43769</v>
      </c>
      <c r="B39" s="30" t="str">
        <f>IF(A39&lt;=$B$3,'Index Returns'!B23*'SAA with CME'!C$17,IF(TAAPortfolioPerformance!A39&gt;TAAPortfolioPerformance!$B$4,"",'Index Returns'!B23*TAA!C$24))</f>
        <v/>
      </c>
      <c r="C39" s="30" t="str">
        <f>IF(B39&lt;=$B$3,'Index Returns'!C23*'SAA with CME'!D$17,IF(TAAPortfolioPerformance!B39&gt;TAAPortfolioPerformance!$B$4,"",'Index Returns'!C23*TAA!D$24))</f>
        <v/>
      </c>
      <c r="D39" s="30" t="str">
        <f>IF(C39&lt;=$B$3,'Index Returns'!D23*'SAA with CME'!E$17,IF(TAAPortfolioPerformance!C39&gt;TAAPortfolioPerformance!$B$4,"",'Index Returns'!D23*TAA!E$24))</f>
        <v/>
      </c>
      <c r="E39" s="30" t="str">
        <f>IF(D39&lt;=$B$3,'Index Returns'!E23*'SAA with CME'!F$17,IF(TAAPortfolioPerformance!D39&gt;TAAPortfolioPerformance!$B$4,"",'Index Returns'!E23*TAA!F$24))</f>
        <v/>
      </c>
      <c r="F39" s="30" t="str">
        <f>IF(E39&lt;=$B$3,'Index Returns'!F23*'SAA with CME'!G$17,IF(TAAPortfolioPerformance!E39&gt;TAAPortfolioPerformance!$B$4,"",'Index Returns'!F23*TAA!G$24))</f>
        <v/>
      </c>
      <c r="G39" s="30" t="str">
        <f>IF(F39&lt;=$B$3,'Index Returns'!G23*'SAA with CME'!H$17,IF(TAAPortfolioPerformance!F39&gt;TAAPortfolioPerformance!$B$4,"",'Index Returns'!G23*TAA!H$24))</f>
        <v/>
      </c>
      <c r="H39" s="30" t="str">
        <f t="shared" si="2"/>
        <v/>
      </c>
      <c r="I39" s="35" t="str">
        <f t="shared" si="3"/>
        <v/>
      </c>
    </row>
    <row r="40" spans="1:9" ht="18" x14ac:dyDescent="0.35">
      <c r="A40" s="47">
        <v>43798</v>
      </c>
      <c r="B40" s="30" t="str">
        <f>IF(A40&lt;=$B$3,'Index Returns'!B24*'SAA with CME'!C$17,IF(TAAPortfolioPerformance!A40&gt;TAAPortfolioPerformance!$B$4,"",'Index Returns'!B24*TAA!C$24))</f>
        <v/>
      </c>
      <c r="C40" s="30" t="str">
        <f>IF(B40&lt;=$B$3,'Index Returns'!C24*'SAA with CME'!D$17,IF(TAAPortfolioPerformance!B40&gt;TAAPortfolioPerformance!$B$4,"",'Index Returns'!C24*TAA!D$24))</f>
        <v/>
      </c>
      <c r="D40" s="30" t="str">
        <f>IF(C40&lt;=$B$3,'Index Returns'!D24*'SAA with CME'!E$17,IF(TAAPortfolioPerformance!C40&gt;TAAPortfolioPerformance!$B$4,"",'Index Returns'!D24*TAA!E$24))</f>
        <v/>
      </c>
      <c r="E40" s="30" t="str">
        <f>IF(D40&lt;=$B$3,'Index Returns'!E24*'SAA with CME'!F$17,IF(TAAPortfolioPerformance!D40&gt;TAAPortfolioPerformance!$B$4,"",'Index Returns'!E24*TAA!F$24))</f>
        <v/>
      </c>
      <c r="F40" s="30" t="str">
        <f>IF(E40&lt;=$B$3,'Index Returns'!F24*'SAA with CME'!G$17,IF(TAAPortfolioPerformance!E40&gt;TAAPortfolioPerformance!$B$4,"",'Index Returns'!F24*TAA!G$24))</f>
        <v/>
      </c>
      <c r="G40" s="30" t="str">
        <f>IF(F40&lt;=$B$3,'Index Returns'!G24*'SAA with CME'!H$17,IF(TAAPortfolioPerformance!F40&gt;TAAPortfolioPerformance!$B$4,"",'Index Returns'!G24*TAA!H$24))</f>
        <v/>
      </c>
      <c r="H40" s="30" t="str">
        <f t="shared" si="2"/>
        <v/>
      </c>
      <c r="I40" s="35" t="str">
        <f t="shared" si="3"/>
        <v/>
      </c>
    </row>
    <row r="41" spans="1:9" ht="18" x14ac:dyDescent="0.35">
      <c r="A41" s="47">
        <v>43830</v>
      </c>
      <c r="B41" s="30" t="str">
        <f>IF(A41&lt;=$B$3,'Index Returns'!B25*'SAA with CME'!C$17,IF(TAAPortfolioPerformance!A41&gt;TAAPortfolioPerformance!$B$4,"",'Index Returns'!B25*TAA!C$24))</f>
        <v/>
      </c>
      <c r="C41" s="30" t="str">
        <f>IF(B41&lt;=$B$3,'Index Returns'!C25*'SAA with CME'!D$17,IF(TAAPortfolioPerformance!B41&gt;TAAPortfolioPerformance!$B$4,"",'Index Returns'!C25*TAA!D$24))</f>
        <v/>
      </c>
      <c r="D41" s="30" t="str">
        <f>IF(C41&lt;=$B$3,'Index Returns'!D25*'SAA with CME'!E$17,IF(TAAPortfolioPerformance!C41&gt;TAAPortfolioPerformance!$B$4,"",'Index Returns'!D25*TAA!E$24))</f>
        <v/>
      </c>
      <c r="E41" s="30" t="str">
        <f>IF(D41&lt;=$B$3,'Index Returns'!E25*'SAA with CME'!F$17,IF(TAAPortfolioPerformance!D41&gt;TAAPortfolioPerformance!$B$4,"",'Index Returns'!E25*TAA!F$24))</f>
        <v/>
      </c>
      <c r="F41" s="30" t="str">
        <f>IF(E41&lt;=$B$3,'Index Returns'!F25*'SAA with CME'!G$17,IF(TAAPortfolioPerformance!E41&gt;TAAPortfolioPerformance!$B$4,"",'Index Returns'!F25*TAA!G$24))</f>
        <v/>
      </c>
      <c r="G41" s="30" t="str">
        <f>IF(F41&lt;=$B$3,'Index Returns'!G25*'SAA with CME'!H$17,IF(TAAPortfolioPerformance!F41&gt;TAAPortfolioPerformance!$B$4,"",'Index Returns'!G25*TAA!H$24))</f>
        <v/>
      </c>
      <c r="H41" s="30" t="str">
        <f t="shared" si="2"/>
        <v/>
      </c>
      <c r="I41" s="35" t="str">
        <f t="shared" si="3"/>
        <v/>
      </c>
    </row>
    <row r="42" spans="1:9" ht="18" x14ac:dyDescent="0.35">
      <c r="A42" s="47">
        <v>43861</v>
      </c>
      <c r="B42" s="30" t="str">
        <f>IF(A42&lt;=$B$3,'Index Returns'!B26*'SAA with CME'!C$17,IF(TAAPortfolioPerformance!A42&gt;TAAPortfolioPerformance!$B$4,"",'Index Returns'!B26*TAA!C$24))</f>
        <v/>
      </c>
      <c r="C42" s="30" t="str">
        <f>IF(B42&lt;=$B$3,'Index Returns'!C26*'SAA with CME'!D$17,IF(TAAPortfolioPerformance!B42&gt;TAAPortfolioPerformance!$B$4,"",'Index Returns'!C26*TAA!D$24))</f>
        <v/>
      </c>
      <c r="D42" s="30" t="str">
        <f>IF(C42&lt;=$B$3,'Index Returns'!D26*'SAA with CME'!E$17,IF(TAAPortfolioPerformance!C42&gt;TAAPortfolioPerformance!$B$4,"",'Index Returns'!D26*TAA!E$24))</f>
        <v/>
      </c>
      <c r="E42" s="30" t="str">
        <f>IF(D42&lt;=$B$3,'Index Returns'!E26*'SAA with CME'!F$17,IF(TAAPortfolioPerformance!D42&gt;TAAPortfolioPerformance!$B$4,"",'Index Returns'!E26*TAA!F$24))</f>
        <v/>
      </c>
      <c r="F42" s="30" t="str">
        <f>IF(E42&lt;=$B$3,'Index Returns'!F26*'SAA with CME'!G$17,IF(TAAPortfolioPerformance!E42&gt;TAAPortfolioPerformance!$B$4,"",'Index Returns'!F26*TAA!G$24))</f>
        <v/>
      </c>
      <c r="G42" s="30" t="str">
        <f>IF(F42&lt;=$B$3,'Index Returns'!G26*'SAA with CME'!H$17,IF(TAAPortfolioPerformance!F42&gt;TAAPortfolioPerformance!$B$4,"",'Index Returns'!G26*TAA!H$24))</f>
        <v/>
      </c>
      <c r="H42" s="30" t="str">
        <f t="shared" si="2"/>
        <v/>
      </c>
      <c r="I42" s="35" t="str">
        <f t="shared" si="3"/>
        <v/>
      </c>
    </row>
    <row r="43" spans="1:9" ht="18" x14ac:dyDescent="0.35">
      <c r="A43" s="47">
        <v>43889</v>
      </c>
      <c r="B43" s="30" t="str">
        <f>IF(A43&lt;=$B$3,'Index Returns'!B27*'SAA with CME'!C$17,IF(TAAPortfolioPerformance!A43&gt;TAAPortfolioPerformance!$B$4,"",'Index Returns'!B27*TAA!C$24))</f>
        <v/>
      </c>
      <c r="C43" s="30" t="str">
        <f>IF(B43&lt;=$B$3,'Index Returns'!C27*'SAA with CME'!D$17,IF(TAAPortfolioPerformance!B43&gt;TAAPortfolioPerformance!$B$4,"",'Index Returns'!C27*TAA!D$24))</f>
        <v/>
      </c>
      <c r="D43" s="30" t="str">
        <f>IF(C43&lt;=$B$3,'Index Returns'!D27*'SAA with CME'!E$17,IF(TAAPortfolioPerformance!C43&gt;TAAPortfolioPerformance!$B$4,"",'Index Returns'!D27*TAA!E$24))</f>
        <v/>
      </c>
      <c r="E43" s="30" t="str">
        <f>IF(D43&lt;=$B$3,'Index Returns'!E27*'SAA with CME'!F$17,IF(TAAPortfolioPerformance!D43&gt;TAAPortfolioPerformance!$B$4,"",'Index Returns'!E27*TAA!F$24))</f>
        <v/>
      </c>
      <c r="F43" s="30" t="str">
        <f>IF(E43&lt;=$B$3,'Index Returns'!F27*'SAA with CME'!G$17,IF(TAAPortfolioPerformance!E43&gt;TAAPortfolioPerformance!$B$4,"",'Index Returns'!F27*TAA!G$24))</f>
        <v/>
      </c>
      <c r="G43" s="30" t="str">
        <f>IF(F43&lt;=$B$3,'Index Returns'!G27*'SAA with CME'!H$17,IF(TAAPortfolioPerformance!F43&gt;TAAPortfolioPerformance!$B$4,"",'Index Returns'!G27*TAA!H$24))</f>
        <v/>
      </c>
      <c r="H43" s="30" t="str">
        <f t="shared" si="2"/>
        <v/>
      </c>
      <c r="I43" s="35" t="str">
        <f t="shared" si="3"/>
        <v/>
      </c>
    </row>
    <row r="44" spans="1:9" ht="18" x14ac:dyDescent="0.35">
      <c r="A44" s="47">
        <v>43921</v>
      </c>
      <c r="B44" s="30" t="str">
        <f>IF(A44&lt;=$B$3,'Index Returns'!B28*'SAA with CME'!C$17,IF(TAAPortfolioPerformance!A44&gt;TAAPortfolioPerformance!$B$4,"",'Index Returns'!B28*TAA!C$24))</f>
        <v/>
      </c>
      <c r="C44" s="30" t="str">
        <f>IF(B44&lt;=$B$3,'Index Returns'!C28*'SAA with CME'!D$17,IF(TAAPortfolioPerformance!B44&gt;TAAPortfolioPerformance!$B$4,"",'Index Returns'!C28*TAA!D$24))</f>
        <v/>
      </c>
      <c r="D44" s="30" t="str">
        <f>IF(C44&lt;=$B$3,'Index Returns'!D28*'SAA with CME'!E$17,IF(TAAPortfolioPerformance!C44&gt;TAAPortfolioPerformance!$B$4,"",'Index Returns'!D28*TAA!E$24))</f>
        <v/>
      </c>
      <c r="E44" s="30" t="str">
        <f>IF(D44&lt;=$B$3,'Index Returns'!E28*'SAA with CME'!F$17,IF(TAAPortfolioPerformance!D44&gt;TAAPortfolioPerformance!$B$4,"",'Index Returns'!E28*TAA!F$24))</f>
        <v/>
      </c>
      <c r="F44" s="30" t="str">
        <f>IF(E44&lt;=$B$3,'Index Returns'!F28*'SAA with CME'!G$17,IF(TAAPortfolioPerformance!E44&gt;TAAPortfolioPerformance!$B$4,"",'Index Returns'!F28*TAA!G$24))</f>
        <v/>
      </c>
      <c r="G44" s="30" t="str">
        <f>IF(F44&lt;=$B$3,'Index Returns'!G28*'SAA with CME'!H$17,IF(TAAPortfolioPerformance!F44&gt;TAAPortfolioPerformance!$B$4,"",'Index Returns'!G28*TAA!H$24))</f>
        <v/>
      </c>
      <c r="H44" s="30" t="str">
        <f t="shared" si="2"/>
        <v/>
      </c>
      <c r="I44" s="35" t="str">
        <f t="shared" si="3"/>
        <v/>
      </c>
    </row>
    <row r="45" spans="1:9" ht="18" x14ac:dyDescent="0.35">
      <c r="A45" s="47">
        <v>43951</v>
      </c>
      <c r="B45" s="30" t="str">
        <f>IF(A45&lt;=$B$3,'Index Returns'!B29*'SAA with CME'!C$17,IF(TAAPortfolioPerformance!A45&gt;TAAPortfolioPerformance!$B$4,"",'Index Returns'!B29*TAA!C$24))</f>
        <v/>
      </c>
      <c r="C45" s="30" t="str">
        <f>IF(B45&lt;=$B$3,'Index Returns'!C29*'SAA with CME'!D$17,IF(TAAPortfolioPerformance!B45&gt;TAAPortfolioPerformance!$B$4,"",'Index Returns'!C29*TAA!D$24))</f>
        <v/>
      </c>
      <c r="D45" s="30" t="str">
        <f>IF(C45&lt;=$B$3,'Index Returns'!D29*'SAA with CME'!E$17,IF(TAAPortfolioPerformance!C45&gt;TAAPortfolioPerformance!$B$4,"",'Index Returns'!D29*TAA!E$24))</f>
        <v/>
      </c>
      <c r="E45" s="30" t="str">
        <f>IF(D45&lt;=$B$3,'Index Returns'!E29*'SAA with CME'!F$17,IF(TAAPortfolioPerformance!D45&gt;TAAPortfolioPerformance!$B$4,"",'Index Returns'!E29*TAA!F$24))</f>
        <v/>
      </c>
      <c r="F45" s="30" t="str">
        <f>IF(E45&lt;=$B$3,'Index Returns'!F29*'SAA with CME'!G$17,IF(TAAPortfolioPerformance!E45&gt;TAAPortfolioPerformance!$B$4,"",'Index Returns'!F29*TAA!G$24))</f>
        <v/>
      </c>
      <c r="G45" s="30" t="str">
        <f>IF(F45&lt;=$B$3,'Index Returns'!G29*'SAA with CME'!H$17,IF(TAAPortfolioPerformance!F45&gt;TAAPortfolioPerformance!$B$4,"",'Index Returns'!G29*TAA!H$24))</f>
        <v/>
      </c>
      <c r="H45" s="30" t="str">
        <f t="shared" si="2"/>
        <v/>
      </c>
      <c r="I45" s="35" t="str">
        <f t="shared" si="3"/>
        <v/>
      </c>
    </row>
    <row r="46" spans="1:9" ht="18" x14ac:dyDescent="0.35">
      <c r="A46" s="47">
        <v>43980</v>
      </c>
      <c r="B46" s="30" t="str">
        <f>IF(A46&lt;=$B$3,'Index Returns'!B30*'SAA with CME'!C$17,IF(TAAPortfolioPerformance!A46&gt;TAAPortfolioPerformance!$B$4,"",'Index Returns'!B30*TAA!C$24))</f>
        <v/>
      </c>
      <c r="C46" s="30" t="str">
        <f>IF(B46&lt;=$B$3,'Index Returns'!C30*'SAA with CME'!D$17,IF(TAAPortfolioPerformance!B46&gt;TAAPortfolioPerformance!$B$4,"",'Index Returns'!C30*TAA!D$24))</f>
        <v/>
      </c>
      <c r="D46" s="30" t="str">
        <f>IF(C46&lt;=$B$3,'Index Returns'!D30*'SAA with CME'!E$17,IF(TAAPortfolioPerformance!C46&gt;TAAPortfolioPerformance!$B$4,"",'Index Returns'!D30*TAA!E$24))</f>
        <v/>
      </c>
      <c r="E46" s="30" t="str">
        <f>IF(D46&lt;=$B$3,'Index Returns'!E30*'SAA with CME'!F$17,IF(TAAPortfolioPerformance!D46&gt;TAAPortfolioPerformance!$B$4,"",'Index Returns'!E30*TAA!F$24))</f>
        <v/>
      </c>
      <c r="F46" s="30" t="str">
        <f>IF(E46&lt;=$B$3,'Index Returns'!F30*'SAA with CME'!G$17,IF(TAAPortfolioPerformance!E46&gt;TAAPortfolioPerformance!$B$4,"",'Index Returns'!F30*TAA!G$24))</f>
        <v/>
      </c>
      <c r="G46" s="30" t="str">
        <f>IF(F46&lt;=$B$3,'Index Returns'!G30*'SAA with CME'!H$17,IF(TAAPortfolioPerformance!F46&gt;TAAPortfolioPerformance!$B$4,"",'Index Returns'!G30*TAA!H$24))</f>
        <v/>
      </c>
      <c r="H46" s="30" t="str">
        <f t="shared" si="2"/>
        <v/>
      </c>
      <c r="I46" s="35" t="str">
        <f t="shared" si="3"/>
        <v/>
      </c>
    </row>
    <row r="47" spans="1:9" ht="18" x14ac:dyDescent="0.35">
      <c r="A47" s="47">
        <v>44012</v>
      </c>
      <c r="B47" s="30" t="str">
        <f>IF(A47&lt;=$B$3,'Index Returns'!B31*'SAA with CME'!C$17,IF(TAAPortfolioPerformance!A47&gt;TAAPortfolioPerformance!$B$4,"",'Index Returns'!B31*TAA!C$24))</f>
        <v/>
      </c>
      <c r="C47" s="30" t="str">
        <f>IF(B47&lt;=$B$3,'Index Returns'!C31*'SAA with CME'!D$17,IF(TAAPortfolioPerformance!B47&gt;TAAPortfolioPerformance!$B$4,"",'Index Returns'!C31*TAA!D$24))</f>
        <v/>
      </c>
      <c r="D47" s="30" t="str">
        <f>IF(C47&lt;=$B$3,'Index Returns'!D31*'SAA with CME'!E$17,IF(TAAPortfolioPerformance!C47&gt;TAAPortfolioPerformance!$B$4,"",'Index Returns'!D31*TAA!E$24))</f>
        <v/>
      </c>
      <c r="E47" s="30" t="str">
        <f>IF(D47&lt;=$B$3,'Index Returns'!E31*'SAA with CME'!F$17,IF(TAAPortfolioPerformance!D47&gt;TAAPortfolioPerformance!$B$4,"",'Index Returns'!E31*TAA!F$24))</f>
        <v/>
      </c>
      <c r="F47" s="30" t="str">
        <f>IF(E47&lt;=$B$3,'Index Returns'!F31*'SAA with CME'!G$17,IF(TAAPortfolioPerformance!E47&gt;TAAPortfolioPerformance!$B$4,"",'Index Returns'!F31*TAA!G$24))</f>
        <v/>
      </c>
      <c r="G47" s="30" t="str">
        <f>IF(F47&lt;=$B$3,'Index Returns'!G31*'SAA with CME'!H$17,IF(TAAPortfolioPerformance!F47&gt;TAAPortfolioPerformance!$B$4,"",'Index Returns'!G31*TAA!H$24))</f>
        <v/>
      </c>
      <c r="H47" s="30" t="str">
        <f t="shared" si="2"/>
        <v/>
      </c>
      <c r="I47" s="35" t="str">
        <f t="shared" si="3"/>
        <v/>
      </c>
    </row>
    <row r="48" spans="1:9" ht="18" x14ac:dyDescent="0.35">
      <c r="A48" s="47">
        <v>44043</v>
      </c>
      <c r="B48" s="30" t="str">
        <f>IF(A48&lt;=$B$3,'Index Returns'!B32*'SAA with CME'!C$17,IF(TAAPortfolioPerformance!A48&gt;TAAPortfolioPerformance!$B$4,"",'Index Returns'!B32*TAA!C$24))</f>
        <v/>
      </c>
      <c r="C48" s="30" t="str">
        <f>IF(B48&lt;=$B$3,'Index Returns'!C32*'SAA with CME'!D$17,IF(TAAPortfolioPerformance!B48&gt;TAAPortfolioPerformance!$B$4,"",'Index Returns'!C32*TAA!D$24))</f>
        <v/>
      </c>
      <c r="D48" s="30" t="str">
        <f>IF(C48&lt;=$B$3,'Index Returns'!D32*'SAA with CME'!E$17,IF(TAAPortfolioPerformance!C48&gt;TAAPortfolioPerformance!$B$4,"",'Index Returns'!D32*TAA!E$24))</f>
        <v/>
      </c>
      <c r="E48" s="30" t="str">
        <f>IF(D48&lt;=$B$3,'Index Returns'!E32*'SAA with CME'!F$17,IF(TAAPortfolioPerformance!D48&gt;TAAPortfolioPerformance!$B$4,"",'Index Returns'!E32*TAA!F$24))</f>
        <v/>
      </c>
      <c r="F48" s="30" t="str">
        <f>IF(E48&lt;=$B$3,'Index Returns'!F32*'SAA with CME'!G$17,IF(TAAPortfolioPerformance!E48&gt;TAAPortfolioPerformance!$B$4,"",'Index Returns'!F32*TAA!G$24))</f>
        <v/>
      </c>
      <c r="G48" s="30" t="str">
        <f>IF(F48&lt;=$B$3,'Index Returns'!G32*'SAA with CME'!H$17,IF(TAAPortfolioPerformance!F48&gt;TAAPortfolioPerformance!$B$4,"",'Index Returns'!G32*TAA!H$24))</f>
        <v/>
      </c>
      <c r="H48" s="30" t="str">
        <f t="shared" si="2"/>
        <v/>
      </c>
      <c r="I48" s="35" t="str">
        <f t="shared" si="3"/>
        <v/>
      </c>
    </row>
    <row r="49" spans="1:9" ht="18" x14ac:dyDescent="0.35">
      <c r="A49" s="47">
        <v>44074</v>
      </c>
      <c r="B49" s="30" t="str">
        <f>IF(A49&lt;=$B$3,'Index Returns'!B33*'SAA with CME'!C$17,IF(TAAPortfolioPerformance!A49&gt;TAAPortfolioPerformance!$B$4,"",'Index Returns'!B33*TAA!C$24))</f>
        <v/>
      </c>
      <c r="C49" s="30" t="str">
        <f>IF(B49&lt;=$B$3,'Index Returns'!C33*'SAA with CME'!D$17,IF(TAAPortfolioPerformance!B49&gt;TAAPortfolioPerformance!$B$4,"",'Index Returns'!C33*TAA!D$24))</f>
        <v/>
      </c>
      <c r="D49" s="30" t="str">
        <f>IF(C49&lt;=$B$3,'Index Returns'!D33*'SAA with CME'!E$17,IF(TAAPortfolioPerformance!C49&gt;TAAPortfolioPerformance!$B$4,"",'Index Returns'!D33*TAA!E$24))</f>
        <v/>
      </c>
      <c r="E49" s="30" t="str">
        <f>IF(D49&lt;=$B$3,'Index Returns'!E33*'SAA with CME'!F$17,IF(TAAPortfolioPerformance!D49&gt;TAAPortfolioPerformance!$B$4,"",'Index Returns'!E33*TAA!F$24))</f>
        <v/>
      </c>
      <c r="F49" s="30" t="str">
        <f>IF(E49&lt;=$B$3,'Index Returns'!F33*'SAA with CME'!G$17,IF(TAAPortfolioPerformance!E49&gt;TAAPortfolioPerformance!$B$4,"",'Index Returns'!F33*TAA!G$24))</f>
        <v/>
      </c>
      <c r="G49" s="30" t="str">
        <f>IF(F49&lt;=$B$3,'Index Returns'!G33*'SAA with CME'!H$17,IF(TAAPortfolioPerformance!F49&gt;TAAPortfolioPerformance!$B$4,"",'Index Returns'!G33*TAA!H$24))</f>
        <v/>
      </c>
      <c r="H49" s="30" t="str">
        <f t="shared" si="2"/>
        <v/>
      </c>
      <c r="I49" s="35" t="str">
        <f t="shared" si="3"/>
        <v/>
      </c>
    </row>
    <row r="50" spans="1:9" ht="18" x14ac:dyDescent="0.35">
      <c r="A50" s="47">
        <v>44104</v>
      </c>
      <c r="B50" s="30" t="str">
        <f>IF(A50&lt;=$B$3,'Index Returns'!B34*'SAA with CME'!C$17,IF(TAAPortfolioPerformance!A50&gt;TAAPortfolioPerformance!$B$4,"",'Index Returns'!B34*TAA!C$24))</f>
        <v/>
      </c>
      <c r="C50" s="30" t="str">
        <f>IF(B50&lt;=$B$3,'Index Returns'!C34*'SAA with CME'!D$17,IF(TAAPortfolioPerformance!B50&gt;TAAPortfolioPerformance!$B$4,"",'Index Returns'!C34*TAA!D$24))</f>
        <v/>
      </c>
      <c r="D50" s="30" t="str">
        <f>IF(C50&lt;=$B$3,'Index Returns'!D34*'SAA with CME'!E$17,IF(TAAPortfolioPerformance!C50&gt;TAAPortfolioPerformance!$B$4,"",'Index Returns'!D34*TAA!E$24))</f>
        <v/>
      </c>
      <c r="E50" s="30" t="str">
        <f>IF(D50&lt;=$B$3,'Index Returns'!E34*'SAA with CME'!F$17,IF(TAAPortfolioPerformance!D50&gt;TAAPortfolioPerformance!$B$4,"",'Index Returns'!E34*TAA!F$24))</f>
        <v/>
      </c>
      <c r="F50" s="30" t="str">
        <f>IF(E50&lt;=$B$3,'Index Returns'!F34*'SAA with CME'!G$17,IF(TAAPortfolioPerformance!E50&gt;TAAPortfolioPerformance!$B$4,"",'Index Returns'!F34*TAA!G$24))</f>
        <v/>
      </c>
      <c r="G50" s="30" t="str">
        <f>IF(F50&lt;=$B$3,'Index Returns'!G34*'SAA with CME'!H$17,IF(TAAPortfolioPerformance!F50&gt;TAAPortfolioPerformance!$B$4,"",'Index Returns'!G34*TAA!H$24))</f>
        <v/>
      </c>
      <c r="H50" s="30" t="str">
        <f t="shared" si="2"/>
        <v/>
      </c>
      <c r="I50" s="35" t="str">
        <f t="shared" si="3"/>
        <v/>
      </c>
    </row>
    <row r="51" spans="1:9" ht="18" x14ac:dyDescent="0.35">
      <c r="A51" s="47">
        <v>44134</v>
      </c>
      <c r="B51" s="30" t="str">
        <f>IF(A51&lt;=$B$3,'Index Returns'!B35*'SAA with CME'!C$17,IF(TAAPortfolioPerformance!A51&gt;TAAPortfolioPerformance!$B$4,"",'Index Returns'!B35*TAA!C$24))</f>
        <v/>
      </c>
      <c r="C51" s="30" t="str">
        <f>IF(B51&lt;=$B$3,'Index Returns'!C35*'SAA with CME'!D$17,IF(TAAPortfolioPerformance!B51&gt;TAAPortfolioPerformance!$B$4,"",'Index Returns'!C35*TAA!D$24))</f>
        <v/>
      </c>
      <c r="D51" s="30" t="str">
        <f>IF(C51&lt;=$B$3,'Index Returns'!D35*'SAA with CME'!E$17,IF(TAAPortfolioPerformance!C51&gt;TAAPortfolioPerformance!$B$4,"",'Index Returns'!D35*TAA!E$24))</f>
        <v/>
      </c>
      <c r="E51" s="30" t="str">
        <f>IF(D51&lt;=$B$3,'Index Returns'!E35*'SAA with CME'!F$17,IF(TAAPortfolioPerformance!D51&gt;TAAPortfolioPerformance!$B$4,"",'Index Returns'!E35*TAA!F$24))</f>
        <v/>
      </c>
      <c r="F51" s="30" t="str">
        <f>IF(E51&lt;=$B$3,'Index Returns'!F35*'SAA with CME'!G$17,IF(TAAPortfolioPerformance!E51&gt;TAAPortfolioPerformance!$B$4,"",'Index Returns'!F35*TAA!G$24))</f>
        <v/>
      </c>
      <c r="G51" s="30" t="str">
        <f>IF(F51&lt;=$B$3,'Index Returns'!G35*'SAA with CME'!H$17,IF(TAAPortfolioPerformance!F51&gt;TAAPortfolioPerformance!$B$4,"",'Index Returns'!G35*TAA!H$24))</f>
        <v/>
      </c>
      <c r="H51" s="30" t="str">
        <f t="shared" si="2"/>
        <v/>
      </c>
      <c r="I51" s="35" t="str">
        <f t="shared" si="3"/>
        <v/>
      </c>
    </row>
    <row r="52" spans="1:9" ht="18" x14ac:dyDescent="0.35">
      <c r="A52" s="47">
        <v>44165</v>
      </c>
      <c r="B52" s="30" t="str">
        <f>IF(A52&lt;=$B$3,'Index Returns'!B36*'SAA with CME'!C$17,IF(TAAPortfolioPerformance!A52&gt;TAAPortfolioPerformance!$B$4,"",'Index Returns'!B36*TAA!C$24))</f>
        <v/>
      </c>
      <c r="C52" s="30" t="str">
        <f>IF(B52&lt;=$B$3,'Index Returns'!C36*'SAA with CME'!D$17,IF(TAAPortfolioPerformance!B52&gt;TAAPortfolioPerformance!$B$4,"",'Index Returns'!C36*TAA!D$24))</f>
        <v/>
      </c>
      <c r="D52" s="30" t="str">
        <f>IF(C52&lt;=$B$3,'Index Returns'!D36*'SAA with CME'!E$17,IF(TAAPortfolioPerformance!C52&gt;TAAPortfolioPerformance!$B$4,"",'Index Returns'!D36*TAA!E$24))</f>
        <v/>
      </c>
      <c r="E52" s="30" t="str">
        <f>IF(D52&lt;=$B$3,'Index Returns'!E36*'SAA with CME'!F$17,IF(TAAPortfolioPerformance!D52&gt;TAAPortfolioPerformance!$B$4,"",'Index Returns'!E36*TAA!F$24))</f>
        <v/>
      </c>
      <c r="F52" s="30" t="str">
        <f>IF(E52&lt;=$B$3,'Index Returns'!F36*'SAA with CME'!G$17,IF(TAAPortfolioPerformance!E52&gt;TAAPortfolioPerformance!$B$4,"",'Index Returns'!F36*TAA!G$24))</f>
        <v/>
      </c>
      <c r="G52" s="30" t="str">
        <f>IF(F52&lt;=$B$3,'Index Returns'!G36*'SAA with CME'!H$17,IF(TAAPortfolioPerformance!F52&gt;TAAPortfolioPerformance!$B$4,"",'Index Returns'!G36*TAA!H$24))</f>
        <v/>
      </c>
      <c r="H52" s="30" t="str">
        <f t="shared" si="2"/>
        <v/>
      </c>
      <c r="I52" s="35" t="str">
        <f t="shared" si="3"/>
        <v/>
      </c>
    </row>
    <row r="53" spans="1:9" ht="18" x14ac:dyDescent="0.35">
      <c r="A53" s="47">
        <v>44196</v>
      </c>
      <c r="B53" s="30" t="str">
        <f>IF(A53&lt;=$B$3,'Index Returns'!B37*'SAA with CME'!C$17,IF(TAAPortfolioPerformance!A53&gt;TAAPortfolioPerformance!$B$4,"",'Index Returns'!B37*TAA!C$24))</f>
        <v/>
      </c>
      <c r="C53" s="30" t="str">
        <f>IF(B53&lt;=$B$3,'Index Returns'!C37*'SAA with CME'!D$17,IF(TAAPortfolioPerformance!B53&gt;TAAPortfolioPerformance!$B$4,"",'Index Returns'!C37*TAA!D$24))</f>
        <v/>
      </c>
      <c r="D53" s="30" t="str">
        <f>IF(C53&lt;=$B$3,'Index Returns'!D37*'SAA with CME'!E$17,IF(TAAPortfolioPerformance!C53&gt;TAAPortfolioPerformance!$B$4,"",'Index Returns'!D37*TAA!E$24))</f>
        <v/>
      </c>
      <c r="E53" s="30" t="str">
        <f>IF(D53&lt;=$B$3,'Index Returns'!E37*'SAA with CME'!F$17,IF(TAAPortfolioPerformance!D53&gt;TAAPortfolioPerformance!$B$4,"",'Index Returns'!E37*TAA!F$24))</f>
        <v/>
      </c>
      <c r="F53" s="30" t="str">
        <f>IF(E53&lt;=$B$3,'Index Returns'!F37*'SAA with CME'!G$17,IF(TAAPortfolioPerformance!E53&gt;TAAPortfolioPerformance!$B$4,"",'Index Returns'!F37*TAA!G$24))</f>
        <v/>
      </c>
      <c r="G53" s="30" t="str">
        <f>IF(F53&lt;=$B$3,'Index Returns'!G37*'SAA with CME'!H$17,IF(TAAPortfolioPerformance!F53&gt;TAAPortfolioPerformance!$B$4,"",'Index Returns'!G37*TAA!H$24))</f>
        <v/>
      </c>
      <c r="H53" s="30" t="str">
        <f t="shared" si="2"/>
        <v/>
      </c>
      <c r="I53" s="35" t="str">
        <f t="shared" si="3"/>
        <v/>
      </c>
    </row>
    <row r="54" spans="1:9" ht="18" x14ac:dyDescent="0.35">
      <c r="A54" s="47">
        <v>44225</v>
      </c>
      <c r="B54" s="30" t="str">
        <f>IF(A54&lt;=$B$3,'Index Returns'!B38*'SAA with CME'!C$17,IF(TAAPortfolioPerformance!A54&gt;TAAPortfolioPerformance!$B$4,"",'Index Returns'!B38*TAA!C$24))</f>
        <v/>
      </c>
      <c r="C54" s="30" t="str">
        <f>IF(B54&lt;=$B$3,'Index Returns'!C38*'SAA with CME'!D$17,IF(TAAPortfolioPerformance!B54&gt;TAAPortfolioPerformance!$B$4,"",'Index Returns'!C38*TAA!D$24))</f>
        <v/>
      </c>
      <c r="D54" s="30" t="str">
        <f>IF(C54&lt;=$B$3,'Index Returns'!D38*'SAA with CME'!E$17,IF(TAAPortfolioPerformance!C54&gt;TAAPortfolioPerformance!$B$4,"",'Index Returns'!D38*TAA!E$24))</f>
        <v/>
      </c>
      <c r="E54" s="30" t="str">
        <f>IF(D54&lt;=$B$3,'Index Returns'!E38*'SAA with CME'!F$17,IF(TAAPortfolioPerformance!D54&gt;TAAPortfolioPerformance!$B$4,"",'Index Returns'!E38*TAA!F$24))</f>
        <v/>
      </c>
      <c r="F54" s="30" t="str">
        <f>IF(E54&lt;=$B$3,'Index Returns'!F38*'SAA with CME'!G$17,IF(TAAPortfolioPerformance!E54&gt;TAAPortfolioPerformance!$B$4,"",'Index Returns'!F38*TAA!G$24))</f>
        <v/>
      </c>
      <c r="G54" s="30" t="str">
        <f>IF(F54&lt;=$B$3,'Index Returns'!G38*'SAA with CME'!H$17,IF(TAAPortfolioPerformance!F54&gt;TAAPortfolioPerformance!$B$4,"",'Index Returns'!G38*TAA!H$24))</f>
        <v/>
      </c>
      <c r="H54" s="30" t="str">
        <f t="shared" si="2"/>
        <v/>
      </c>
      <c r="I54" s="35" t="str">
        <f t="shared" si="3"/>
        <v/>
      </c>
    </row>
    <row r="55" spans="1:9" ht="18" x14ac:dyDescent="0.35">
      <c r="A55" s="47">
        <v>44253</v>
      </c>
      <c r="B55" s="30" t="str">
        <f>IF(A55&lt;=$B$3,'Index Returns'!B39*'SAA with CME'!C$17,IF(TAAPortfolioPerformance!A55&gt;TAAPortfolioPerformance!$B$4,"",'Index Returns'!B39*TAA!C$24))</f>
        <v/>
      </c>
      <c r="C55" s="30" t="str">
        <f>IF(B55&lt;=$B$3,'Index Returns'!C39*'SAA with CME'!D$17,IF(TAAPortfolioPerformance!B55&gt;TAAPortfolioPerformance!$B$4,"",'Index Returns'!C39*TAA!D$24))</f>
        <v/>
      </c>
      <c r="D55" s="30" t="str">
        <f>IF(C55&lt;=$B$3,'Index Returns'!D39*'SAA with CME'!E$17,IF(TAAPortfolioPerformance!C55&gt;TAAPortfolioPerformance!$B$4,"",'Index Returns'!D39*TAA!E$24))</f>
        <v/>
      </c>
      <c r="E55" s="30" t="str">
        <f>IF(D55&lt;=$B$3,'Index Returns'!E39*'SAA with CME'!F$17,IF(TAAPortfolioPerformance!D55&gt;TAAPortfolioPerformance!$B$4,"",'Index Returns'!E39*TAA!F$24))</f>
        <v/>
      </c>
      <c r="F55" s="30" t="str">
        <f>IF(E55&lt;=$B$3,'Index Returns'!F39*'SAA with CME'!G$17,IF(TAAPortfolioPerformance!E55&gt;TAAPortfolioPerformance!$B$4,"",'Index Returns'!F39*TAA!G$24))</f>
        <v/>
      </c>
      <c r="G55" s="30" t="str">
        <f>IF(F55&lt;=$B$3,'Index Returns'!G39*'SAA with CME'!H$17,IF(TAAPortfolioPerformance!F55&gt;TAAPortfolioPerformance!$B$4,"",'Index Returns'!G39*TAA!H$24))</f>
        <v/>
      </c>
      <c r="H55" s="30" t="str">
        <f t="shared" si="2"/>
        <v/>
      </c>
      <c r="I55" s="35" t="str">
        <f t="shared" si="3"/>
        <v/>
      </c>
    </row>
    <row r="56" spans="1:9" ht="18" x14ac:dyDescent="0.35">
      <c r="A56" s="47">
        <v>44286</v>
      </c>
      <c r="B56" s="30" t="str">
        <f>IF(A56&lt;=$B$3,'Index Returns'!B40*'SAA with CME'!C$17,IF(TAAPortfolioPerformance!A56&gt;TAAPortfolioPerformance!$B$4,"",'Index Returns'!B40*TAA!C$24))</f>
        <v/>
      </c>
      <c r="C56" s="30" t="str">
        <f>IF(B56&lt;=$B$3,'Index Returns'!C40*'SAA with CME'!D$17,IF(TAAPortfolioPerformance!B56&gt;TAAPortfolioPerformance!$B$4,"",'Index Returns'!C40*TAA!D$24))</f>
        <v/>
      </c>
      <c r="D56" s="30" t="str">
        <f>IF(C56&lt;=$B$3,'Index Returns'!D40*'SAA with CME'!E$17,IF(TAAPortfolioPerformance!C56&gt;TAAPortfolioPerformance!$B$4,"",'Index Returns'!D40*TAA!E$24))</f>
        <v/>
      </c>
      <c r="E56" s="30" t="str">
        <f>IF(D56&lt;=$B$3,'Index Returns'!E40*'SAA with CME'!F$17,IF(TAAPortfolioPerformance!D56&gt;TAAPortfolioPerformance!$B$4,"",'Index Returns'!E40*TAA!F$24))</f>
        <v/>
      </c>
      <c r="F56" s="30" t="str">
        <f>IF(E56&lt;=$B$3,'Index Returns'!F40*'SAA with CME'!G$17,IF(TAAPortfolioPerformance!E56&gt;TAAPortfolioPerformance!$B$4,"",'Index Returns'!F40*TAA!G$24))</f>
        <v/>
      </c>
      <c r="G56" s="30" t="str">
        <f>IF(F56&lt;=$B$3,'Index Returns'!G40*'SAA with CME'!H$17,IF(TAAPortfolioPerformance!F56&gt;TAAPortfolioPerformance!$B$4,"",'Index Returns'!G40*TAA!H$24))</f>
        <v/>
      </c>
      <c r="H56" s="30" t="str">
        <f t="shared" si="2"/>
        <v/>
      </c>
      <c r="I56" s="35" t="str">
        <f t="shared" si="3"/>
        <v/>
      </c>
    </row>
    <row r="57" spans="1:9" ht="18" x14ac:dyDescent="0.35">
      <c r="A57" s="47">
        <v>44316</v>
      </c>
      <c r="B57" s="30" t="str">
        <f>IF(A57&lt;=$B$3,'Index Returns'!B41*'SAA with CME'!C$17,IF(TAAPortfolioPerformance!A57&gt;TAAPortfolioPerformance!$B$4,"",'Index Returns'!B41*TAA!C$24))</f>
        <v/>
      </c>
      <c r="C57" s="30" t="str">
        <f>IF(B57&lt;=$B$3,'Index Returns'!C41*'SAA with CME'!D$17,IF(TAAPortfolioPerformance!B57&gt;TAAPortfolioPerformance!$B$4,"",'Index Returns'!C41*TAA!D$24))</f>
        <v/>
      </c>
      <c r="D57" s="30" t="str">
        <f>IF(C57&lt;=$B$3,'Index Returns'!D41*'SAA with CME'!E$17,IF(TAAPortfolioPerformance!C57&gt;TAAPortfolioPerformance!$B$4,"",'Index Returns'!D41*TAA!E$24))</f>
        <v/>
      </c>
      <c r="E57" s="30" t="str">
        <f>IF(D57&lt;=$B$3,'Index Returns'!E41*'SAA with CME'!F$17,IF(TAAPortfolioPerformance!D57&gt;TAAPortfolioPerformance!$B$4,"",'Index Returns'!E41*TAA!F$24))</f>
        <v/>
      </c>
      <c r="F57" s="30" t="str">
        <f>IF(E57&lt;=$B$3,'Index Returns'!F41*'SAA with CME'!G$17,IF(TAAPortfolioPerformance!E57&gt;TAAPortfolioPerformance!$B$4,"",'Index Returns'!F41*TAA!G$24))</f>
        <v/>
      </c>
      <c r="G57" s="30" t="str">
        <f>IF(F57&lt;=$B$3,'Index Returns'!G41*'SAA with CME'!H$17,IF(TAAPortfolioPerformance!F57&gt;TAAPortfolioPerformance!$B$4,"",'Index Returns'!G41*TAA!H$24))</f>
        <v/>
      </c>
      <c r="H57" s="30" t="str">
        <f t="shared" si="2"/>
        <v/>
      </c>
      <c r="I57" s="35" t="str">
        <f t="shared" si="3"/>
        <v/>
      </c>
    </row>
    <row r="58" spans="1:9" ht="18" x14ac:dyDescent="0.35">
      <c r="A58" s="47">
        <v>44347</v>
      </c>
      <c r="B58" s="30" t="str">
        <f>IF(A58&lt;=$B$3,'Index Returns'!B42*'SAA with CME'!C$17,IF(TAAPortfolioPerformance!A58&gt;TAAPortfolioPerformance!$B$4,"",'Index Returns'!B42*TAA!C$24))</f>
        <v/>
      </c>
      <c r="C58" s="30" t="str">
        <f>IF(B58&lt;=$B$3,'Index Returns'!C42*'SAA with CME'!D$17,IF(TAAPortfolioPerformance!B58&gt;TAAPortfolioPerformance!$B$4,"",'Index Returns'!C42*TAA!D$24))</f>
        <v/>
      </c>
      <c r="D58" s="30" t="str">
        <f>IF(C58&lt;=$B$3,'Index Returns'!D42*'SAA with CME'!E$17,IF(TAAPortfolioPerformance!C58&gt;TAAPortfolioPerformance!$B$4,"",'Index Returns'!D42*TAA!E$24))</f>
        <v/>
      </c>
      <c r="E58" s="30" t="str">
        <f>IF(D58&lt;=$B$3,'Index Returns'!E42*'SAA with CME'!F$17,IF(TAAPortfolioPerformance!D58&gt;TAAPortfolioPerformance!$B$4,"",'Index Returns'!E42*TAA!F$24))</f>
        <v/>
      </c>
      <c r="F58" s="30" t="str">
        <f>IF(E58&lt;=$B$3,'Index Returns'!F42*'SAA with CME'!G$17,IF(TAAPortfolioPerformance!E58&gt;TAAPortfolioPerformance!$B$4,"",'Index Returns'!F42*TAA!G$24))</f>
        <v/>
      </c>
      <c r="G58" s="30" t="str">
        <f>IF(F58&lt;=$B$3,'Index Returns'!G42*'SAA with CME'!H$17,IF(TAAPortfolioPerformance!F58&gt;TAAPortfolioPerformance!$B$4,"",'Index Returns'!G42*TAA!H$24))</f>
        <v/>
      </c>
      <c r="H58" s="30" t="str">
        <f t="shared" si="2"/>
        <v/>
      </c>
      <c r="I58" s="35" t="str">
        <f t="shared" si="3"/>
        <v/>
      </c>
    </row>
    <row r="59" spans="1:9" ht="18" x14ac:dyDescent="0.35">
      <c r="A59" s="47">
        <v>44377</v>
      </c>
      <c r="B59" s="30" t="str">
        <f>IF(A59&lt;=$B$3,'Index Returns'!B43*'SAA with CME'!C$17,IF(TAAPortfolioPerformance!A59&gt;TAAPortfolioPerformance!$B$4,"",'Index Returns'!B43*TAA!C$24))</f>
        <v/>
      </c>
      <c r="C59" s="30" t="str">
        <f>IF(B59&lt;=$B$3,'Index Returns'!C43*'SAA with CME'!D$17,IF(TAAPortfolioPerformance!B59&gt;TAAPortfolioPerformance!$B$4,"",'Index Returns'!C43*TAA!D$24))</f>
        <v/>
      </c>
      <c r="D59" s="30" t="str">
        <f>IF(C59&lt;=$B$3,'Index Returns'!D43*'SAA with CME'!E$17,IF(TAAPortfolioPerformance!C59&gt;TAAPortfolioPerformance!$B$4,"",'Index Returns'!D43*TAA!E$24))</f>
        <v/>
      </c>
      <c r="E59" s="30" t="str">
        <f>IF(D59&lt;=$B$3,'Index Returns'!E43*'SAA with CME'!F$17,IF(TAAPortfolioPerformance!D59&gt;TAAPortfolioPerformance!$B$4,"",'Index Returns'!E43*TAA!F$24))</f>
        <v/>
      </c>
      <c r="F59" s="30" t="str">
        <f>IF(E59&lt;=$B$3,'Index Returns'!F43*'SAA with CME'!G$17,IF(TAAPortfolioPerformance!E59&gt;TAAPortfolioPerformance!$B$4,"",'Index Returns'!F43*TAA!G$24))</f>
        <v/>
      </c>
      <c r="G59" s="30" t="str">
        <f>IF(F59&lt;=$B$3,'Index Returns'!G43*'SAA with CME'!H$17,IF(TAAPortfolioPerformance!F59&gt;TAAPortfolioPerformance!$B$4,"",'Index Returns'!G43*TAA!H$24))</f>
        <v/>
      </c>
      <c r="H59" s="30" t="str">
        <f t="shared" si="2"/>
        <v/>
      </c>
      <c r="I59" s="35" t="str">
        <f t="shared" si="3"/>
        <v/>
      </c>
    </row>
    <row r="60" spans="1:9" ht="18" x14ac:dyDescent="0.35">
      <c r="A60" s="47">
        <v>44407</v>
      </c>
      <c r="B60" s="30" t="str">
        <f>IF(A60&lt;=$B$3,'Index Returns'!B44*'SAA with CME'!C$17,IF(TAAPortfolioPerformance!A60&gt;TAAPortfolioPerformance!$B$4,"",'Index Returns'!B44*TAA!C$24))</f>
        <v/>
      </c>
      <c r="C60" s="30" t="str">
        <f>IF(B60&lt;=$B$3,'Index Returns'!C44*'SAA with CME'!D$17,IF(TAAPortfolioPerformance!B60&gt;TAAPortfolioPerformance!$B$4,"",'Index Returns'!C44*TAA!D$24))</f>
        <v/>
      </c>
      <c r="D60" s="30" t="str">
        <f>IF(C60&lt;=$B$3,'Index Returns'!D44*'SAA with CME'!E$17,IF(TAAPortfolioPerformance!C60&gt;TAAPortfolioPerformance!$B$4,"",'Index Returns'!D44*TAA!E$24))</f>
        <v/>
      </c>
      <c r="E60" s="30" t="str">
        <f>IF(D60&lt;=$B$3,'Index Returns'!E44*'SAA with CME'!F$17,IF(TAAPortfolioPerformance!D60&gt;TAAPortfolioPerformance!$B$4,"",'Index Returns'!E44*TAA!F$24))</f>
        <v/>
      </c>
      <c r="F60" s="30" t="str">
        <f>IF(E60&lt;=$B$3,'Index Returns'!F44*'SAA with CME'!G$17,IF(TAAPortfolioPerformance!E60&gt;TAAPortfolioPerformance!$B$4,"",'Index Returns'!F44*TAA!G$24))</f>
        <v/>
      </c>
      <c r="G60" s="30" t="str">
        <f>IF(F60&lt;=$B$3,'Index Returns'!G44*'SAA with CME'!H$17,IF(TAAPortfolioPerformance!F60&gt;TAAPortfolioPerformance!$B$4,"",'Index Returns'!G44*TAA!H$24))</f>
        <v/>
      </c>
      <c r="H60" s="30" t="str">
        <f t="shared" si="2"/>
        <v/>
      </c>
      <c r="I60" s="35" t="str">
        <f t="shared" si="3"/>
        <v/>
      </c>
    </row>
    <row r="61" spans="1:9" ht="18" x14ac:dyDescent="0.35">
      <c r="A61" s="47">
        <v>44439</v>
      </c>
      <c r="B61" s="30" t="str">
        <f>IF(A61&lt;=$B$3,'Index Returns'!B45*'SAA with CME'!C$17,IF(TAAPortfolioPerformance!A61&gt;TAAPortfolioPerformance!$B$4,"",'Index Returns'!B45*TAA!C$24))</f>
        <v/>
      </c>
      <c r="C61" s="30" t="str">
        <f>IF(B61&lt;=$B$3,'Index Returns'!C45*'SAA with CME'!D$17,IF(TAAPortfolioPerformance!B61&gt;TAAPortfolioPerformance!$B$4,"",'Index Returns'!C45*TAA!D$24))</f>
        <v/>
      </c>
      <c r="D61" s="30" t="str">
        <f>IF(C61&lt;=$B$3,'Index Returns'!D45*'SAA with CME'!E$17,IF(TAAPortfolioPerformance!C61&gt;TAAPortfolioPerformance!$B$4,"",'Index Returns'!D45*TAA!E$24))</f>
        <v/>
      </c>
      <c r="E61" s="30" t="str">
        <f>IF(D61&lt;=$B$3,'Index Returns'!E45*'SAA with CME'!F$17,IF(TAAPortfolioPerformance!D61&gt;TAAPortfolioPerformance!$B$4,"",'Index Returns'!E45*TAA!F$24))</f>
        <v/>
      </c>
      <c r="F61" s="30" t="str">
        <f>IF(E61&lt;=$B$3,'Index Returns'!F45*'SAA with CME'!G$17,IF(TAAPortfolioPerformance!E61&gt;TAAPortfolioPerformance!$B$4,"",'Index Returns'!F45*TAA!G$24))</f>
        <v/>
      </c>
      <c r="G61" s="30" t="str">
        <f>IF(F61&lt;=$B$3,'Index Returns'!G45*'SAA with CME'!H$17,IF(TAAPortfolioPerformance!F61&gt;TAAPortfolioPerformance!$B$4,"",'Index Returns'!G45*TAA!H$24))</f>
        <v/>
      </c>
      <c r="H61" s="30" t="str">
        <f t="shared" si="2"/>
        <v/>
      </c>
      <c r="I61" s="35" t="str">
        <f t="shared" si="3"/>
        <v/>
      </c>
    </row>
    <row r="62" spans="1:9" ht="18" x14ac:dyDescent="0.35">
      <c r="A62" s="47">
        <v>44469</v>
      </c>
      <c r="B62" s="30" t="str">
        <f>IF(A62&lt;=$B$3,'Index Returns'!B46*'SAA with CME'!C$17,IF(TAAPortfolioPerformance!A62&gt;TAAPortfolioPerformance!$B$4,"",'Index Returns'!B46*TAA!C$24))</f>
        <v/>
      </c>
      <c r="C62" s="30" t="str">
        <f>IF(B62&lt;=$B$3,'Index Returns'!C46*'SAA with CME'!D$17,IF(TAAPortfolioPerformance!B62&gt;TAAPortfolioPerformance!$B$4,"",'Index Returns'!C46*TAA!D$24))</f>
        <v/>
      </c>
      <c r="D62" s="30" t="str">
        <f>IF(C62&lt;=$B$3,'Index Returns'!D46*'SAA with CME'!E$17,IF(TAAPortfolioPerformance!C62&gt;TAAPortfolioPerformance!$B$4,"",'Index Returns'!D46*TAA!E$24))</f>
        <v/>
      </c>
      <c r="E62" s="30" t="str">
        <f>IF(D62&lt;=$B$3,'Index Returns'!E46*'SAA with CME'!F$17,IF(TAAPortfolioPerformance!D62&gt;TAAPortfolioPerformance!$B$4,"",'Index Returns'!E46*TAA!F$24))</f>
        <v/>
      </c>
      <c r="F62" s="30" t="str">
        <f>IF(E62&lt;=$B$3,'Index Returns'!F46*'SAA with CME'!G$17,IF(TAAPortfolioPerformance!E62&gt;TAAPortfolioPerformance!$B$4,"",'Index Returns'!F46*TAA!G$24))</f>
        <v/>
      </c>
      <c r="G62" s="30" t="str">
        <f>IF(F62&lt;=$B$3,'Index Returns'!G46*'SAA with CME'!H$17,IF(TAAPortfolioPerformance!F62&gt;TAAPortfolioPerformance!$B$4,"",'Index Returns'!G46*TAA!H$24))</f>
        <v/>
      </c>
      <c r="H62" s="30" t="str">
        <f t="shared" si="2"/>
        <v/>
      </c>
      <c r="I62" s="35" t="str">
        <f t="shared" si="3"/>
        <v/>
      </c>
    </row>
    <row r="63" spans="1:9" ht="18" x14ac:dyDescent="0.35">
      <c r="A63" s="47">
        <v>44498</v>
      </c>
      <c r="B63" s="30" t="str">
        <f>IF(A63&lt;=$B$3,'Index Returns'!B47*'SAA with CME'!C$17,IF(TAAPortfolioPerformance!A63&gt;TAAPortfolioPerformance!$B$4,"",'Index Returns'!B47*TAA!C$24))</f>
        <v/>
      </c>
      <c r="C63" s="30" t="str">
        <f>IF(B63&lt;=$B$3,'Index Returns'!C47*'SAA with CME'!D$17,IF(TAAPortfolioPerformance!B63&gt;TAAPortfolioPerformance!$B$4,"",'Index Returns'!C47*TAA!D$24))</f>
        <v/>
      </c>
      <c r="D63" s="30" t="str">
        <f>IF(C63&lt;=$B$3,'Index Returns'!D47*'SAA with CME'!E$17,IF(TAAPortfolioPerformance!C63&gt;TAAPortfolioPerformance!$B$4,"",'Index Returns'!D47*TAA!E$24))</f>
        <v/>
      </c>
      <c r="E63" s="30" t="str">
        <f>IF(D63&lt;=$B$3,'Index Returns'!E47*'SAA with CME'!F$17,IF(TAAPortfolioPerformance!D63&gt;TAAPortfolioPerformance!$B$4,"",'Index Returns'!E47*TAA!F$24))</f>
        <v/>
      </c>
      <c r="F63" s="30" t="str">
        <f>IF(E63&lt;=$B$3,'Index Returns'!F47*'SAA with CME'!G$17,IF(TAAPortfolioPerformance!E63&gt;TAAPortfolioPerformance!$B$4,"",'Index Returns'!F47*TAA!G$24))</f>
        <v/>
      </c>
      <c r="G63" s="30" t="str">
        <f>IF(F63&lt;=$B$3,'Index Returns'!G47*'SAA with CME'!H$17,IF(TAAPortfolioPerformance!F63&gt;TAAPortfolioPerformance!$B$4,"",'Index Returns'!G47*TAA!H$24))</f>
        <v/>
      </c>
      <c r="H63" s="30" t="str">
        <f t="shared" si="2"/>
        <v/>
      </c>
      <c r="I63" s="35" t="str">
        <f t="shared" si="3"/>
        <v/>
      </c>
    </row>
    <row r="64" spans="1:9" ht="18" x14ac:dyDescent="0.35">
      <c r="A64" s="47">
        <v>44530</v>
      </c>
      <c r="B64" s="30" t="str">
        <f>IF(A64&lt;=$B$3,'Index Returns'!B48*'SAA with CME'!C$17,IF(TAAPortfolioPerformance!A64&gt;TAAPortfolioPerformance!$B$4,"",'Index Returns'!B48*TAA!C$24))</f>
        <v/>
      </c>
      <c r="C64" s="30" t="str">
        <f>IF(B64&lt;=$B$3,'Index Returns'!C48*'SAA with CME'!D$17,IF(TAAPortfolioPerformance!B64&gt;TAAPortfolioPerformance!$B$4,"",'Index Returns'!C48*TAA!D$24))</f>
        <v/>
      </c>
      <c r="D64" s="30" t="str">
        <f>IF(C64&lt;=$B$3,'Index Returns'!D48*'SAA with CME'!E$17,IF(TAAPortfolioPerformance!C64&gt;TAAPortfolioPerformance!$B$4,"",'Index Returns'!D48*TAA!E$24))</f>
        <v/>
      </c>
      <c r="E64" s="30" t="str">
        <f>IF(D64&lt;=$B$3,'Index Returns'!E48*'SAA with CME'!F$17,IF(TAAPortfolioPerformance!D64&gt;TAAPortfolioPerformance!$B$4,"",'Index Returns'!E48*TAA!F$24))</f>
        <v/>
      </c>
      <c r="F64" s="30" t="str">
        <f>IF(E64&lt;=$B$3,'Index Returns'!F48*'SAA with CME'!G$17,IF(TAAPortfolioPerformance!E64&gt;TAAPortfolioPerformance!$B$4,"",'Index Returns'!F48*TAA!G$24))</f>
        <v/>
      </c>
      <c r="G64" s="30" t="str">
        <f>IF(F64&lt;=$B$3,'Index Returns'!G48*'SAA with CME'!H$17,IF(TAAPortfolioPerformance!F64&gt;TAAPortfolioPerformance!$B$4,"",'Index Returns'!G48*TAA!H$24))</f>
        <v/>
      </c>
      <c r="H64" s="30" t="str">
        <f t="shared" si="2"/>
        <v/>
      </c>
      <c r="I64" s="35" t="str">
        <f t="shared" si="3"/>
        <v/>
      </c>
    </row>
    <row r="65" spans="1:9" ht="18" x14ac:dyDescent="0.35">
      <c r="A65" s="47">
        <v>44561</v>
      </c>
      <c r="B65" s="30" t="str">
        <f>IF(A65&lt;=$B$3,'Index Returns'!B49*'SAA with CME'!C$17,IF(TAAPortfolioPerformance!A65&gt;TAAPortfolioPerformance!$B$4,"",'Index Returns'!B49*TAA!C$24))</f>
        <v/>
      </c>
      <c r="C65" s="30" t="str">
        <f>IF(B65&lt;=$B$3,'Index Returns'!C49*'SAA with CME'!D$17,IF(TAAPortfolioPerformance!B65&gt;TAAPortfolioPerformance!$B$4,"",'Index Returns'!C49*TAA!D$24))</f>
        <v/>
      </c>
      <c r="D65" s="30" t="str">
        <f>IF(C65&lt;=$B$3,'Index Returns'!D49*'SAA with CME'!E$17,IF(TAAPortfolioPerformance!C65&gt;TAAPortfolioPerformance!$B$4,"",'Index Returns'!D49*TAA!E$24))</f>
        <v/>
      </c>
      <c r="E65" s="30" t="str">
        <f>IF(D65&lt;=$B$3,'Index Returns'!E49*'SAA with CME'!F$17,IF(TAAPortfolioPerformance!D65&gt;TAAPortfolioPerformance!$B$4,"",'Index Returns'!E49*TAA!F$24))</f>
        <v/>
      </c>
      <c r="F65" s="30" t="str">
        <f>IF(E65&lt;=$B$3,'Index Returns'!F49*'SAA with CME'!G$17,IF(TAAPortfolioPerformance!E65&gt;TAAPortfolioPerformance!$B$4,"",'Index Returns'!F49*TAA!G$24))</f>
        <v/>
      </c>
      <c r="G65" s="30" t="str">
        <f>IF(F65&lt;=$B$3,'Index Returns'!G49*'SAA with CME'!H$17,IF(TAAPortfolioPerformance!F65&gt;TAAPortfolioPerformance!$B$4,"",'Index Returns'!G49*TAA!H$24))</f>
        <v/>
      </c>
      <c r="H65" s="30" t="str">
        <f t="shared" si="2"/>
        <v/>
      </c>
      <c r="I65" s="35" t="str">
        <f t="shared" si="3"/>
        <v/>
      </c>
    </row>
    <row r="66" spans="1:9" ht="18" x14ac:dyDescent="0.35">
      <c r="A66" s="47">
        <v>44592</v>
      </c>
      <c r="B66" s="30" t="str">
        <f>IF(A66&lt;=$B$3,'Index Returns'!B50*'SAA with CME'!C$17,IF(TAAPortfolioPerformance!A66&gt;TAAPortfolioPerformance!$B$4,"",'Index Returns'!B50*TAA!C$24))</f>
        <v/>
      </c>
      <c r="C66" s="30" t="str">
        <f>IF(B66&lt;=$B$3,'Index Returns'!C50*'SAA with CME'!D$17,IF(TAAPortfolioPerformance!B66&gt;TAAPortfolioPerformance!$B$4,"",'Index Returns'!C50*TAA!D$24))</f>
        <v/>
      </c>
      <c r="D66" s="30" t="str">
        <f>IF(C66&lt;=$B$3,'Index Returns'!D50*'SAA with CME'!E$17,IF(TAAPortfolioPerformance!C66&gt;TAAPortfolioPerformance!$B$4,"",'Index Returns'!D50*TAA!E$24))</f>
        <v/>
      </c>
      <c r="E66" s="30" t="str">
        <f>IF(D66&lt;=$B$3,'Index Returns'!E50*'SAA with CME'!F$17,IF(TAAPortfolioPerformance!D66&gt;TAAPortfolioPerformance!$B$4,"",'Index Returns'!E50*TAA!F$24))</f>
        <v/>
      </c>
      <c r="F66" s="30" t="str">
        <f>IF(E66&lt;=$B$3,'Index Returns'!F50*'SAA with CME'!G$17,IF(TAAPortfolioPerformance!E66&gt;TAAPortfolioPerformance!$B$4,"",'Index Returns'!F50*TAA!G$24))</f>
        <v/>
      </c>
      <c r="G66" s="30" t="str">
        <f>IF(F66&lt;=$B$3,'Index Returns'!G50*'SAA with CME'!H$17,IF(TAAPortfolioPerformance!F66&gt;TAAPortfolioPerformance!$B$4,"",'Index Returns'!G50*TAA!H$24))</f>
        <v/>
      </c>
      <c r="H66" s="30" t="str">
        <f t="shared" si="2"/>
        <v/>
      </c>
      <c r="I66" s="35" t="str">
        <f t="shared" si="3"/>
        <v/>
      </c>
    </row>
    <row r="67" spans="1:9" ht="18" x14ac:dyDescent="0.35">
      <c r="A67" s="47">
        <v>44620</v>
      </c>
      <c r="B67" s="30" t="str">
        <f>IF(A67&lt;=$B$3,'Index Returns'!B51*'SAA with CME'!C$17,IF(TAAPortfolioPerformance!A67&gt;TAAPortfolioPerformance!$B$4,"",'Index Returns'!B51*TAA!C$24))</f>
        <v/>
      </c>
      <c r="C67" s="30" t="str">
        <f>IF(B67&lt;=$B$3,'Index Returns'!C51*'SAA with CME'!D$17,IF(TAAPortfolioPerformance!B67&gt;TAAPortfolioPerformance!$B$4,"",'Index Returns'!C51*TAA!D$24))</f>
        <v/>
      </c>
      <c r="D67" s="30" t="str">
        <f>IF(C67&lt;=$B$3,'Index Returns'!D51*'SAA with CME'!E$17,IF(TAAPortfolioPerformance!C67&gt;TAAPortfolioPerformance!$B$4,"",'Index Returns'!D51*TAA!E$24))</f>
        <v/>
      </c>
      <c r="E67" s="30" t="str">
        <f>IF(D67&lt;=$B$3,'Index Returns'!E51*'SAA with CME'!F$17,IF(TAAPortfolioPerformance!D67&gt;TAAPortfolioPerformance!$B$4,"",'Index Returns'!E51*TAA!F$24))</f>
        <v/>
      </c>
      <c r="F67" s="30" t="str">
        <f>IF(E67&lt;=$B$3,'Index Returns'!F51*'SAA with CME'!G$17,IF(TAAPortfolioPerformance!E67&gt;TAAPortfolioPerformance!$B$4,"",'Index Returns'!F51*TAA!G$24))</f>
        <v/>
      </c>
      <c r="G67" s="30" t="str">
        <f>IF(F67&lt;=$B$3,'Index Returns'!G51*'SAA with CME'!H$17,IF(TAAPortfolioPerformance!F67&gt;TAAPortfolioPerformance!$B$4,"",'Index Returns'!G51*TAA!H$24))</f>
        <v/>
      </c>
      <c r="H67" s="30" t="str">
        <f t="shared" si="2"/>
        <v/>
      </c>
      <c r="I67" s="35" t="str">
        <f t="shared" si="3"/>
        <v/>
      </c>
    </row>
    <row r="68" spans="1:9" ht="18" x14ac:dyDescent="0.35">
      <c r="A68" s="47">
        <v>44651</v>
      </c>
      <c r="B68" s="30" t="str">
        <f>IF(A68&lt;=$B$3,'Index Returns'!B52*'SAA with CME'!C$17,IF(TAAPortfolioPerformance!A68&gt;TAAPortfolioPerformance!$B$4,"",'Index Returns'!B52*TAA!C$24))</f>
        <v/>
      </c>
      <c r="C68" s="30" t="str">
        <f>IF(B68&lt;=$B$3,'Index Returns'!C52*'SAA with CME'!D$17,IF(TAAPortfolioPerformance!B68&gt;TAAPortfolioPerformance!$B$4,"",'Index Returns'!C52*TAA!D$24))</f>
        <v/>
      </c>
      <c r="D68" s="30" t="str">
        <f>IF(C68&lt;=$B$3,'Index Returns'!D52*'SAA with CME'!E$17,IF(TAAPortfolioPerformance!C68&gt;TAAPortfolioPerformance!$B$4,"",'Index Returns'!D52*TAA!E$24))</f>
        <v/>
      </c>
      <c r="E68" s="30" t="str">
        <f>IF(D68&lt;=$B$3,'Index Returns'!E52*'SAA with CME'!F$17,IF(TAAPortfolioPerformance!D68&gt;TAAPortfolioPerformance!$B$4,"",'Index Returns'!E52*TAA!F$24))</f>
        <v/>
      </c>
      <c r="F68" s="30" t="str">
        <f>IF(E68&lt;=$B$3,'Index Returns'!F52*'SAA with CME'!G$17,IF(TAAPortfolioPerformance!E68&gt;TAAPortfolioPerformance!$B$4,"",'Index Returns'!F52*TAA!G$24))</f>
        <v/>
      </c>
      <c r="G68" s="30" t="str">
        <f>IF(F68&lt;=$B$3,'Index Returns'!G52*'SAA with CME'!H$17,IF(TAAPortfolioPerformance!F68&gt;TAAPortfolioPerformance!$B$4,"",'Index Returns'!G52*TAA!H$24))</f>
        <v/>
      </c>
      <c r="H68" s="30" t="str">
        <f t="shared" si="2"/>
        <v/>
      </c>
      <c r="I68" s="35" t="str">
        <f t="shared" si="3"/>
        <v/>
      </c>
    </row>
    <row r="69" spans="1:9" ht="18" x14ac:dyDescent="0.35">
      <c r="A69" s="47">
        <v>44680</v>
      </c>
      <c r="B69" s="30" t="str">
        <f>IF(A69&lt;=$B$3,'Index Returns'!B53*'SAA with CME'!C$17,IF(TAAPortfolioPerformance!A69&gt;TAAPortfolioPerformance!$B$4,"",'Index Returns'!B53*TAA!C$24))</f>
        <v/>
      </c>
      <c r="C69" s="30" t="str">
        <f>IF(B69&lt;=$B$3,'Index Returns'!C53*'SAA with CME'!D$17,IF(TAAPortfolioPerformance!B69&gt;TAAPortfolioPerformance!$B$4,"",'Index Returns'!C53*TAA!D$24))</f>
        <v/>
      </c>
      <c r="D69" s="30" t="str">
        <f>IF(C69&lt;=$B$3,'Index Returns'!D53*'SAA with CME'!E$17,IF(TAAPortfolioPerformance!C69&gt;TAAPortfolioPerformance!$B$4,"",'Index Returns'!D53*TAA!E$24))</f>
        <v/>
      </c>
      <c r="E69" s="30" t="str">
        <f>IF(D69&lt;=$B$3,'Index Returns'!E53*'SAA with CME'!F$17,IF(TAAPortfolioPerformance!D69&gt;TAAPortfolioPerformance!$B$4,"",'Index Returns'!E53*TAA!F$24))</f>
        <v/>
      </c>
      <c r="F69" s="30" t="str">
        <f>IF(E69&lt;=$B$3,'Index Returns'!F53*'SAA with CME'!G$17,IF(TAAPortfolioPerformance!E69&gt;TAAPortfolioPerformance!$B$4,"",'Index Returns'!F53*TAA!G$24))</f>
        <v/>
      </c>
      <c r="G69" s="30" t="str">
        <f>IF(F69&lt;=$B$3,'Index Returns'!G53*'SAA with CME'!H$17,IF(TAAPortfolioPerformance!F69&gt;TAAPortfolioPerformance!$B$4,"",'Index Returns'!G53*TAA!H$24))</f>
        <v/>
      </c>
      <c r="H69" s="30" t="str">
        <f t="shared" si="2"/>
        <v/>
      </c>
      <c r="I69" s="35" t="str">
        <f t="shared" si="3"/>
        <v/>
      </c>
    </row>
    <row r="70" spans="1:9" ht="18" x14ac:dyDescent="0.35">
      <c r="A70" s="47">
        <v>44712</v>
      </c>
      <c r="B70" s="30" t="str">
        <f>IF(A70&lt;=$B$3,'Index Returns'!B54*'SAA with CME'!C$17,IF(TAAPortfolioPerformance!A70&gt;TAAPortfolioPerformance!$B$4,"",'Index Returns'!B54*TAA!C$24))</f>
        <v/>
      </c>
      <c r="C70" s="30" t="str">
        <f>IF(B70&lt;=$B$3,'Index Returns'!C54*'SAA with CME'!D$17,IF(TAAPortfolioPerformance!B70&gt;TAAPortfolioPerformance!$B$4,"",'Index Returns'!C54*TAA!D$24))</f>
        <v/>
      </c>
      <c r="D70" s="30" t="str">
        <f>IF(C70&lt;=$B$3,'Index Returns'!D54*'SAA with CME'!E$17,IF(TAAPortfolioPerformance!C70&gt;TAAPortfolioPerformance!$B$4,"",'Index Returns'!D54*TAA!E$24))</f>
        <v/>
      </c>
      <c r="E70" s="30" t="str">
        <f>IF(D70&lt;=$B$3,'Index Returns'!E54*'SAA with CME'!F$17,IF(TAAPortfolioPerformance!D70&gt;TAAPortfolioPerformance!$B$4,"",'Index Returns'!E54*TAA!F$24))</f>
        <v/>
      </c>
      <c r="F70" s="30" t="str">
        <f>IF(E70&lt;=$B$3,'Index Returns'!F54*'SAA with CME'!G$17,IF(TAAPortfolioPerformance!E70&gt;TAAPortfolioPerformance!$B$4,"",'Index Returns'!F54*TAA!G$24))</f>
        <v/>
      </c>
      <c r="G70" s="30" t="str">
        <f>IF(F70&lt;=$B$3,'Index Returns'!G54*'SAA with CME'!H$17,IF(TAAPortfolioPerformance!F70&gt;TAAPortfolioPerformance!$B$4,"",'Index Returns'!G54*TAA!H$24))</f>
        <v/>
      </c>
      <c r="H70" s="30" t="str">
        <f t="shared" si="2"/>
        <v/>
      </c>
      <c r="I70" s="35" t="str">
        <f t="shared" si="3"/>
        <v/>
      </c>
    </row>
    <row r="71" spans="1:9" ht="18" x14ac:dyDescent="0.35">
      <c r="A71" s="47">
        <v>44742</v>
      </c>
      <c r="B71" s="30" t="str">
        <f>IF(A71&lt;=$B$3,'Index Returns'!B55*'SAA with CME'!C$17,IF(TAAPortfolioPerformance!A71&gt;TAAPortfolioPerformance!$B$4,"",'Index Returns'!B55*TAA!C$24))</f>
        <v/>
      </c>
      <c r="C71" s="30" t="str">
        <f>IF(B71&lt;=$B$3,'Index Returns'!C55*'SAA with CME'!D$17,IF(TAAPortfolioPerformance!B71&gt;TAAPortfolioPerformance!$B$4,"",'Index Returns'!C55*TAA!D$24))</f>
        <v/>
      </c>
      <c r="D71" s="30" t="str">
        <f>IF(C71&lt;=$B$3,'Index Returns'!D55*'SAA with CME'!E$17,IF(TAAPortfolioPerformance!C71&gt;TAAPortfolioPerformance!$B$4,"",'Index Returns'!D55*TAA!E$24))</f>
        <v/>
      </c>
      <c r="E71" s="30" t="str">
        <f>IF(D71&lt;=$B$3,'Index Returns'!E55*'SAA with CME'!F$17,IF(TAAPortfolioPerformance!D71&gt;TAAPortfolioPerformance!$B$4,"",'Index Returns'!E55*TAA!F$24))</f>
        <v/>
      </c>
      <c r="F71" s="30" t="str">
        <f>IF(E71&lt;=$B$3,'Index Returns'!F55*'SAA with CME'!G$17,IF(TAAPortfolioPerformance!E71&gt;TAAPortfolioPerformance!$B$4,"",'Index Returns'!F55*TAA!G$24))</f>
        <v/>
      </c>
      <c r="G71" s="30" t="str">
        <f>IF(F71&lt;=$B$3,'Index Returns'!G55*'SAA with CME'!H$17,IF(TAAPortfolioPerformance!F71&gt;TAAPortfolioPerformance!$B$4,"",'Index Returns'!G55*TAA!H$24))</f>
        <v/>
      </c>
      <c r="H71" s="30" t="str">
        <f t="shared" si="2"/>
        <v/>
      </c>
      <c r="I71" s="35" t="str">
        <f t="shared" si="3"/>
        <v/>
      </c>
    </row>
    <row r="72" spans="1:9" ht="18" x14ac:dyDescent="0.35">
      <c r="A72" s="47">
        <v>44771</v>
      </c>
      <c r="B72" s="30" t="str">
        <f>IF(A72&lt;=$B$3,'Index Returns'!B56*'SAA with CME'!C$17,IF(TAAPortfolioPerformance!A72&gt;TAAPortfolioPerformance!$B$4,"",'Index Returns'!B56*TAA!C$24))</f>
        <v/>
      </c>
      <c r="C72" s="30" t="str">
        <f>IF(B72&lt;=$B$3,'Index Returns'!C56*'SAA with CME'!D$17,IF(TAAPortfolioPerformance!B72&gt;TAAPortfolioPerformance!$B$4,"",'Index Returns'!C56*TAA!D$24))</f>
        <v/>
      </c>
      <c r="D72" s="30" t="str">
        <f>IF(C72&lt;=$B$3,'Index Returns'!D56*'SAA with CME'!E$17,IF(TAAPortfolioPerformance!C72&gt;TAAPortfolioPerformance!$B$4,"",'Index Returns'!D56*TAA!E$24))</f>
        <v/>
      </c>
      <c r="E72" s="30" t="str">
        <f>IF(D72&lt;=$B$3,'Index Returns'!E56*'SAA with CME'!F$17,IF(TAAPortfolioPerformance!D72&gt;TAAPortfolioPerformance!$B$4,"",'Index Returns'!E56*TAA!F$24))</f>
        <v/>
      </c>
      <c r="F72" s="30" t="str">
        <f>IF(E72&lt;=$B$3,'Index Returns'!F56*'SAA with CME'!G$17,IF(TAAPortfolioPerformance!E72&gt;TAAPortfolioPerformance!$B$4,"",'Index Returns'!F56*TAA!G$24))</f>
        <v/>
      </c>
      <c r="G72" s="30" t="str">
        <f>IF(F72&lt;=$B$3,'Index Returns'!G56*'SAA with CME'!H$17,IF(TAAPortfolioPerformance!F72&gt;TAAPortfolioPerformance!$B$4,"",'Index Returns'!G56*TAA!H$24))</f>
        <v/>
      </c>
      <c r="H72" s="30" t="str">
        <f t="shared" si="2"/>
        <v/>
      </c>
      <c r="I72" s="35" t="str">
        <f t="shared" si="3"/>
        <v/>
      </c>
    </row>
    <row r="73" spans="1:9" ht="18" x14ac:dyDescent="0.35">
      <c r="A73" s="47">
        <v>44804</v>
      </c>
      <c r="B73" s="30" t="str">
        <f>IF(A73&lt;=$B$3,'Index Returns'!B57*'SAA with CME'!C$17,IF(TAAPortfolioPerformance!A73&gt;TAAPortfolioPerformance!$B$4,"",'Index Returns'!B57*TAA!C$24))</f>
        <v/>
      </c>
      <c r="C73" s="30" t="str">
        <f>IF(B73&lt;=$B$3,'Index Returns'!C57*'SAA with CME'!D$17,IF(TAAPortfolioPerformance!B73&gt;TAAPortfolioPerformance!$B$4,"",'Index Returns'!C57*TAA!D$24))</f>
        <v/>
      </c>
      <c r="D73" s="30" t="str">
        <f>IF(C73&lt;=$B$3,'Index Returns'!D57*'SAA with CME'!E$17,IF(TAAPortfolioPerformance!C73&gt;TAAPortfolioPerformance!$B$4,"",'Index Returns'!D57*TAA!E$24))</f>
        <v/>
      </c>
      <c r="E73" s="30" t="str">
        <f>IF(D73&lt;=$B$3,'Index Returns'!E57*'SAA with CME'!F$17,IF(TAAPortfolioPerformance!D73&gt;TAAPortfolioPerformance!$B$4,"",'Index Returns'!E57*TAA!F$24))</f>
        <v/>
      </c>
      <c r="F73" s="30" t="str">
        <f>IF(E73&lt;=$B$3,'Index Returns'!F57*'SAA with CME'!G$17,IF(TAAPortfolioPerformance!E73&gt;TAAPortfolioPerformance!$B$4,"",'Index Returns'!F57*TAA!G$24))</f>
        <v/>
      </c>
      <c r="G73" s="30" t="str">
        <f>IF(F73&lt;=$B$3,'Index Returns'!G57*'SAA with CME'!H$17,IF(TAAPortfolioPerformance!F73&gt;TAAPortfolioPerformance!$B$4,"",'Index Returns'!G57*TAA!H$24))</f>
        <v/>
      </c>
      <c r="H73" s="30" t="str">
        <f t="shared" si="2"/>
        <v/>
      </c>
      <c r="I73" s="35" t="str">
        <f t="shared" si="3"/>
        <v/>
      </c>
    </row>
    <row r="74" spans="1:9" ht="18" x14ac:dyDescent="0.35">
      <c r="A74" s="47">
        <v>44834</v>
      </c>
      <c r="B74" s="30" t="str">
        <f>IF(A74&lt;=$B$3,'Index Returns'!B58*'SAA with CME'!C$17,IF(TAAPortfolioPerformance!A74&gt;TAAPortfolioPerformance!$B$4,"",'Index Returns'!B58*TAA!C$24))</f>
        <v/>
      </c>
      <c r="C74" s="30" t="str">
        <f>IF(B74&lt;=$B$3,'Index Returns'!C58*'SAA with CME'!D$17,IF(TAAPortfolioPerformance!B74&gt;TAAPortfolioPerformance!$B$4,"",'Index Returns'!C58*TAA!D$24))</f>
        <v/>
      </c>
      <c r="D74" s="30" t="str">
        <f>IF(C74&lt;=$B$3,'Index Returns'!D58*'SAA with CME'!E$17,IF(TAAPortfolioPerformance!C74&gt;TAAPortfolioPerformance!$B$4,"",'Index Returns'!D58*TAA!E$24))</f>
        <v/>
      </c>
      <c r="E74" s="30" t="str">
        <f>IF(D74&lt;=$B$3,'Index Returns'!E58*'SAA with CME'!F$17,IF(TAAPortfolioPerformance!D74&gt;TAAPortfolioPerformance!$B$4,"",'Index Returns'!E58*TAA!F$24))</f>
        <v/>
      </c>
      <c r="F74" s="30" t="str">
        <f>IF(E74&lt;=$B$3,'Index Returns'!F58*'SAA with CME'!G$17,IF(TAAPortfolioPerformance!E74&gt;TAAPortfolioPerformance!$B$4,"",'Index Returns'!F58*TAA!G$24))</f>
        <v/>
      </c>
      <c r="G74" s="30" t="str">
        <f>IF(F74&lt;=$B$3,'Index Returns'!G58*'SAA with CME'!H$17,IF(TAAPortfolioPerformance!F74&gt;TAAPortfolioPerformance!$B$4,"",'Index Returns'!G58*TAA!H$24))</f>
        <v/>
      </c>
      <c r="H74" s="30" t="str">
        <f t="shared" si="2"/>
        <v/>
      </c>
      <c r="I74" s="35" t="str">
        <f t="shared" si="3"/>
        <v/>
      </c>
    </row>
    <row r="75" spans="1:9" ht="18" x14ac:dyDescent="0.35">
      <c r="A75" s="47">
        <v>44865</v>
      </c>
      <c r="B75" s="30" t="str">
        <f>IF(A75&lt;=$B$3,'Index Returns'!B59*'SAA with CME'!C$17,IF(TAAPortfolioPerformance!A75&gt;TAAPortfolioPerformance!$B$4,"",'Index Returns'!B59*TAA!C$24))</f>
        <v/>
      </c>
      <c r="C75" s="30" t="str">
        <f>IF(B75&lt;=$B$3,'Index Returns'!C59*'SAA with CME'!D$17,IF(TAAPortfolioPerformance!B75&gt;TAAPortfolioPerformance!$B$4,"",'Index Returns'!C59*TAA!D$24))</f>
        <v/>
      </c>
      <c r="D75" s="30" t="str">
        <f>IF(C75&lt;=$B$3,'Index Returns'!D59*'SAA with CME'!E$17,IF(TAAPortfolioPerformance!C75&gt;TAAPortfolioPerformance!$B$4,"",'Index Returns'!D59*TAA!E$24))</f>
        <v/>
      </c>
      <c r="E75" s="30" t="str">
        <f>IF(D75&lt;=$B$3,'Index Returns'!E59*'SAA with CME'!F$17,IF(TAAPortfolioPerformance!D75&gt;TAAPortfolioPerformance!$B$4,"",'Index Returns'!E59*TAA!F$24))</f>
        <v/>
      </c>
      <c r="F75" s="30" t="str">
        <f>IF(E75&lt;=$B$3,'Index Returns'!F59*'SAA with CME'!G$17,IF(TAAPortfolioPerformance!E75&gt;TAAPortfolioPerformance!$B$4,"",'Index Returns'!F59*TAA!G$24))</f>
        <v/>
      </c>
      <c r="G75" s="30" t="str">
        <f>IF(F75&lt;=$B$3,'Index Returns'!G59*'SAA with CME'!H$17,IF(TAAPortfolioPerformance!F75&gt;TAAPortfolioPerformance!$B$4,"",'Index Returns'!G59*TAA!H$24))</f>
        <v/>
      </c>
      <c r="H75" s="30" t="str">
        <f t="shared" si="2"/>
        <v/>
      </c>
      <c r="I75" s="35" t="str">
        <f t="shared" si="3"/>
        <v/>
      </c>
    </row>
    <row r="76" spans="1:9" ht="18" x14ac:dyDescent="0.35">
      <c r="A76" s="47">
        <v>44895</v>
      </c>
      <c r="B76" s="30" t="str">
        <f>IF(A76&lt;=$B$3,'Index Returns'!B60*'SAA with CME'!C$17,IF(TAAPortfolioPerformance!A76&gt;TAAPortfolioPerformance!$B$4,"",'Index Returns'!B60*TAA!C$24))</f>
        <v/>
      </c>
      <c r="C76" s="30" t="str">
        <f>IF(B76&lt;=$B$3,'Index Returns'!C60*'SAA with CME'!D$17,IF(TAAPortfolioPerformance!B76&gt;TAAPortfolioPerformance!$B$4,"",'Index Returns'!C60*TAA!D$24))</f>
        <v/>
      </c>
      <c r="D76" s="30" t="str">
        <f>IF(C76&lt;=$B$3,'Index Returns'!D60*'SAA with CME'!E$17,IF(TAAPortfolioPerformance!C76&gt;TAAPortfolioPerformance!$B$4,"",'Index Returns'!D60*TAA!E$24))</f>
        <v/>
      </c>
      <c r="E76" s="30" t="str">
        <f>IF(D76&lt;=$B$3,'Index Returns'!E60*'SAA with CME'!F$17,IF(TAAPortfolioPerformance!D76&gt;TAAPortfolioPerformance!$B$4,"",'Index Returns'!E60*TAA!F$24))</f>
        <v/>
      </c>
      <c r="F76" s="30" t="str">
        <f>IF(E76&lt;=$B$3,'Index Returns'!F60*'SAA with CME'!G$17,IF(TAAPortfolioPerformance!E76&gt;TAAPortfolioPerformance!$B$4,"",'Index Returns'!F60*TAA!G$24))</f>
        <v/>
      </c>
      <c r="G76" s="30" t="str">
        <f>IF(F76&lt;=$B$3,'Index Returns'!G60*'SAA with CME'!H$17,IF(TAAPortfolioPerformance!F76&gt;TAAPortfolioPerformance!$B$4,"",'Index Returns'!G60*TAA!H$24))</f>
        <v/>
      </c>
      <c r="H76" s="30" t="str">
        <f t="shared" si="2"/>
        <v/>
      </c>
      <c r="I76" s="35" t="str">
        <f t="shared" si="3"/>
        <v/>
      </c>
    </row>
    <row r="77" spans="1:9" ht="18" x14ac:dyDescent="0.35">
      <c r="A77" s="47">
        <v>44925</v>
      </c>
      <c r="B77" s="30" t="str">
        <f>IF(A77&lt;=$B$3,'Index Returns'!B61*'SAA with CME'!C$17,IF(TAAPortfolioPerformance!A77&gt;TAAPortfolioPerformance!$B$4,"",'Index Returns'!B61*TAA!C$24))</f>
        <v/>
      </c>
      <c r="C77" s="30" t="str">
        <f>IF(B77&lt;=$B$3,'Index Returns'!C61*'SAA with CME'!D$17,IF(TAAPortfolioPerformance!B77&gt;TAAPortfolioPerformance!$B$4,"",'Index Returns'!C61*TAA!D$24))</f>
        <v/>
      </c>
      <c r="D77" s="30" t="str">
        <f>IF(C77&lt;=$B$3,'Index Returns'!D61*'SAA with CME'!E$17,IF(TAAPortfolioPerformance!C77&gt;TAAPortfolioPerformance!$B$4,"",'Index Returns'!D61*TAA!E$24))</f>
        <v/>
      </c>
      <c r="E77" s="30" t="str">
        <f>IF(D77&lt;=$B$3,'Index Returns'!E61*'SAA with CME'!F$17,IF(TAAPortfolioPerformance!D77&gt;TAAPortfolioPerformance!$B$4,"",'Index Returns'!E61*TAA!F$24))</f>
        <v/>
      </c>
      <c r="F77" s="30" t="str">
        <f>IF(E77&lt;=$B$3,'Index Returns'!F61*'SAA with CME'!G$17,IF(TAAPortfolioPerformance!E77&gt;TAAPortfolioPerformance!$B$4,"",'Index Returns'!F61*TAA!G$24))</f>
        <v/>
      </c>
      <c r="G77" s="30" t="str">
        <f>IF(F77&lt;=$B$3,'Index Returns'!G61*'SAA with CME'!H$17,IF(TAAPortfolioPerformance!F77&gt;TAAPortfolioPerformance!$B$4,"",'Index Returns'!G61*TAA!H$24))</f>
        <v/>
      </c>
      <c r="H77" s="30" t="str">
        <f t="shared" si="2"/>
        <v/>
      </c>
      <c r="I77" s="35" t="str">
        <f t="shared" si="3"/>
        <v/>
      </c>
    </row>
    <row r="78" spans="1:9" ht="18" x14ac:dyDescent="0.35">
      <c r="A78" s="47">
        <v>44957</v>
      </c>
      <c r="B78" s="30" t="str">
        <f>IF(A78&lt;=$B$3,'Index Returns'!B62*'SAA with CME'!C$17,IF(TAAPortfolioPerformance!A78&gt;TAAPortfolioPerformance!$B$4,"",'Index Returns'!B62*TAA!C$24))</f>
        <v/>
      </c>
      <c r="C78" s="30" t="str">
        <f>IF(B78&lt;=$B$3,'Index Returns'!C62*'SAA with CME'!D$17,IF(TAAPortfolioPerformance!B78&gt;TAAPortfolioPerformance!$B$4,"",'Index Returns'!C62*TAA!D$24))</f>
        <v/>
      </c>
      <c r="D78" s="30" t="str">
        <f>IF(C78&lt;=$B$3,'Index Returns'!D62*'SAA with CME'!E$17,IF(TAAPortfolioPerformance!C78&gt;TAAPortfolioPerformance!$B$4,"",'Index Returns'!D62*TAA!E$24))</f>
        <v/>
      </c>
      <c r="E78" s="30" t="str">
        <f>IF(D78&lt;=$B$3,'Index Returns'!E62*'SAA with CME'!F$17,IF(TAAPortfolioPerformance!D78&gt;TAAPortfolioPerformance!$B$4,"",'Index Returns'!E62*TAA!F$24))</f>
        <v/>
      </c>
      <c r="F78" s="30" t="str">
        <f>IF(E78&lt;=$B$3,'Index Returns'!F62*'SAA with CME'!G$17,IF(TAAPortfolioPerformance!E78&gt;TAAPortfolioPerformance!$B$4,"",'Index Returns'!F62*TAA!G$24))</f>
        <v/>
      </c>
      <c r="G78" s="30" t="str">
        <f>IF(F78&lt;=$B$3,'Index Returns'!G62*'SAA with CME'!H$17,IF(TAAPortfolioPerformance!F78&gt;TAAPortfolioPerformance!$B$4,"",'Index Returns'!G62*TAA!H$24))</f>
        <v/>
      </c>
      <c r="H78" s="30" t="str">
        <f t="shared" si="2"/>
        <v/>
      </c>
      <c r="I78" s="35" t="str">
        <f t="shared" si="3"/>
        <v/>
      </c>
    </row>
    <row r="79" spans="1:9" ht="18" x14ac:dyDescent="0.35">
      <c r="A79" s="47">
        <v>44985</v>
      </c>
      <c r="B79" s="30" t="str">
        <f>IF(A79&lt;=$B$3,'Index Returns'!B63*'SAA with CME'!C$17,IF(TAAPortfolioPerformance!A79&gt;TAAPortfolioPerformance!$B$4,"",'Index Returns'!B63*TAA!C$24))</f>
        <v/>
      </c>
      <c r="C79" s="30" t="str">
        <f>IF(B79&lt;=$B$3,'Index Returns'!C63*'SAA with CME'!D$17,IF(TAAPortfolioPerformance!B79&gt;TAAPortfolioPerformance!$B$4,"",'Index Returns'!C63*TAA!D$24))</f>
        <v/>
      </c>
      <c r="D79" s="30" t="str">
        <f>IF(C79&lt;=$B$3,'Index Returns'!D63*'SAA with CME'!E$17,IF(TAAPortfolioPerformance!C79&gt;TAAPortfolioPerformance!$B$4,"",'Index Returns'!D63*TAA!E$24))</f>
        <v/>
      </c>
      <c r="E79" s="30" t="str">
        <f>IF(D79&lt;=$B$3,'Index Returns'!E63*'SAA with CME'!F$17,IF(TAAPortfolioPerformance!D79&gt;TAAPortfolioPerformance!$B$4,"",'Index Returns'!E63*TAA!F$24))</f>
        <v/>
      </c>
      <c r="F79" s="30" t="str">
        <f>IF(E79&lt;=$B$3,'Index Returns'!F63*'SAA with CME'!G$17,IF(TAAPortfolioPerformance!E79&gt;TAAPortfolioPerformance!$B$4,"",'Index Returns'!F63*TAA!G$24))</f>
        <v/>
      </c>
      <c r="G79" s="30" t="str">
        <f>IF(F79&lt;=$B$3,'Index Returns'!G63*'SAA with CME'!H$17,IF(TAAPortfolioPerformance!F79&gt;TAAPortfolioPerformance!$B$4,"",'Index Returns'!G63*TAA!H$24))</f>
        <v/>
      </c>
      <c r="H79" s="30" t="str">
        <f t="shared" si="2"/>
        <v/>
      </c>
      <c r="I79" s="35" t="str">
        <f t="shared" si="3"/>
        <v/>
      </c>
    </row>
    <row r="80" spans="1:9" ht="18" x14ac:dyDescent="0.35">
      <c r="A80" s="47">
        <v>45016</v>
      </c>
      <c r="B80" s="30" t="str">
        <f>IF(A80&lt;=$B$3,'Index Returns'!B64*'SAA with CME'!C$17,IF(TAAPortfolioPerformance!A80&gt;TAAPortfolioPerformance!$B$4,"",'Index Returns'!B64*TAA!C$24))</f>
        <v/>
      </c>
      <c r="C80" s="30" t="str">
        <f>IF(B80&lt;=$B$3,'Index Returns'!C64*'SAA with CME'!D$17,IF(TAAPortfolioPerformance!B80&gt;TAAPortfolioPerformance!$B$4,"",'Index Returns'!C64*TAA!D$24))</f>
        <v/>
      </c>
      <c r="D80" s="30" t="str">
        <f>IF(C80&lt;=$B$3,'Index Returns'!D64*'SAA with CME'!E$17,IF(TAAPortfolioPerformance!C80&gt;TAAPortfolioPerformance!$B$4,"",'Index Returns'!D64*TAA!E$24))</f>
        <v/>
      </c>
      <c r="E80" s="30" t="str">
        <f>IF(D80&lt;=$B$3,'Index Returns'!E64*'SAA with CME'!F$17,IF(TAAPortfolioPerformance!D80&gt;TAAPortfolioPerformance!$B$4,"",'Index Returns'!E64*TAA!F$24))</f>
        <v/>
      </c>
      <c r="F80" s="30" t="str">
        <f>IF(E80&lt;=$B$3,'Index Returns'!F64*'SAA with CME'!G$17,IF(TAAPortfolioPerformance!E80&gt;TAAPortfolioPerformance!$B$4,"",'Index Returns'!F64*TAA!G$24))</f>
        <v/>
      </c>
      <c r="G80" s="30" t="str">
        <f>IF(F80&lt;=$B$3,'Index Returns'!G64*'SAA with CME'!H$17,IF(TAAPortfolioPerformance!F80&gt;TAAPortfolioPerformance!$B$4,"",'Index Returns'!G64*TAA!H$24))</f>
        <v/>
      </c>
      <c r="H80" s="30" t="str">
        <f t="shared" si="2"/>
        <v/>
      </c>
      <c r="I80" s="35" t="str">
        <f t="shared" si="3"/>
        <v/>
      </c>
    </row>
    <row r="81" spans="1:9" ht="18" x14ac:dyDescent="0.35">
      <c r="A81" s="47">
        <v>45044</v>
      </c>
      <c r="B81" s="30" t="str">
        <f>IF(A81&lt;=$B$3,'Index Returns'!B65*'SAA with CME'!C$17,IF(TAAPortfolioPerformance!A81&gt;TAAPortfolioPerformance!$B$4,"",'Index Returns'!B65*TAA!C$24))</f>
        <v/>
      </c>
      <c r="C81" s="30" t="str">
        <f>IF(B81&lt;=$B$3,'Index Returns'!C65*'SAA with CME'!D$17,IF(TAAPortfolioPerformance!B81&gt;TAAPortfolioPerformance!$B$4,"",'Index Returns'!C65*TAA!D$24))</f>
        <v/>
      </c>
      <c r="D81" s="30" t="str">
        <f>IF(C81&lt;=$B$3,'Index Returns'!D65*'SAA with CME'!E$17,IF(TAAPortfolioPerformance!C81&gt;TAAPortfolioPerformance!$B$4,"",'Index Returns'!D65*TAA!E$24))</f>
        <v/>
      </c>
      <c r="E81" s="30" t="str">
        <f>IF(D81&lt;=$B$3,'Index Returns'!E65*'SAA with CME'!F$17,IF(TAAPortfolioPerformance!D81&gt;TAAPortfolioPerformance!$B$4,"",'Index Returns'!E65*TAA!F$24))</f>
        <v/>
      </c>
      <c r="F81" s="30" t="str">
        <f>IF(E81&lt;=$B$3,'Index Returns'!F65*'SAA with CME'!G$17,IF(TAAPortfolioPerformance!E81&gt;TAAPortfolioPerformance!$B$4,"",'Index Returns'!F65*TAA!G$24))</f>
        <v/>
      </c>
      <c r="G81" s="30" t="str">
        <f>IF(F81&lt;=$B$3,'Index Returns'!G65*'SAA with CME'!H$17,IF(TAAPortfolioPerformance!F81&gt;TAAPortfolioPerformance!$B$4,"",'Index Returns'!G65*TAA!H$24))</f>
        <v/>
      </c>
      <c r="H81" s="30" t="str">
        <f t="shared" si="2"/>
        <v/>
      </c>
      <c r="I81" s="35" t="str">
        <f t="shared" si="3"/>
        <v/>
      </c>
    </row>
    <row r="82" spans="1:9" ht="18" x14ac:dyDescent="0.35">
      <c r="A82" s="47">
        <v>45077</v>
      </c>
      <c r="B82" s="30" t="str">
        <f>IF(A82&lt;=$B$3,'Index Returns'!B66*'SAA with CME'!C$17,IF(TAAPortfolioPerformance!A82&gt;TAAPortfolioPerformance!$B$4,"",'Index Returns'!B66*TAA!C$24))</f>
        <v/>
      </c>
      <c r="C82" s="30" t="str">
        <f>IF(B82&lt;=$B$3,'Index Returns'!C66*'SAA with CME'!D$17,IF(TAAPortfolioPerformance!B82&gt;TAAPortfolioPerformance!$B$4,"",'Index Returns'!C66*TAA!D$24))</f>
        <v/>
      </c>
      <c r="D82" s="30" t="str">
        <f>IF(C82&lt;=$B$3,'Index Returns'!D66*'SAA with CME'!E$17,IF(TAAPortfolioPerformance!C82&gt;TAAPortfolioPerformance!$B$4,"",'Index Returns'!D66*TAA!E$24))</f>
        <v/>
      </c>
      <c r="E82" s="30" t="str">
        <f>IF(D82&lt;=$B$3,'Index Returns'!E66*'SAA with CME'!F$17,IF(TAAPortfolioPerformance!D82&gt;TAAPortfolioPerformance!$B$4,"",'Index Returns'!E66*TAA!F$24))</f>
        <v/>
      </c>
      <c r="F82" s="30" t="str">
        <f>IF(E82&lt;=$B$3,'Index Returns'!F66*'SAA with CME'!G$17,IF(TAAPortfolioPerformance!E82&gt;TAAPortfolioPerformance!$B$4,"",'Index Returns'!F66*TAA!G$24))</f>
        <v/>
      </c>
      <c r="G82" s="30" t="str">
        <f>IF(F82&lt;=$B$3,'Index Returns'!G66*'SAA with CME'!H$17,IF(TAAPortfolioPerformance!F82&gt;TAAPortfolioPerformance!$B$4,"",'Index Returns'!G66*TAA!H$24))</f>
        <v/>
      </c>
      <c r="H82" s="30" t="str">
        <f t="shared" si="2"/>
        <v/>
      </c>
      <c r="I82" s="35" t="str">
        <f t="shared" si="3"/>
        <v/>
      </c>
    </row>
    <row r="83" spans="1:9" ht="18" x14ac:dyDescent="0.35">
      <c r="A83" s="47">
        <v>45107</v>
      </c>
      <c r="B83" s="30" t="str">
        <f>IF(A83&lt;=$B$3,'Index Returns'!B67*'SAA with CME'!C$17,IF(TAAPortfolioPerformance!A83&gt;TAAPortfolioPerformance!$B$4,"",'Index Returns'!B67*TAA!C$24))</f>
        <v/>
      </c>
      <c r="C83" s="30" t="str">
        <f>IF(B83&lt;=$B$3,'Index Returns'!C67*'SAA with CME'!D$17,IF(TAAPortfolioPerformance!B83&gt;TAAPortfolioPerformance!$B$4,"",'Index Returns'!C67*TAA!D$24))</f>
        <v/>
      </c>
      <c r="D83" s="30" t="str">
        <f>IF(C83&lt;=$B$3,'Index Returns'!D67*'SAA with CME'!E$17,IF(TAAPortfolioPerformance!C83&gt;TAAPortfolioPerformance!$B$4,"",'Index Returns'!D67*TAA!E$24))</f>
        <v/>
      </c>
      <c r="E83" s="30" t="str">
        <f>IF(D83&lt;=$B$3,'Index Returns'!E67*'SAA with CME'!F$17,IF(TAAPortfolioPerformance!D83&gt;TAAPortfolioPerformance!$B$4,"",'Index Returns'!E67*TAA!F$24))</f>
        <v/>
      </c>
      <c r="F83" s="30" t="str">
        <f>IF(E83&lt;=$B$3,'Index Returns'!F67*'SAA with CME'!G$17,IF(TAAPortfolioPerformance!E83&gt;TAAPortfolioPerformance!$B$4,"",'Index Returns'!F67*TAA!G$24))</f>
        <v/>
      </c>
      <c r="G83" s="30" t="str">
        <f>IF(F83&lt;=$B$3,'Index Returns'!G67*'SAA with CME'!H$17,IF(TAAPortfolioPerformance!F83&gt;TAAPortfolioPerformance!$B$4,"",'Index Returns'!G67*TAA!H$24))</f>
        <v/>
      </c>
      <c r="H83" s="30" t="str">
        <f t="shared" si="2"/>
        <v/>
      </c>
      <c r="I83" s="35" t="str">
        <f t="shared" si="3"/>
        <v/>
      </c>
    </row>
    <row r="84" spans="1:9" ht="18" x14ac:dyDescent="0.35">
      <c r="A84" s="47">
        <v>45138</v>
      </c>
      <c r="B84" s="30" t="str">
        <f>IF(A84&lt;=$B$3,'Index Returns'!B68*'SAA with CME'!C$17,IF(TAAPortfolioPerformance!A84&gt;TAAPortfolioPerformance!$B$4,"",'Index Returns'!B68*TAA!C$24))</f>
        <v/>
      </c>
      <c r="C84" s="30" t="str">
        <f>IF(B84&lt;=$B$3,'Index Returns'!C68*'SAA with CME'!D$17,IF(TAAPortfolioPerformance!B84&gt;TAAPortfolioPerformance!$B$4,"",'Index Returns'!C68*TAA!D$24))</f>
        <v/>
      </c>
      <c r="D84" s="30" t="str">
        <f>IF(C84&lt;=$B$3,'Index Returns'!D68*'SAA with CME'!E$17,IF(TAAPortfolioPerformance!C84&gt;TAAPortfolioPerformance!$B$4,"",'Index Returns'!D68*TAA!E$24))</f>
        <v/>
      </c>
      <c r="E84" s="30" t="str">
        <f>IF(D84&lt;=$B$3,'Index Returns'!E68*'SAA with CME'!F$17,IF(TAAPortfolioPerformance!D84&gt;TAAPortfolioPerformance!$B$4,"",'Index Returns'!E68*TAA!F$24))</f>
        <v/>
      </c>
      <c r="F84" s="30" t="str">
        <f>IF(E84&lt;=$B$3,'Index Returns'!F68*'SAA with CME'!G$17,IF(TAAPortfolioPerformance!E84&gt;TAAPortfolioPerformance!$B$4,"",'Index Returns'!F68*TAA!G$24))</f>
        <v/>
      </c>
      <c r="G84" s="30" t="str">
        <f>IF(F84&lt;=$B$3,'Index Returns'!G68*'SAA with CME'!H$17,IF(TAAPortfolioPerformance!F84&gt;TAAPortfolioPerformance!$B$4,"",'Index Returns'!G68*TAA!H$24))</f>
        <v/>
      </c>
      <c r="H84" s="30" t="str">
        <f t="shared" si="2"/>
        <v/>
      </c>
      <c r="I84" s="35" t="str">
        <f t="shared" si="3"/>
        <v/>
      </c>
    </row>
    <row r="85" spans="1:9" ht="18" x14ac:dyDescent="0.35">
      <c r="A85" s="47">
        <v>45169</v>
      </c>
      <c r="B85" s="30" t="str">
        <f>IF(A85&lt;=$B$3,'Index Returns'!B69*'SAA with CME'!C$17,IF(TAAPortfolioPerformance!A85&gt;TAAPortfolioPerformance!$B$4,"",'Index Returns'!B69*TAA!C$24))</f>
        <v/>
      </c>
      <c r="C85" s="30" t="str">
        <f>IF(B85&lt;=$B$3,'Index Returns'!C69*'SAA with CME'!D$17,IF(TAAPortfolioPerformance!B85&gt;TAAPortfolioPerformance!$B$4,"",'Index Returns'!C69*TAA!D$24))</f>
        <v/>
      </c>
      <c r="D85" s="30" t="str">
        <f>IF(C85&lt;=$B$3,'Index Returns'!D69*'SAA with CME'!E$17,IF(TAAPortfolioPerformance!C85&gt;TAAPortfolioPerformance!$B$4,"",'Index Returns'!D69*TAA!E$24))</f>
        <v/>
      </c>
      <c r="E85" s="30" t="str">
        <f>IF(D85&lt;=$B$3,'Index Returns'!E69*'SAA with CME'!F$17,IF(TAAPortfolioPerformance!D85&gt;TAAPortfolioPerformance!$B$4,"",'Index Returns'!E69*TAA!F$24))</f>
        <v/>
      </c>
      <c r="F85" s="30" t="str">
        <f>IF(E85&lt;=$B$3,'Index Returns'!F69*'SAA with CME'!G$17,IF(TAAPortfolioPerformance!E85&gt;TAAPortfolioPerformance!$B$4,"",'Index Returns'!F69*TAA!G$24))</f>
        <v/>
      </c>
      <c r="G85" s="30" t="str">
        <f>IF(F85&lt;=$B$3,'Index Returns'!G69*'SAA with CME'!H$17,IF(TAAPortfolioPerformance!F85&gt;TAAPortfolioPerformance!$B$4,"",'Index Returns'!G69*TAA!H$24))</f>
        <v/>
      </c>
      <c r="H85" s="30" t="str">
        <f t="shared" si="2"/>
        <v/>
      </c>
      <c r="I85" s="35" t="str">
        <f t="shared" si="3"/>
        <v/>
      </c>
    </row>
    <row r="86" spans="1:9" ht="18" x14ac:dyDescent="0.35">
      <c r="A86" s="47">
        <v>45198</v>
      </c>
      <c r="B86" s="30" t="str">
        <f>IF(A86&lt;=$B$3,'Index Returns'!B70*'SAA with CME'!C$17,IF(TAAPortfolioPerformance!A86&gt;TAAPortfolioPerformance!$B$4,"",'Index Returns'!B70*TAA!C$24))</f>
        <v/>
      </c>
      <c r="C86" s="30" t="str">
        <f>IF(B86&lt;=$B$3,'Index Returns'!C70*'SAA with CME'!D$17,IF(TAAPortfolioPerformance!B86&gt;TAAPortfolioPerformance!$B$4,"",'Index Returns'!C70*TAA!D$24))</f>
        <v/>
      </c>
      <c r="D86" s="30" t="str">
        <f>IF(C86&lt;=$B$3,'Index Returns'!D70*'SAA with CME'!E$17,IF(TAAPortfolioPerformance!C86&gt;TAAPortfolioPerformance!$B$4,"",'Index Returns'!D70*TAA!E$24))</f>
        <v/>
      </c>
      <c r="E86" s="30" t="str">
        <f>IF(D86&lt;=$B$3,'Index Returns'!E70*'SAA with CME'!F$17,IF(TAAPortfolioPerformance!D86&gt;TAAPortfolioPerformance!$B$4,"",'Index Returns'!E70*TAA!F$24))</f>
        <v/>
      </c>
      <c r="F86" s="30" t="str">
        <f>IF(E86&lt;=$B$3,'Index Returns'!F70*'SAA with CME'!G$17,IF(TAAPortfolioPerformance!E86&gt;TAAPortfolioPerformance!$B$4,"",'Index Returns'!F70*TAA!G$24))</f>
        <v/>
      </c>
      <c r="G86" s="30" t="str">
        <f>IF(F86&lt;=$B$3,'Index Returns'!G70*'SAA with CME'!H$17,IF(TAAPortfolioPerformance!F86&gt;TAAPortfolioPerformance!$B$4,"",'Index Returns'!G70*TAA!H$24))</f>
        <v/>
      </c>
      <c r="H86" s="30" t="str">
        <f t="shared" si="2"/>
        <v/>
      </c>
      <c r="I86" s="35" t="str">
        <f t="shared" si="3"/>
        <v/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4AF81-A7CB-43FB-BAD7-D3CE55C467CF}">
  <sheetPr>
    <tabColor rgb="FF06005A"/>
  </sheetPr>
  <dimension ref="A1:DA160"/>
  <sheetViews>
    <sheetView tabSelected="1" zoomScaleNormal="100" workbookViewId="0">
      <selection activeCell="B2" sqref="B2"/>
    </sheetView>
  </sheetViews>
  <sheetFormatPr defaultColWidth="8.7265625" defaultRowHeight="17.5" x14ac:dyDescent="0.35"/>
  <cols>
    <col min="1" max="1" width="3.453125" style="2" customWidth="1"/>
    <col min="2" max="2" width="46.26953125" style="2" customWidth="1"/>
    <col min="3" max="3" width="15.54296875" style="2" bestFit="1" customWidth="1"/>
    <col min="4" max="4" width="16.7265625" style="2" hidden="1" customWidth="1"/>
    <col min="5" max="16" width="12.453125" style="2" hidden="1" customWidth="1"/>
    <col min="17" max="17" width="11.453125" style="2" hidden="1" customWidth="1"/>
    <col min="18" max="18" width="15.54296875" style="2" bestFit="1" customWidth="1"/>
    <col min="19" max="20" width="12.453125" style="2" hidden="1" customWidth="1"/>
    <col min="21" max="22" width="11.453125" style="2" hidden="1" customWidth="1"/>
    <col min="23" max="32" width="12.453125" style="2" hidden="1" customWidth="1"/>
    <col min="33" max="33" width="15.54296875" style="2" bestFit="1" customWidth="1"/>
    <col min="34" max="35" width="12.453125" style="2" hidden="1" customWidth="1"/>
    <col min="36" max="47" width="11.453125" style="2" hidden="1" customWidth="1"/>
    <col min="48" max="48" width="15.54296875" style="2" bestFit="1" customWidth="1"/>
    <col min="49" max="62" width="11.453125" style="2" hidden="1" customWidth="1"/>
    <col min="63" max="63" width="15.54296875" style="2" bestFit="1" customWidth="1"/>
    <col min="64" max="77" width="11.453125" style="2" hidden="1" customWidth="1"/>
    <col min="78" max="78" width="15.54296875" style="2" bestFit="1" customWidth="1"/>
    <col min="79" max="92" width="11.453125" style="2" hidden="1" customWidth="1"/>
    <col min="93" max="93" width="15.54296875" style="2" bestFit="1" customWidth="1"/>
    <col min="94" max="16384" width="8.7265625" style="2"/>
  </cols>
  <sheetData>
    <row r="1" spans="1:105" s="49" customFormat="1" x14ac:dyDescent="0.35"/>
    <row r="2" spans="1:105" s="49" customFormat="1" ht="18" x14ac:dyDescent="0.4">
      <c r="B2" s="61" t="s">
        <v>62</v>
      </c>
      <c r="C2" s="50"/>
    </row>
    <row r="3" spans="1:105" s="49" customFormat="1" x14ac:dyDescent="0.35">
      <c r="B3" s="62" t="s">
        <v>71</v>
      </c>
      <c r="C3" s="63">
        <v>1.2189999999999999E-2</v>
      </c>
    </row>
    <row r="4" spans="1:105" s="49" customFormat="1" x14ac:dyDescent="0.35">
      <c r="B4" s="62" t="s">
        <v>63</v>
      </c>
      <c r="C4" s="63">
        <v>2.6839999999999999E-2</v>
      </c>
    </row>
    <row r="5" spans="1:105" s="49" customFormat="1" x14ac:dyDescent="0.35">
      <c r="B5" s="50"/>
      <c r="C5" s="50"/>
    </row>
    <row r="6" spans="1:105" ht="18" x14ac:dyDescent="0.4">
      <c r="A6" s="49"/>
      <c r="B6" s="61" t="s">
        <v>40</v>
      </c>
      <c r="C6" s="50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9"/>
      <c r="P6" s="49"/>
      <c r="Q6" s="49"/>
      <c r="R6" s="49"/>
      <c r="S6" s="49"/>
      <c r="T6" s="49"/>
      <c r="U6" s="49"/>
      <c r="V6" s="49"/>
      <c r="W6" s="49"/>
      <c r="X6" s="49"/>
      <c r="Y6" s="49"/>
      <c r="Z6" s="49"/>
      <c r="AA6" s="49"/>
      <c r="AB6" s="49"/>
      <c r="AC6" s="49"/>
      <c r="AD6" s="49"/>
      <c r="AE6" s="49"/>
      <c r="AF6" s="49"/>
      <c r="AG6" s="49"/>
      <c r="AH6" s="49"/>
      <c r="AI6" s="49"/>
      <c r="AJ6" s="49"/>
      <c r="AK6" s="49"/>
      <c r="AL6" s="49"/>
      <c r="AM6" s="49"/>
      <c r="AN6" s="49"/>
      <c r="AO6" s="49"/>
      <c r="AP6" s="49"/>
      <c r="AQ6" s="49"/>
      <c r="AR6" s="49"/>
      <c r="AS6" s="49"/>
      <c r="AT6" s="49"/>
      <c r="AU6" s="49"/>
      <c r="AV6" s="49"/>
      <c r="AW6" s="49"/>
      <c r="AX6" s="49"/>
      <c r="AY6" s="49"/>
      <c r="AZ6" s="49"/>
      <c r="BA6" s="49"/>
      <c r="BB6" s="49"/>
      <c r="BC6" s="49"/>
      <c r="BD6" s="49"/>
      <c r="BE6" s="49"/>
      <c r="BF6" s="49"/>
      <c r="BG6" s="49"/>
      <c r="BH6" s="49"/>
      <c r="BI6" s="49"/>
      <c r="BJ6" s="49"/>
      <c r="BK6" s="49"/>
      <c r="BL6" s="49"/>
      <c r="BM6" s="49"/>
      <c r="BN6" s="49"/>
      <c r="BO6" s="49"/>
      <c r="BP6" s="49"/>
      <c r="BQ6" s="49"/>
      <c r="BR6" s="49"/>
      <c r="BS6" s="49"/>
      <c r="BT6" s="49"/>
      <c r="BU6" s="49"/>
      <c r="BV6" s="49"/>
      <c r="BW6" s="49"/>
      <c r="BX6" s="49"/>
      <c r="BY6" s="49"/>
      <c r="BZ6" s="49"/>
      <c r="CA6" s="49"/>
      <c r="CB6" s="49"/>
      <c r="CC6" s="49"/>
      <c r="CD6" s="49"/>
      <c r="CE6" s="49"/>
      <c r="CF6" s="49"/>
      <c r="CG6" s="49"/>
      <c r="CH6" s="49"/>
      <c r="CI6" s="49"/>
      <c r="CJ6" s="49"/>
      <c r="CK6" s="49"/>
      <c r="CL6" s="49"/>
      <c r="CM6" s="49"/>
      <c r="CN6" s="49"/>
      <c r="CO6" s="49"/>
      <c r="CP6" s="49"/>
      <c r="CQ6" s="49"/>
      <c r="CR6" s="49"/>
      <c r="CS6" s="49"/>
      <c r="CT6" s="49"/>
      <c r="CU6" s="49"/>
      <c r="CV6" s="49"/>
      <c r="CW6" s="49"/>
      <c r="CX6" s="49"/>
      <c r="CY6" s="49"/>
      <c r="CZ6" s="49"/>
      <c r="DA6" s="49"/>
    </row>
    <row r="7" spans="1:105" x14ac:dyDescent="0.35">
      <c r="A7" s="49"/>
      <c r="B7" s="62" t="s">
        <v>41</v>
      </c>
      <c r="C7" s="64">
        <v>5000000</v>
      </c>
      <c r="D7" s="49"/>
      <c r="E7" s="49"/>
      <c r="F7" s="49"/>
      <c r="G7" s="49"/>
      <c r="H7" s="49"/>
      <c r="I7" s="49"/>
      <c r="J7" s="49"/>
      <c r="K7" s="49"/>
      <c r="L7" s="49"/>
      <c r="M7" s="49"/>
      <c r="N7" s="49"/>
      <c r="O7" s="49"/>
      <c r="P7" s="49"/>
      <c r="Q7" s="49"/>
      <c r="R7" s="49"/>
      <c r="S7" s="49"/>
      <c r="T7" s="49"/>
      <c r="U7" s="49"/>
      <c r="V7" s="49"/>
      <c r="W7" s="49"/>
      <c r="X7" s="49"/>
      <c r="Y7" s="49"/>
      <c r="Z7" s="49"/>
      <c r="AA7" s="49"/>
      <c r="AB7" s="49"/>
      <c r="AC7" s="49"/>
      <c r="AD7" s="49"/>
      <c r="AE7" s="49"/>
      <c r="AF7" s="49"/>
      <c r="AG7" s="49"/>
      <c r="AH7" s="49"/>
      <c r="AI7" s="49"/>
      <c r="AJ7" s="49"/>
      <c r="AK7" s="49"/>
      <c r="AL7" s="49"/>
      <c r="AM7" s="49"/>
      <c r="AN7" s="49"/>
      <c r="AO7" s="49"/>
      <c r="AP7" s="49"/>
      <c r="AQ7" s="49"/>
      <c r="AR7" s="49"/>
      <c r="AS7" s="49"/>
      <c r="AT7" s="49"/>
      <c r="AU7" s="49"/>
      <c r="AV7" s="49"/>
      <c r="AW7" s="49"/>
      <c r="AX7" s="49"/>
      <c r="AY7" s="49"/>
      <c r="AZ7" s="49"/>
      <c r="BA7" s="49"/>
      <c r="BB7" s="49"/>
      <c r="BC7" s="49"/>
      <c r="BD7" s="49"/>
      <c r="BE7" s="49"/>
      <c r="BF7" s="49"/>
      <c r="BG7" s="49"/>
      <c r="BH7" s="49"/>
      <c r="BI7" s="49"/>
      <c r="BJ7" s="49"/>
      <c r="BK7" s="49"/>
      <c r="BL7" s="49"/>
      <c r="BM7" s="49"/>
      <c r="BN7" s="49"/>
      <c r="BO7" s="49"/>
      <c r="BP7" s="49"/>
      <c r="BQ7" s="49"/>
      <c r="BR7" s="49"/>
      <c r="BS7" s="49"/>
      <c r="BT7" s="49"/>
      <c r="BU7" s="49"/>
      <c r="BV7" s="49"/>
      <c r="BW7" s="49"/>
      <c r="BX7" s="49"/>
      <c r="BY7" s="49"/>
      <c r="BZ7" s="49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49"/>
      <c r="CR7" s="49"/>
      <c r="CS7" s="49"/>
      <c r="CT7" s="49"/>
      <c r="CU7" s="49"/>
      <c r="CV7" s="49"/>
      <c r="CW7" s="49"/>
      <c r="CX7" s="49"/>
      <c r="CY7" s="49"/>
      <c r="CZ7" s="49"/>
      <c r="DA7" s="49"/>
    </row>
    <row r="8" spans="1:105" ht="18" x14ac:dyDescent="0.4">
      <c r="A8" s="49"/>
      <c r="B8" s="62" t="s">
        <v>72</v>
      </c>
      <c r="C8" s="65">
        <f>C7*C12</f>
        <v>3835826.6206367468</v>
      </c>
      <c r="D8" s="49"/>
      <c r="E8" s="49"/>
      <c r="F8" s="49"/>
      <c r="G8" s="49"/>
      <c r="H8" s="49"/>
      <c r="I8" s="49"/>
      <c r="J8" s="49"/>
      <c r="K8" s="49"/>
      <c r="L8" s="49"/>
      <c r="M8" s="49"/>
      <c r="N8" s="49"/>
      <c r="O8" s="49"/>
      <c r="P8" s="49"/>
      <c r="Q8" s="49"/>
      <c r="R8" s="49"/>
      <c r="S8" s="49"/>
      <c r="T8" s="49"/>
      <c r="U8" s="49"/>
      <c r="V8" s="49"/>
      <c r="W8" s="49"/>
      <c r="X8" s="49"/>
      <c r="Y8" s="49"/>
      <c r="Z8" s="49"/>
      <c r="AA8" s="49"/>
      <c r="AB8" s="49"/>
      <c r="AC8" s="49"/>
      <c r="AD8" s="49"/>
      <c r="AE8" s="49"/>
      <c r="AF8" s="49"/>
      <c r="AG8" s="49"/>
      <c r="AH8" s="49"/>
      <c r="AI8" s="49"/>
      <c r="AJ8" s="49"/>
      <c r="AK8" s="49"/>
      <c r="AL8" s="49"/>
      <c r="AM8" s="49"/>
      <c r="AN8" s="49"/>
      <c r="AO8" s="49"/>
      <c r="AP8" s="49"/>
      <c r="AQ8" s="49"/>
      <c r="AR8" s="49"/>
      <c r="AS8" s="49"/>
      <c r="AT8" s="49"/>
      <c r="AU8" s="49"/>
      <c r="AV8" s="49"/>
      <c r="AW8" s="49"/>
      <c r="AX8" s="49"/>
      <c r="AY8" s="49"/>
      <c r="AZ8" s="49"/>
      <c r="BA8" s="49"/>
      <c r="BB8" s="49"/>
      <c r="BC8" s="49"/>
      <c r="BD8" s="49"/>
      <c r="BE8" s="49"/>
      <c r="BF8" s="49"/>
      <c r="BG8" s="49"/>
      <c r="BH8" s="49"/>
      <c r="BI8" s="49"/>
      <c r="BJ8" s="49"/>
      <c r="BK8" s="49"/>
      <c r="BL8" s="49"/>
      <c r="BM8" s="49"/>
      <c r="BN8" s="49"/>
      <c r="BO8" s="49"/>
      <c r="BP8" s="49"/>
      <c r="BQ8" s="49"/>
      <c r="BR8" s="49"/>
      <c r="BS8" s="49"/>
      <c r="BT8" s="49"/>
      <c r="BU8" s="49"/>
      <c r="BV8" s="49"/>
      <c r="BW8" s="49"/>
      <c r="BX8" s="49"/>
      <c r="BY8" s="49"/>
      <c r="BZ8" s="49"/>
      <c r="CA8" s="49"/>
      <c r="CB8" s="49"/>
      <c r="CC8" s="49"/>
      <c r="CD8" s="49"/>
      <c r="CE8" s="49"/>
      <c r="CF8" s="49"/>
      <c r="CG8" s="49"/>
      <c r="CH8" s="49"/>
      <c r="CI8" s="49"/>
      <c r="CJ8" s="49"/>
      <c r="CK8" s="49"/>
      <c r="CL8" s="49"/>
      <c r="CM8" s="49"/>
      <c r="CN8" s="49"/>
      <c r="CO8" s="49"/>
      <c r="CP8" s="49"/>
      <c r="CQ8" s="49"/>
      <c r="CR8" s="49"/>
      <c r="CS8" s="49"/>
      <c r="CT8" s="49"/>
      <c r="CU8" s="49"/>
      <c r="CV8" s="49"/>
      <c r="CW8" s="49"/>
      <c r="CX8" s="49"/>
      <c r="CY8" s="49"/>
      <c r="CZ8" s="49"/>
      <c r="DA8" s="49"/>
    </row>
    <row r="9" spans="1:105" x14ac:dyDescent="0.35">
      <c r="A9" s="49"/>
      <c r="B9" s="50"/>
      <c r="C9" s="49"/>
      <c r="D9" s="49"/>
      <c r="E9" s="49"/>
      <c r="F9" s="49"/>
      <c r="G9" s="49"/>
      <c r="H9" s="49"/>
      <c r="I9" s="49"/>
      <c r="J9" s="49"/>
      <c r="K9" s="49"/>
      <c r="L9" s="49"/>
      <c r="M9" s="49"/>
      <c r="N9" s="49"/>
      <c r="O9" s="49"/>
      <c r="P9" s="49"/>
      <c r="Q9" s="49"/>
      <c r="R9" s="49"/>
      <c r="S9" s="49"/>
      <c r="T9" s="49"/>
      <c r="U9" s="49"/>
      <c r="V9" s="49"/>
      <c r="W9" s="49"/>
      <c r="X9" s="49"/>
      <c r="Y9" s="49"/>
      <c r="Z9" s="49"/>
      <c r="AA9" s="49"/>
      <c r="AB9" s="49"/>
      <c r="AC9" s="49"/>
      <c r="AD9" s="49"/>
      <c r="AE9" s="49"/>
      <c r="AF9" s="49"/>
      <c r="AG9" s="49"/>
      <c r="AH9" s="49"/>
      <c r="AI9" s="49"/>
      <c r="AJ9" s="49"/>
      <c r="AK9" s="49"/>
      <c r="AL9" s="49"/>
      <c r="AM9" s="49"/>
      <c r="AN9" s="49"/>
      <c r="AO9" s="49"/>
      <c r="AP9" s="49"/>
      <c r="AQ9" s="49"/>
      <c r="AR9" s="49"/>
      <c r="AS9" s="49"/>
      <c r="AT9" s="49"/>
      <c r="AU9" s="49"/>
      <c r="AV9" s="49"/>
      <c r="AW9" s="49"/>
      <c r="AX9" s="49"/>
      <c r="AY9" s="49"/>
      <c r="AZ9" s="49"/>
      <c r="BA9" s="49"/>
      <c r="BB9" s="49"/>
      <c r="BC9" s="49"/>
      <c r="BD9" s="49"/>
      <c r="BE9" s="49"/>
      <c r="BF9" s="49"/>
      <c r="BG9" s="49"/>
      <c r="BH9" s="49"/>
      <c r="BI9" s="49"/>
      <c r="BJ9" s="49"/>
      <c r="BK9" s="49"/>
      <c r="BL9" s="49"/>
      <c r="BM9" s="49"/>
      <c r="BN9" s="49"/>
      <c r="BO9" s="49"/>
      <c r="BP9" s="49"/>
      <c r="BQ9" s="49"/>
      <c r="BR9" s="49"/>
      <c r="BS9" s="49"/>
      <c r="BT9" s="49"/>
      <c r="BU9" s="49"/>
      <c r="BV9" s="49"/>
      <c r="BW9" s="49"/>
      <c r="BX9" s="49"/>
      <c r="BY9" s="49"/>
      <c r="BZ9" s="49"/>
      <c r="CA9" s="49"/>
      <c r="CB9" s="49"/>
      <c r="CC9" s="49"/>
      <c r="CD9" s="49"/>
      <c r="CE9" s="49"/>
      <c r="CF9" s="49"/>
      <c r="CG9" s="49"/>
      <c r="CH9" s="49"/>
      <c r="CI9" s="49"/>
      <c r="CJ9" s="49"/>
      <c r="CK9" s="49"/>
      <c r="CL9" s="49"/>
      <c r="CM9" s="49"/>
      <c r="CN9" s="49"/>
      <c r="CO9" s="49"/>
      <c r="CP9" s="49"/>
      <c r="CQ9" s="49"/>
      <c r="CR9" s="49"/>
      <c r="CS9" s="49"/>
      <c r="CT9" s="49"/>
      <c r="CU9" s="49"/>
      <c r="CV9" s="49"/>
      <c r="CW9" s="49"/>
      <c r="CX9" s="49"/>
      <c r="CY9" s="49"/>
      <c r="CZ9" s="49"/>
      <c r="DA9" s="49"/>
    </row>
    <row r="10" spans="1:105" ht="18" x14ac:dyDescent="0.4">
      <c r="A10" s="49"/>
      <c r="B10" s="61" t="s">
        <v>42</v>
      </c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49"/>
      <c r="CF10" s="49"/>
      <c r="CG10" s="49"/>
      <c r="CH10" s="49"/>
      <c r="CI10" s="49"/>
      <c r="CJ10" s="49"/>
      <c r="CK10" s="49"/>
      <c r="CL10" s="49"/>
      <c r="CM10" s="49"/>
      <c r="CN10" s="49"/>
      <c r="CO10" s="49"/>
      <c r="CP10" s="49"/>
      <c r="CQ10" s="49"/>
      <c r="CR10" s="49"/>
      <c r="CS10" s="49"/>
      <c r="CT10" s="49"/>
      <c r="CU10" s="49"/>
      <c r="CV10" s="49"/>
      <c r="CW10" s="49"/>
      <c r="CX10" s="49"/>
      <c r="CY10" s="49"/>
      <c r="CZ10" s="49"/>
      <c r="DA10" s="49"/>
    </row>
    <row r="11" spans="1:105" ht="18" x14ac:dyDescent="0.4">
      <c r="A11" s="49"/>
      <c r="B11" s="66" t="s">
        <v>43</v>
      </c>
      <c r="C11" s="67">
        <v>0</v>
      </c>
      <c r="D11" s="67">
        <v>1</v>
      </c>
      <c r="E11" s="67">
        <v>2</v>
      </c>
      <c r="F11" s="67">
        <v>3</v>
      </c>
      <c r="G11" s="67">
        <v>4</v>
      </c>
      <c r="H11" s="67">
        <v>5</v>
      </c>
      <c r="I11" s="67">
        <v>6</v>
      </c>
      <c r="J11" s="67">
        <v>7</v>
      </c>
      <c r="K11" s="67">
        <v>8</v>
      </c>
      <c r="L11" s="67">
        <v>9</v>
      </c>
      <c r="M11" s="67">
        <v>10</v>
      </c>
      <c r="N11" s="67">
        <v>11</v>
      </c>
      <c r="O11" s="67">
        <v>12</v>
      </c>
      <c r="P11" s="67">
        <v>13</v>
      </c>
      <c r="Q11" s="67">
        <v>14</v>
      </c>
      <c r="R11" s="67">
        <v>15</v>
      </c>
      <c r="S11" s="67">
        <v>16</v>
      </c>
      <c r="T11" s="67">
        <v>17</v>
      </c>
      <c r="U11" s="67">
        <v>18</v>
      </c>
      <c r="V11" s="67">
        <v>19</v>
      </c>
      <c r="W11" s="67">
        <v>20</v>
      </c>
      <c r="X11" s="67">
        <v>21</v>
      </c>
      <c r="Y11" s="67">
        <v>22</v>
      </c>
      <c r="Z11" s="67">
        <v>23</v>
      </c>
      <c r="AA11" s="67">
        <v>24</v>
      </c>
      <c r="AB11" s="67">
        <v>25</v>
      </c>
      <c r="AC11" s="67">
        <v>26</v>
      </c>
      <c r="AD11" s="67">
        <v>27</v>
      </c>
      <c r="AE11" s="67">
        <v>28</v>
      </c>
      <c r="AF11" s="67">
        <v>29</v>
      </c>
      <c r="AG11" s="67">
        <v>30</v>
      </c>
      <c r="AH11" s="67">
        <v>31</v>
      </c>
      <c r="AI11" s="67">
        <v>32</v>
      </c>
      <c r="AJ11" s="67">
        <v>33</v>
      </c>
      <c r="AK11" s="67">
        <v>34</v>
      </c>
      <c r="AL11" s="67">
        <v>35</v>
      </c>
      <c r="AM11" s="67">
        <v>36</v>
      </c>
      <c r="AN11" s="67">
        <v>37</v>
      </c>
      <c r="AO11" s="67">
        <v>38</v>
      </c>
      <c r="AP11" s="67">
        <v>39</v>
      </c>
      <c r="AQ11" s="67">
        <v>40</v>
      </c>
      <c r="AR11" s="67">
        <v>41</v>
      </c>
      <c r="AS11" s="67">
        <v>42</v>
      </c>
      <c r="AT11" s="67">
        <v>43</v>
      </c>
      <c r="AU11" s="67">
        <v>44</v>
      </c>
      <c r="AV11" s="67">
        <v>45</v>
      </c>
      <c r="AW11" s="67">
        <v>46</v>
      </c>
      <c r="AX11" s="67">
        <v>47</v>
      </c>
      <c r="AY11" s="67">
        <v>48</v>
      </c>
      <c r="AZ11" s="67">
        <v>49</v>
      </c>
      <c r="BA11" s="67">
        <v>50</v>
      </c>
      <c r="BB11" s="67">
        <v>51</v>
      </c>
      <c r="BC11" s="67">
        <v>52</v>
      </c>
      <c r="BD11" s="67">
        <v>53</v>
      </c>
      <c r="BE11" s="67">
        <v>54</v>
      </c>
      <c r="BF11" s="67">
        <v>55</v>
      </c>
      <c r="BG11" s="67">
        <v>56</v>
      </c>
      <c r="BH11" s="67">
        <v>57</v>
      </c>
      <c r="BI11" s="67">
        <v>58</v>
      </c>
      <c r="BJ11" s="67">
        <v>59</v>
      </c>
      <c r="BK11" s="67">
        <v>60</v>
      </c>
      <c r="BL11" s="67">
        <v>61</v>
      </c>
      <c r="BM11" s="67">
        <v>62</v>
      </c>
      <c r="BN11" s="67">
        <v>63</v>
      </c>
      <c r="BO11" s="67">
        <v>64</v>
      </c>
      <c r="BP11" s="67">
        <v>65</v>
      </c>
      <c r="BQ11" s="67">
        <v>66</v>
      </c>
      <c r="BR11" s="67">
        <v>67</v>
      </c>
      <c r="BS11" s="67">
        <v>68</v>
      </c>
      <c r="BT11" s="67">
        <v>69</v>
      </c>
      <c r="BU11" s="67">
        <v>70</v>
      </c>
      <c r="BV11" s="67">
        <v>71</v>
      </c>
      <c r="BW11" s="67">
        <v>72</v>
      </c>
      <c r="BX11" s="67">
        <v>73</v>
      </c>
      <c r="BY11" s="67">
        <v>74</v>
      </c>
      <c r="BZ11" s="67">
        <v>75</v>
      </c>
      <c r="CA11" s="67">
        <v>76</v>
      </c>
      <c r="CB11" s="67">
        <v>77</v>
      </c>
      <c r="CC11" s="67">
        <v>78</v>
      </c>
      <c r="CD11" s="67">
        <v>79</v>
      </c>
      <c r="CE11" s="67">
        <v>80</v>
      </c>
      <c r="CF11" s="67">
        <v>81</v>
      </c>
      <c r="CG11" s="67">
        <v>82</v>
      </c>
      <c r="CH11" s="67">
        <v>83</v>
      </c>
      <c r="CI11" s="67">
        <v>84</v>
      </c>
      <c r="CJ11" s="67">
        <v>85</v>
      </c>
      <c r="CK11" s="67">
        <v>86</v>
      </c>
      <c r="CL11" s="67">
        <v>87</v>
      </c>
      <c r="CM11" s="67">
        <v>88</v>
      </c>
      <c r="CN11" s="67">
        <v>89</v>
      </c>
      <c r="CO11" s="67">
        <v>90</v>
      </c>
      <c r="CP11" s="49"/>
      <c r="CQ11" s="49"/>
      <c r="CR11" s="49"/>
      <c r="CS11" s="49"/>
      <c r="CT11" s="49"/>
      <c r="CU11" s="49"/>
      <c r="CV11" s="49"/>
      <c r="CW11" s="49"/>
      <c r="CX11" s="49"/>
      <c r="CY11" s="49"/>
      <c r="CZ11" s="49"/>
      <c r="DA11" s="49"/>
    </row>
    <row r="12" spans="1:105" x14ac:dyDescent="0.35">
      <c r="A12" s="49"/>
      <c r="B12" s="62" t="s">
        <v>73</v>
      </c>
      <c r="C12" s="68">
        <v>0.76716532412734939</v>
      </c>
      <c r="D12" s="68">
        <v>0.76663600122661757</v>
      </c>
      <c r="E12" s="68">
        <v>0.75820759724012432</v>
      </c>
      <c r="F12" s="68">
        <v>0.75688767786860434</v>
      </c>
      <c r="G12" s="68">
        <v>0.75786282682834416</v>
      </c>
      <c r="H12" s="68">
        <v>0.75705958058899236</v>
      </c>
      <c r="I12" s="68">
        <v>0.76295109483482115</v>
      </c>
      <c r="J12" s="68">
        <v>0.75769055917563266</v>
      </c>
      <c r="K12" s="68">
        <v>0.75369309617123903</v>
      </c>
      <c r="L12" s="68">
        <v>0.75443228970199927</v>
      </c>
      <c r="M12" s="68">
        <v>0.7524454477050414</v>
      </c>
      <c r="N12" s="68">
        <v>0.75517293460202384</v>
      </c>
      <c r="O12" s="68">
        <v>0.74973759184285493</v>
      </c>
      <c r="P12" s="68">
        <v>0.76481835564053535</v>
      </c>
      <c r="Q12" s="68">
        <v>0.76045627376425862</v>
      </c>
      <c r="R12" s="68">
        <v>0.76834421820975796</v>
      </c>
      <c r="S12" s="68">
        <v>0.76423385555980128</v>
      </c>
      <c r="T12" s="68">
        <v>0.75930144267274113</v>
      </c>
      <c r="U12" s="68">
        <v>0.75884049172863854</v>
      </c>
      <c r="V12" s="68">
        <v>0.75872534142640358</v>
      </c>
      <c r="W12" s="68">
        <v>0.75746099075897588</v>
      </c>
      <c r="X12" s="68">
        <v>0.75397722988765736</v>
      </c>
      <c r="Y12" s="68">
        <v>0.751371252535878</v>
      </c>
      <c r="Z12" s="68">
        <v>0.75460307878056143</v>
      </c>
      <c r="AA12" s="68">
        <v>0.76353363365656257</v>
      </c>
      <c r="AB12" s="68">
        <v>0.76610740825863788</v>
      </c>
      <c r="AC12" s="68">
        <v>0.7666947788085563</v>
      </c>
      <c r="AD12" s="68">
        <v>0.76628352490421459</v>
      </c>
      <c r="AE12" s="68">
        <v>0.76557954371459191</v>
      </c>
      <c r="AF12" s="68">
        <v>0.77375425564840605</v>
      </c>
      <c r="AG12" s="68">
        <v>0.77585538055706416</v>
      </c>
      <c r="AH12" s="68">
        <v>0.78106693743653832</v>
      </c>
      <c r="AI12" s="68">
        <v>0.77845243655612639</v>
      </c>
      <c r="AJ12" s="68">
        <v>0.77567483710828422</v>
      </c>
      <c r="AK12" s="68">
        <v>0.77790742901594701</v>
      </c>
      <c r="AL12" s="68">
        <v>0.77255871446229918</v>
      </c>
      <c r="AM12" s="68">
        <v>0.77208153180975914</v>
      </c>
      <c r="AN12" s="68">
        <v>0.77327559542220858</v>
      </c>
      <c r="AO12" s="68">
        <v>0.77249903437620704</v>
      </c>
      <c r="AP12" s="68">
        <v>0.76704763365805007</v>
      </c>
      <c r="AQ12" s="68">
        <v>0.76458444835232042</v>
      </c>
      <c r="AR12" s="68">
        <v>0.76283469372187052</v>
      </c>
      <c r="AS12" s="68">
        <v>0.76242756938090872</v>
      </c>
      <c r="AT12" s="68">
        <v>0.76534517067197305</v>
      </c>
      <c r="AU12" s="68">
        <v>0.75970523436906479</v>
      </c>
      <c r="AV12" s="68">
        <v>0.7578053955744164</v>
      </c>
      <c r="AW12" s="68">
        <v>0.76534517067197305</v>
      </c>
      <c r="AX12" s="68">
        <v>0.76516948504093663</v>
      </c>
      <c r="AY12" s="68">
        <v>0.77196232823838196</v>
      </c>
      <c r="AZ12" s="68">
        <v>0.77567483710828422</v>
      </c>
      <c r="BA12" s="68">
        <v>0.77688004972032321</v>
      </c>
      <c r="BB12" s="68">
        <v>0.7700600646850454</v>
      </c>
      <c r="BC12" s="68">
        <v>0.77609623593325572</v>
      </c>
      <c r="BD12" s="68">
        <v>0.77754451442345074</v>
      </c>
      <c r="BE12" s="68">
        <v>0.77736318407960203</v>
      </c>
      <c r="BF12" s="68">
        <v>0.7785736530675802</v>
      </c>
      <c r="BG12" s="68">
        <v>0.78449831332862641</v>
      </c>
      <c r="BH12" s="68">
        <v>0.78192196418797411</v>
      </c>
      <c r="BI12" s="68">
        <v>0.78634898167806866</v>
      </c>
      <c r="BJ12" s="68">
        <v>0.78265633560303671</v>
      </c>
      <c r="BK12" s="68">
        <v>0.78597814980743541</v>
      </c>
      <c r="BL12" s="68">
        <v>0.79189103579347486</v>
      </c>
      <c r="BM12" s="68">
        <v>0.79321012136114866</v>
      </c>
      <c r="BN12" s="68">
        <v>0.78492935635792782</v>
      </c>
      <c r="BO12" s="68">
        <v>0.78406774345303432</v>
      </c>
      <c r="BP12" s="68">
        <v>0.78746357980943382</v>
      </c>
      <c r="BQ12" s="68">
        <v>0.79088895919012969</v>
      </c>
      <c r="BR12" s="68">
        <v>0.79157761418507078</v>
      </c>
      <c r="BS12" s="68">
        <v>0.78895463510848118</v>
      </c>
      <c r="BT12" s="68">
        <v>0.78702974972453965</v>
      </c>
      <c r="BU12" s="68">
        <v>0.7908264136022144</v>
      </c>
      <c r="BV12" s="68">
        <v>0.79013906447534765</v>
      </c>
      <c r="BW12" s="68">
        <v>0.79302141157811268</v>
      </c>
      <c r="BX12" s="68">
        <v>0.79120183558825852</v>
      </c>
      <c r="BY12" s="68">
        <v>0.79214195183776936</v>
      </c>
      <c r="BZ12" s="68">
        <v>0.79472303902090125</v>
      </c>
      <c r="CA12" s="68">
        <v>0.79095151467215064</v>
      </c>
      <c r="CB12" s="68">
        <v>0.79182833161770538</v>
      </c>
      <c r="CC12" s="68">
        <v>0.80083286618082816</v>
      </c>
      <c r="CD12" s="68">
        <v>0.79611495900007967</v>
      </c>
      <c r="CE12" s="68">
        <v>0.78579286500078582</v>
      </c>
      <c r="CF12" s="68">
        <v>0.78241139190986619</v>
      </c>
      <c r="CG12" s="68">
        <v>0.78529919899481693</v>
      </c>
      <c r="CH12" s="68">
        <v>0.78622533218020285</v>
      </c>
      <c r="CI12" s="68">
        <v>0.78585461689587432</v>
      </c>
      <c r="CJ12" s="68">
        <v>0.7843752451172642</v>
      </c>
      <c r="CK12" s="68">
        <v>0.781799702916113</v>
      </c>
      <c r="CL12" s="68">
        <v>0.77972709551656927</v>
      </c>
      <c r="CM12" s="68">
        <v>0.78449831332862641</v>
      </c>
      <c r="CN12" s="68">
        <v>0.7796055196070788</v>
      </c>
      <c r="CO12" s="68">
        <v>0.77918030232195723</v>
      </c>
      <c r="CP12" s="50"/>
      <c r="CQ12" s="49"/>
      <c r="CR12" s="49"/>
      <c r="CS12" s="49"/>
      <c r="CT12" s="49"/>
      <c r="CU12" s="49"/>
      <c r="CV12" s="49"/>
      <c r="CW12" s="49"/>
      <c r="CX12" s="49"/>
      <c r="CY12" s="49"/>
      <c r="CZ12" s="49"/>
      <c r="DA12" s="49"/>
    </row>
    <row r="13" spans="1:105" ht="18" x14ac:dyDescent="0.4">
      <c r="A13" s="49"/>
      <c r="B13" s="62" t="s">
        <v>74</v>
      </c>
      <c r="C13" s="69">
        <f>1/C12</f>
        <v>1.3035000000000001</v>
      </c>
      <c r="D13" s="69">
        <f t="shared" ref="D13:BO13" si="0">1/D12</f>
        <v>1.3044</v>
      </c>
      <c r="E13" s="69">
        <f t="shared" si="0"/>
        <v>1.3189</v>
      </c>
      <c r="F13" s="69">
        <f t="shared" si="0"/>
        <v>1.3211999999999999</v>
      </c>
      <c r="G13" s="69">
        <f t="shared" si="0"/>
        <v>1.3194999999999999</v>
      </c>
      <c r="H13" s="69">
        <f t="shared" si="0"/>
        <v>1.3209</v>
      </c>
      <c r="I13" s="69">
        <f t="shared" si="0"/>
        <v>1.3107</v>
      </c>
      <c r="J13" s="69">
        <f t="shared" si="0"/>
        <v>1.3198000000000001</v>
      </c>
      <c r="K13" s="69">
        <f t="shared" si="0"/>
        <v>1.3268</v>
      </c>
      <c r="L13" s="69">
        <f t="shared" si="0"/>
        <v>1.3254999999999999</v>
      </c>
      <c r="M13" s="69">
        <f t="shared" si="0"/>
        <v>1.329</v>
      </c>
      <c r="N13" s="69">
        <f t="shared" si="0"/>
        <v>1.3242</v>
      </c>
      <c r="O13" s="69">
        <f t="shared" si="0"/>
        <v>1.3338000000000001</v>
      </c>
      <c r="P13" s="69">
        <f t="shared" si="0"/>
        <v>1.3075000000000001</v>
      </c>
      <c r="Q13" s="69">
        <f t="shared" si="0"/>
        <v>1.3149999999999999</v>
      </c>
      <c r="R13" s="69">
        <f t="shared" si="0"/>
        <v>1.3015000000000001</v>
      </c>
      <c r="S13" s="69">
        <f t="shared" si="0"/>
        <v>1.3085</v>
      </c>
      <c r="T13" s="69">
        <f t="shared" si="0"/>
        <v>1.3169999999999999</v>
      </c>
      <c r="U13" s="69">
        <f t="shared" si="0"/>
        <v>1.3178000000000001</v>
      </c>
      <c r="V13" s="69">
        <f t="shared" si="0"/>
        <v>1.3180000000000001</v>
      </c>
      <c r="W13" s="69">
        <f t="shared" si="0"/>
        <v>1.3202</v>
      </c>
      <c r="X13" s="69">
        <f t="shared" si="0"/>
        <v>1.3263</v>
      </c>
      <c r="Y13" s="69">
        <f t="shared" si="0"/>
        <v>1.3309</v>
      </c>
      <c r="Z13" s="69">
        <f t="shared" si="0"/>
        <v>1.3251999999999999</v>
      </c>
      <c r="AA13" s="69">
        <f t="shared" si="0"/>
        <v>1.3097000000000001</v>
      </c>
      <c r="AB13" s="69">
        <f t="shared" si="0"/>
        <v>1.3052999999999999</v>
      </c>
      <c r="AC13" s="69">
        <f t="shared" si="0"/>
        <v>1.3043</v>
      </c>
      <c r="AD13" s="69">
        <f t="shared" si="0"/>
        <v>1.3049999999999999</v>
      </c>
      <c r="AE13" s="69">
        <f t="shared" si="0"/>
        <v>1.3062</v>
      </c>
      <c r="AF13" s="69">
        <f t="shared" si="0"/>
        <v>1.2924</v>
      </c>
      <c r="AG13" s="69">
        <f t="shared" si="0"/>
        <v>1.2888999999999999</v>
      </c>
      <c r="AH13" s="69">
        <f t="shared" si="0"/>
        <v>1.2803</v>
      </c>
      <c r="AI13" s="69">
        <f t="shared" si="0"/>
        <v>1.2846</v>
      </c>
      <c r="AJ13" s="69">
        <f t="shared" si="0"/>
        <v>1.2891999999999999</v>
      </c>
      <c r="AK13" s="69">
        <f t="shared" si="0"/>
        <v>1.2855000000000001</v>
      </c>
      <c r="AL13" s="69">
        <f t="shared" si="0"/>
        <v>1.2944</v>
      </c>
      <c r="AM13" s="69">
        <f t="shared" si="0"/>
        <v>1.2951999999999999</v>
      </c>
      <c r="AN13" s="69">
        <f t="shared" si="0"/>
        <v>1.2931999999999999</v>
      </c>
      <c r="AO13" s="69">
        <f t="shared" si="0"/>
        <v>1.2945</v>
      </c>
      <c r="AP13" s="69">
        <f t="shared" si="0"/>
        <v>1.3037000000000001</v>
      </c>
      <c r="AQ13" s="69">
        <f t="shared" si="0"/>
        <v>1.3079000000000001</v>
      </c>
      <c r="AR13" s="69">
        <f t="shared" si="0"/>
        <v>1.3109</v>
      </c>
      <c r="AS13" s="69">
        <f t="shared" si="0"/>
        <v>1.3116000000000001</v>
      </c>
      <c r="AT13" s="69">
        <f t="shared" si="0"/>
        <v>1.3066</v>
      </c>
      <c r="AU13" s="69">
        <f t="shared" si="0"/>
        <v>1.3163</v>
      </c>
      <c r="AV13" s="69">
        <f t="shared" si="0"/>
        <v>1.3196000000000001</v>
      </c>
      <c r="AW13" s="69">
        <f t="shared" si="0"/>
        <v>1.3066</v>
      </c>
      <c r="AX13" s="69">
        <f t="shared" si="0"/>
        <v>1.3069</v>
      </c>
      <c r="AY13" s="69">
        <f t="shared" si="0"/>
        <v>1.2954000000000001</v>
      </c>
      <c r="AZ13" s="69">
        <f t="shared" si="0"/>
        <v>1.2891999999999999</v>
      </c>
      <c r="BA13" s="69">
        <f t="shared" si="0"/>
        <v>1.2871999999999999</v>
      </c>
      <c r="BB13" s="69">
        <f t="shared" si="0"/>
        <v>1.2986</v>
      </c>
      <c r="BC13" s="69">
        <f t="shared" si="0"/>
        <v>1.2885</v>
      </c>
      <c r="BD13" s="69">
        <f t="shared" si="0"/>
        <v>1.2861</v>
      </c>
      <c r="BE13" s="69">
        <f t="shared" si="0"/>
        <v>1.2864</v>
      </c>
      <c r="BF13" s="69">
        <f t="shared" si="0"/>
        <v>1.2844</v>
      </c>
      <c r="BG13" s="69">
        <f t="shared" si="0"/>
        <v>1.2746999999999999</v>
      </c>
      <c r="BH13" s="69">
        <f t="shared" si="0"/>
        <v>1.2788999999999999</v>
      </c>
      <c r="BI13" s="69">
        <f t="shared" si="0"/>
        <v>1.2717000000000001</v>
      </c>
      <c r="BJ13" s="69">
        <f t="shared" si="0"/>
        <v>1.2777000000000001</v>
      </c>
      <c r="BK13" s="69">
        <f t="shared" si="0"/>
        <v>1.2723</v>
      </c>
      <c r="BL13" s="69">
        <f t="shared" si="0"/>
        <v>1.2627999999999999</v>
      </c>
      <c r="BM13" s="69">
        <f t="shared" si="0"/>
        <v>1.2606999999999999</v>
      </c>
      <c r="BN13" s="69">
        <f t="shared" si="0"/>
        <v>1.274</v>
      </c>
      <c r="BO13" s="69">
        <f t="shared" si="0"/>
        <v>1.2754000000000001</v>
      </c>
      <c r="BP13" s="69">
        <f t="shared" ref="BP13:CO13" si="1">1/BP12</f>
        <v>1.2699</v>
      </c>
      <c r="BQ13" s="69">
        <f t="shared" si="1"/>
        <v>1.2644</v>
      </c>
      <c r="BR13" s="69">
        <f t="shared" si="1"/>
        <v>1.2633000000000001</v>
      </c>
      <c r="BS13" s="69">
        <f t="shared" si="1"/>
        <v>1.2675000000000001</v>
      </c>
      <c r="BT13" s="69">
        <f t="shared" si="1"/>
        <v>1.2706</v>
      </c>
      <c r="BU13" s="69">
        <f t="shared" si="1"/>
        <v>1.2645</v>
      </c>
      <c r="BV13" s="69">
        <f t="shared" si="1"/>
        <v>1.2656000000000001</v>
      </c>
      <c r="BW13" s="69">
        <f t="shared" si="1"/>
        <v>1.2609999999999999</v>
      </c>
      <c r="BX13" s="69">
        <f t="shared" si="1"/>
        <v>1.2639</v>
      </c>
      <c r="BY13" s="69">
        <f t="shared" si="1"/>
        <v>1.2624</v>
      </c>
      <c r="BZ13" s="69">
        <f t="shared" si="1"/>
        <v>1.2583</v>
      </c>
      <c r="CA13" s="69">
        <f t="shared" si="1"/>
        <v>1.2643</v>
      </c>
      <c r="CB13" s="69">
        <f t="shared" si="1"/>
        <v>1.2628999999999999</v>
      </c>
      <c r="CC13" s="69">
        <f t="shared" si="1"/>
        <v>1.2486999999999999</v>
      </c>
      <c r="CD13" s="69">
        <f t="shared" si="1"/>
        <v>1.2561</v>
      </c>
      <c r="CE13" s="69">
        <f t="shared" si="1"/>
        <v>1.2726</v>
      </c>
      <c r="CF13" s="69">
        <f t="shared" si="1"/>
        <v>1.2781</v>
      </c>
      <c r="CG13" s="69">
        <f t="shared" si="1"/>
        <v>1.2734000000000001</v>
      </c>
      <c r="CH13" s="69">
        <f t="shared" si="1"/>
        <v>1.2719</v>
      </c>
      <c r="CI13" s="69">
        <f t="shared" si="1"/>
        <v>1.2725</v>
      </c>
      <c r="CJ13" s="69">
        <f t="shared" si="1"/>
        <v>1.2748999999999999</v>
      </c>
      <c r="CK13" s="69">
        <f t="shared" si="1"/>
        <v>1.2790999999999999</v>
      </c>
      <c r="CL13" s="69">
        <f t="shared" si="1"/>
        <v>1.2825</v>
      </c>
      <c r="CM13" s="69">
        <f t="shared" si="1"/>
        <v>1.2746999999999999</v>
      </c>
      <c r="CN13" s="69">
        <f t="shared" si="1"/>
        <v>1.2827</v>
      </c>
      <c r="CO13" s="69">
        <f t="shared" si="1"/>
        <v>1.2834000000000001</v>
      </c>
      <c r="CP13" s="49"/>
      <c r="CQ13" s="49"/>
      <c r="CR13" s="49"/>
      <c r="CS13" s="49"/>
      <c r="CT13" s="49"/>
      <c r="CU13" s="49"/>
      <c r="CV13" s="49"/>
      <c r="CW13" s="49"/>
      <c r="CX13" s="49"/>
      <c r="CY13" s="49"/>
      <c r="CZ13" s="49"/>
      <c r="DA13" s="49"/>
    </row>
    <row r="14" spans="1:105" x14ac:dyDescent="0.35">
      <c r="A14" s="49"/>
      <c r="B14" s="51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X14" s="52"/>
      <c r="Y14" s="52"/>
      <c r="Z14" s="52"/>
      <c r="AA14" s="52"/>
      <c r="AB14" s="52"/>
      <c r="AC14" s="52"/>
      <c r="AD14" s="52"/>
      <c r="AE14" s="52"/>
      <c r="AF14" s="52"/>
      <c r="AG14" s="52"/>
      <c r="AH14" s="52"/>
      <c r="AI14" s="52"/>
      <c r="AJ14" s="52"/>
      <c r="AK14" s="52"/>
      <c r="AL14" s="52"/>
      <c r="AM14" s="52"/>
      <c r="AN14" s="52"/>
      <c r="AO14" s="52"/>
      <c r="AP14" s="52"/>
      <c r="AQ14" s="52"/>
      <c r="AR14" s="52"/>
      <c r="AS14" s="52"/>
      <c r="AT14" s="52"/>
      <c r="AU14" s="52"/>
      <c r="AV14" s="52"/>
      <c r="AW14" s="52"/>
      <c r="AX14" s="52"/>
      <c r="AY14" s="52"/>
      <c r="AZ14" s="52"/>
      <c r="BA14" s="52"/>
      <c r="BB14" s="52"/>
      <c r="BC14" s="52"/>
      <c r="BD14" s="52"/>
      <c r="BE14" s="52"/>
      <c r="BF14" s="52"/>
      <c r="BG14" s="52"/>
      <c r="BH14" s="52"/>
      <c r="BI14" s="52"/>
      <c r="BJ14" s="52"/>
      <c r="BK14" s="52"/>
      <c r="BL14" s="52"/>
      <c r="BM14" s="52"/>
      <c r="BN14" s="52"/>
      <c r="BO14" s="52"/>
      <c r="BP14" s="52"/>
      <c r="BQ14" s="52"/>
      <c r="BR14" s="52"/>
      <c r="BS14" s="52"/>
      <c r="BT14" s="52"/>
      <c r="BU14" s="52"/>
      <c r="BV14" s="52"/>
      <c r="BW14" s="52"/>
      <c r="BX14" s="52"/>
      <c r="BY14" s="52"/>
      <c r="BZ14" s="52"/>
      <c r="CA14" s="52"/>
      <c r="CB14" s="52"/>
      <c r="CC14" s="52"/>
      <c r="CD14" s="52"/>
      <c r="CE14" s="52"/>
      <c r="CF14" s="52"/>
      <c r="CG14" s="52"/>
      <c r="CH14" s="52"/>
      <c r="CI14" s="52"/>
      <c r="CJ14" s="52"/>
      <c r="CK14" s="52"/>
      <c r="CL14" s="52"/>
      <c r="CM14" s="52"/>
      <c r="CN14" s="52"/>
      <c r="CO14" s="52"/>
      <c r="CP14" s="49"/>
      <c r="CQ14" s="49"/>
      <c r="CR14" s="49"/>
      <c r="CS14" s="49"/>
      <c r="CT14" s="49"/>
      <c r="CU14" s="49"/>
      <c r="CV14" s="49"/>
      <c r="CW14" s="49"/>
      <c r="CX14" s="49"/>
      <c r="CY14" s="49"/>
      <c r="CZ14" s="49"/>
      <c r="DA14" s="49"/>
    </row>
    <row r="15" spans="1:105" ht="18" x14ac:dyDescent="0.4">
      <c r="A15" s="49"/>
      <c r="B15" s="61" t="s">
        <v>44</v>
      </c>
      <c r="C15" s="53"/>
      <c r="D15" s="53"/>
      <c r="E15" s="53"/>
      <c r="F15" s="53"/>
      <c r="G15" s="53"/>
      <c r="H15" s="53"/>
      <c r="I15" s="53"/>
      <c r="J15" s="53"/>
      <c r="K15" s="53"/>
      <c r="L15" s="53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3"/>
      <c r="Y15" s="53"/>
      <c r="Z15" s="53"/>
      <c r="AA15" s="53"/>
      <c r="AB15" s="53"/>
      <c r="AC15" s="53"/>
      <c r="AD15" s="53"/>
      <c r="AE15" s="53"/>
      <c r="AF15" s="53"/>
      <c r="AG15" s="53"/>
      <c r="AH15" s="53"/>
      <c r="AI15" s="53"/>
      <c r="AJ15" s="53"/>
      <c r="AK15" s="53"/>
      <c r="AL15" s="53"/>
      <c r="AM15" s="53"/>
      <c r="AN15" s="53"/>
      <c r="AO15" s="53"/>
      <c r="AP15" s="53"/>
      <c r="AQ15" s="53"/>
      <c r="AR15" s="53"/>
      <c r="AS15" s="53"/>
      <c r="AT15" s="53"/>
      <c r="AU15" s="53"/>
      <c r="AV15" s="53"/>
      <c r="AW15" s="53"/>
      <c r="AX15" s="53"/>
      <c r="AY15" s="53"/>
      <c r="AZ15" s="53"/>
      <c r="BA15" s="53"/>
      <c r="BB15" s="53"/>
      <c r="BC15" s="53"/>
      <c r="BD15" s="53"/>
      <c r="BE15" s="53"/>
      <c r="BF15" s="53"/>
      <c r="BG15" s="53"/>
      <c r="BH15" s="53"/>
      <c r="BI15" s="53"/>
      <c r="BJ15" s="53"/>
      <c r="BK15" s="53"/>
      <c r="BL15" s="53"/>
      <c r="BM15" s="53"/>
      <c r="BN15" s="53"/>
      <c r="BO15" s="53"/>
      <c r="BP15" s="53"/>
      <c r="BQ15" s="53"/>
      <c r="BR15" s="53"/>
      <c r="BS15" s="53"/>
      <c r="BT15" s="53"/>
      <c r="BU15" s="53"/>
      <c r="BV15" s="53"/>
      <c r="BW15" s="53"/>
      <c r="BX15" s="53"/>
      <c r="BY15" s="53"/>
      <c r="BZ15" s="53"/>
      <c r="CA15" s="53"/>
      <c r="CB15" s="53"/>
      <c r="CC15" s="53"/>
      <c r="CD15" s="53"/>
      <c r="CE15" s="53"/>
      <c r="CF15" s="53"/>
      <c r="CG15" s="53"/>
      <c r="CH15" s="53"/>
      <c r="CI15" s="53"/>
      <c r="CJ15" s="53"/>
      <c r="CK15" s="53"/>
      <c r="CL15" s="53"/>
      <c r="CM15" s="53"/>
      <c r="CN15" s="53"/>
      <c r="CO15" s="53"/>
      <c r="CP15" s="49"/>
      <c r="CQ15" s="49"/>
      <c r="CR15" s="49"/>
      <c r="CS15" s="49"/>
      <c r="CT15" s="49"/>
      <c r="CU15" s="49"/>
      <c r="CV15" s="49"/>
      <c r="CW15" s="49"/>
      <c r="CX15" s="49"/>
      <c r="CY15" s="49"/>
      <c r="CZ15" s="49"/>
      <c r="DA15" s="49"/>
    </row>
    <row r="16" spans="1:105" ht="18" x14ac:dyDescent="0.4">
      <c r="A16" s="49"/>
      <c r="B16" s="66" t="s">
        <v>43</v>
      </c>
      <c r="C16" s="67">
        <v>0</v>
      </c>
      <c r="D16" s="67">
        <v>1</v>
      </c>
      <c r="E16" s="67">
        <v>2</v>
      </c>
      <c r="F16" s="67">
        <v>3</v>
      </c>
      <c r="G16" s="67">
        <v>4</v>
      </c>
      <c r="H16" s="67">
        <v>5</v>
      </c>
      <c r="I16" s="67">
        <v>6</v>
      </c>
      <c r="J16" s="67">
        <v>7</v>
      </c>
      <c r="K16" s="67">
        <v>8</v>
      </c>
      <c r="L16" s="67">
        <v>9</v>
      </c>
      <c r="M16" s="67">
        <v>10</v>
      </c>
      <c r="N16" s="67">
        <v>11</v>
      </c>
      <c r="O16" s="67">
        <v>12</v>
      </c>
      <c r="P16" s="67">
        <v>13</v>
      </c>
      <c r="Q16" s="67">
        <v>14</v>
      </c>
      <c r="R16" s="67">
        <v>15</v>
      </c>
      <c r="S16" s="67">
        <v>16</v>
      </c>
      <c r="T16" s="67">
        <v>17</v>
      </c>
      <c r="U16" s="67">
        <v>18</v>
      </c>
      <c r="V16" s="67">
        <v>19</v>
      </c>
      <c r="W16" s="67">
        <v>20</v>
      </c>
      <c r="X16" s="67">
        <v>21</v>
      </c>
      <c r="Y16" s="67">
        <v>22</v>
      </c>
      <c r="Z16" s="67">
        <v>23</v>
      </c>
      <c r="AA16" s="67">
        <v>24</v>
      </c>
      <c r="AB16" s="67">
        <v>25</v>
      </c>
      <c r="AC16" s="67">
        <v>26</v>
      </c>
      <c r="AD16" s="67">
        <v>27</v>
      </c>
      <c r="AE16" s="67">
        <v>28</v>
      </c>
      <c r="AF16" s="67">
        <v>29</v>
      </c>
      <c r="AG16" s="67">
        <v>30</v>
      </c>
      <c r="AH16" s="67">
        <v>31</v>
      </c>
      <c r="AI16" s="67">
        <v>32</v>
      </c>
      <c r="AJ16" s="67">
        <v>33</v>
      </c>
      <c r="AK16" s="67">
        <v>34</v>
      </c>
      <c r="AL16" s="67">
        <v>35</v>
      </c>
      <c r="AM16" s="67">
        <v>36</v>
      </c>
      <c r="AN16" s="67">
        <v>37</v>
      </c>
      <c r="AO16" s="67">
        <v>38</v>
      </c>
      <c r="AP16" s="67">
        <v>39</v>
      </c>
      <c r="AQ16" s="67">
        <v>40</v>
      </c>
      <c r="AR16" s="67">
        <v>41</v>
      </c>
      <c r="AS16" s="67">
        <v>42</v>
      </c>
      <c r="AT16" s="67">
        <v>43</v>
      </c>
      <c r="AU16" s="67">
        <v>44</v>
      </c>
      <c r="AV16" s="67">
        <v>45</v>
      </c>
      <c r="AW16" s="67">
        <v>46</v>
      </c>
      <c r="AX16" s="67">
        <v>47</v>
      </c>
      <c r="AY16" s="67">
        <v>48</v>
      </c>
      <c r="AZ16" s="67">
        <v>49</v>
      </c>
      <c r="BA16" s="67">
        <v>50</v>
      </c>
      <c r="BB16" s="67">
        <v>51</v>
      </c>
      <c r="BC16" s="67">
        <v>52</v>
      </c>
      <c r="BD16" s="67">
        <v>53</v>
      </c>
      <c r="BE16" s="67">
        <v>54</v>
      </c>
      <c r="BF16" s="67">
        <v>55</v>
      </c>
      <c r="BG16" s="67">
        <v>56</v>
      </c>
      <c r="BH16" s="67">
        <v>57</v>
      </c>
      <c r="BI16" s="67">
        <v>58</v>
      </c>
      <c r="BJ16" s="67">
        <v>59</v>
      </c>
      <c r="BK16" s="67">
        <v>60</v>
      </c>
      <c r="BL16" s="67">
        <v>61</v>
      </c>
      <c r="BM16" s="67">
        <v>62</v>
      </c>
      <c r="BN16" s="67">
        <v>63</v>
      </c>
      <c r="BO16" s="67">
        <v>64</v>
      </c>
      <c r="BP16" s="67">
        <v>65</v>
      </c>
      <c r="BQ16" s="67">
        <v>66</v>
      </c>
      <c r="BR16" s="67">
        <v>67</v>
      </c>
      <c r="BS16" s="67">
        <v>68</v>
      </c>
      <c r="BT16" s="67">
        <v>69</v>
      </c>
      <c r="BU16" s="67">
        <v>70</v>
      </c>
      <c r="BV16" s="67">
        <v>71</v>
      </c>
      <c r="BW16" s="67">
        <v>72</v>
      </c>
      <c r="BX16" s="67">
        <v>73</v>
      </c>
      <c r="BY16" s="67">
        <v>74</v>
      </c>
      <c r="BZ16" s="67">
        <v>75</v>
      </c>
      <c r="CA16" s="67">
        <v>76</v>
      </c>
      <c r="CB16" s="67">
        <v>77</v>
      </c>
      <c r="CC16" s="67">
        <v>78</v>
      </c>
      <c r="CD16" s="67">
        <v>79</v>
      </c>
      <c r="CE16" s="67">
        <v>80</v>
      </c>
      <c r="CF16" s="67">
        <v>81</v>
      </c>
      <c r="CG16" s="67">
        <v>82</v>
      </c>
      <c r="CH16" s="67">
        <v>83</v>
      </c>
      <c r="CI16" s="67">
        <v>84</v>
      </c>
      <c r="CJ16" s="67">
        <v>85</v>
      </c>
      <c r="CK16" s="67">
        <v>86</v>
      </c>
      <c r="CL16" s="67">
        <v>87</v>
      </c>
      <c r="CM16" s="67">
        <v>88</v>
      </c>
      <c r="CN16" s="67">
        <v>89</v>
      </c>
      <c r="CO16" s="67">
        <v>90</v>
      </c>
      <c r="CP16" s="49"/>
      <c r="CQ16" s="49"/>
      <c r="CR16" s="49"/>
      <c r="CS16" s="49"/>
      <c r="CT16" s="49"/>
      <c r="CU16" s="49"/>
      <c r="CV16" s="49"/>
      <c r="CW16" s="49"/>
      <c r="CX16" s="49"/>
      <c r="CY16" s="49"/>
      <c r="CZ16" s="49"/>
      <c r="DA16" s="49"/>
    </row>
    <row r="17" spans="1:105" x14ac:dyDescent="0.35">
      <c r="A17" s="49"/>
      <c r="B17" s="62" t="s">
        <v>75</v>
      </c>
      <c r="C17" s="70">
        <v>100.18555747075175</v>
      </c>
      <c r="D17" s="70">
        <v>99.819155712078469</v>
      </c>
      <c r="E17" s="70">
        <v>100.66452052943397</v>
      </c>
      <c r="F17" s="70">
        <v>100.95566231110108</v>
      </c>
      <c r="G17" s="70">
        <v>100.69092061095066</v>
      </c>
      <c r="H17" s="70">
        <v>101.29419107392603</v>
      </c>
      <c r="I17" s="70">
        <v>101.75152138238965</v>
      </c>
      <c r="J17" s="70">
        <v>101.4431133269026</v>
      </c>
      <c r="K17" s="70">
        <v>102.2236239444278</v>
      </c>
      <c r="L17" s="70">
        <v>102.69850448184394</v>
      </c>
      <c r="M17" s="70">
        <v>102.76512107113462</v>
      </c>
      <c r="N17" s="70">
        <v>102.80336392802324</v>
      </c>
      <c r="O17" s="70">
        <v>103.02523075485917</v>
      </c>
      <c r="P17" s="70">
        <v>101.80534934590345</v>
      </c>
      <c r="Q17" s="70">
        <v>99.720556952243271</v>
      </c>
      <c r="R17" s="70">
        <v>101.43415427815373</v>
      </c>
      <c r="S17" s="70">
        <v>101.31130606736477</v>
      </c>
      <c r="T17" s="70">
        <v>100.91073644657044</v>
      </c>
      <c r="U17" s="70">
        <v>99.170541954955951</v>
      </c>
      <c r="V17" s="70">
        <v>100.41781745936608</v>
      </c>
      <c r="W17" s="70">
        <v>101.58896674798389</v>
      </c>
      <c r="X17" s="70">
        <v>102.40807216902121</v>
      </c>
      <c r="Y17" s="70">
        <v>103.30679383376236</v>
      </c>
      <c r="Z17" s="70">
        <v>103.0911926658611</v>
      </c>
      <c r="AA17" s="70">
        <v>103.44096431049492</v>
      </c>
      <c r="AB17" s="70">
        <v>103.40248852836149</v>
      </c>
      <c r="AC17" s="70">
        <v>104.65021498678352</v>
      </c>
      <c r="AD17" s="70">
        <v>103.61140478437831</v>
      </c>
      <c r="AE17" s="70">
        <v>104.61710927864786</v>
      </c>
      <c r="AF17" s="70">
        <v>103.93128192883398</v>
      </c>
      <c r="AG17" s="70">
        <v>104.63748916498484</v>
      </c>
      <c r="AH17" s="70">
        <v>104.51942584248276</v>
      </c>
      <c r="AI17" s="70">
        <v>103.14347066771403</v>
      </c>
      <c r="AJ17" s="70">
        <v>99.323721980983208</v>
      </c>
      <c r="AK17" s="70">
        <v>96.623149263115053</v>
      </c>
      <c r="AL17" s="70">
        <v>95.948630616371446</v>
      </c>
      <c r="AM17" s="70">
        <v>91.668553012575913</v>
      </c>
      <c r="AN17" s="70">
        <v>91.572577672691068</v>
      </c>
      <c r="AO17" s="70">
        <v>94.947708156005589</v>
      </c>
      <c r="AP17" s="70">
        <v>93.117850032661195</v>
      </c>
      <c r="AQ17" s="70">
        <v>96.85666076002299</v>
      </c>
      <c r="AR17" s="70">
        <v>93.299106839804054</v>
      </c>
      <c r="AS17" s="70">
        <v>92.097947045881696</v>
      </c>
      <c r="AT17" s="70">
        <v>84.336597959675686</v>
      </c>
      <c r="AU17" s="70">
        <v>89.46689486350013</v>
      </c>
      <c r="AV17" s="70">
        <v>85.011376178413514</v>
      </c>
      <c r="AW17" s="70">
        <v>77.00324395123846</v>
      </c>
      <c r="AX17" s="70">
        <v>83.324165082872753</v>
      </c>
      <c r="AY17" s="70">
        <v>73.478979659499018</v>
      </c>
      <c r="AZ17" s="70">
        <v>78.200813118459777</v>
      </c>
      <c r="BA17" s="70">
        <v>73.758988258661304</v>
      </c>
      <c r="BB17" s="70">
        <v>74.839116087147758</v>
      </c>
      <c r="BC17" s="70">
        <v>70.825744537462597</v>
      </c>
      <c r="BD17" s="70">
        <v>69.168400883304912</v>
      </c>
      <c r="BE17" s="70">
        <v>75.871798090240318</v>
      </c>
      <c r="BF17" s="70">
        <v>76.644039932864089</v>
      </c>
      <c r="BG17" s="70">
        <v>81.155214624404607</v>
      </c>
      <c r="BH17" s="70">
        <v>78.717676434741534</v>
      </c>
      <c r="BI17" s="70">
        <v>81.098724505223714</v>
      </c>
      <c r="BJ17" s="70">
        <v>79.634696929842079</v>
      </c>
      <c r="BK17" s="70">
        <v>76.348512241002283</v>
      </c>
      <c r="BL17" s="70">
        <v>77.707540272422293</v>
      </c>
      <c r="BM17" s="70">
        <v>77.248187104370047</v>
      </c>
      <c r="BN17" s="70">
        <v>82.54874019416178</v>
      </c>
      <c r="BO17" s="70">
        <v>81.969137576521007</v>
      </c>
      <c r="BP17" s="70">
        <v>85.253515555879218</v>
      </c>
      <c r="BQ17" s="70">
        <v>85.718783630542333</v>
      </c>
      <c r="BR17" s="70">
        <v>85.031280889262149</v>
      </c>
      <c r="BS17" s="70">
        <v>88.0956076797778</v>
      </c>
      <c r="BT17" s="70">
        <v>85.527694952791009</v>
      </c>
      <c r="BU17" s="70">
        <v>86.595084502255148</v>
      </c>
      <c r="BV17" s="70">
        <v>88.395016510398435</v>
      </c>
      <c r="BW17" s="70">
        <v>87.112047019510797</v>
      </c>
      <c r="BX17" s="70">
        <v>84.194394298280386</v>
      </c>
      <c r="BY17" s="70">
        <v>86.680785667687232</v>
      </c>
      <c r="BZ17" s="70">
        <v>86.519808172317511</v>
      </c>
      <c r="CA17" s="70">
        <v>87.847321561059857</v>
      </c>
      <c r="CB17" s="70">
        <v>89.29168528032065</v>
      </c>
      <c r="CC17" s="70">
        <v>88.045402761497257</v>
      </c>
      <c r="CD17" s="70">
        <v>90.67757612600488</v>
      </c>
      <c r="CE17" s="70">
        <v>90.173378662885213</v>
      </c>
      <c r="CF17" s="70">
        <v>87.679542704403133</v>
      </c>
      <c r="CG17" s="70">
        <v>87.449955822214648</v>
      </c>
      <c r="CH17" s="70">
        <v>89.031018379242568</v>
      </c>
      <c r="CI17" s="70">
        <v>88.24266191979342</v>
      </c>
      <c r="CJ17" s="70">
        <v>88.953883382787239</v>
      </c>
      <c r="CK17" s="70">
        <v>90.193197623928597</v>
      </c>
      <c r="CL17" s="70">
        <v>90.010879811516304</v>
      </c>
      <c r="CM17" s="70">
        <v>88.15523383307341</v>
      </c>
      <c r="CN17" s="70">
        <v>87.450660771765811</v>
      </c>
      <c r="CO17" s="70">
        <v>87.617924558808568</v>
      </c>
      <c r="CP17" s="50"/>
      <c r="CQ17" s="49"/>
      <c r="CR17" s="49"/>
      <c r="CS17" s="49"/>
      <c r="CT17" s="49"/>
      <c r="CU17" s="49"/>
      <c r="CV17" s="49"/>
      <c r="CW17" s="49"/>
      <c r="CX17" s="49"/>
      <c r="CY17" s="49"/>
      <c r="CZ17" s="49"/>
      <c r="DA17" s="49"/>
    </row>
    <row r="18" spans="1:105" ht="18" x14ac:dyDescent="0.4">
      <c r="A18" s="49"/>
      <c r="B18" s="62" t="s">
        <v>45</v>
      </c>
      <c r="C18" s="65">
        <f t="shared" ref="C18:BN18" si="2">$C$8/$C$17</f>
        <v>38287.22140670407</v>
      </c>
      <c r="D18" s="65">
        <f t="shared" si="2"/>
        <v>38287.22140670407</v>
      </c>
      <c r="E18" s="65">
        <f t="shared" si="2"/>
        <v>38287.22140670407</v>
      </c>
      <c r="F18" s="65">
        <f t="shared" si="2"/>
        <v>38287.22140670407</v>
      </c>
      <c r="G18" s="65">
        <f t="shared" si="2"/>
        <v>38287.22140670407</v>
      </c>
      <c r="H18" s="65">
        <f t="shared" si="2"/>
        <v>38287.22140670407</v>
      </c>
      <c r="I18" s="65">
        <f t="shared" si="2"/>
        <v>38287.22140670407</v>
      </c>
      <c r="J18" s="65">
        <f t="shared" si="2"/>
        <v>38287.22140670407</v>
      </c>
      <c r="K18" s="65">
        <f t="shared" si="2"/>
        <v>38287.22140670407</v>
      </c>
      <c r="L18" s="65">
        <f t="shared" si="2"/>
        <v>38287.22140670407</v>
      </c>
      <c r="M18" s="65">
        <f t="shared" si="2"/>
        <v>38287.22140670407</v>
      </c>
      <c r="N18" s="65">
        <f t="shared" si="2"/>
        <v>38287.22140670407</v>
      </c>
      <c r="O18" s="65">
        <f t="shared" si="2"/>
        <v>38287.22140670407</v>
      </c>
      <c r="P18" s="65">
        <f t="shared" si="2"/>
        <v>38287.22140670407</v>
      </c>
      <c r="Q18" s="65">
        <f t="shared" si="2"/>
        <v>38287.22140670407</v>
      </c>
      <c r="R18" s="65">
        <f t="shared" si="2"/>
        <v>38287.22140670407</v>
      </c>
      <c r="S18" s="65">
        <f t="shared" si="2"/>
        <v>38287.22140670407</v>
      </c>
      <c r="T18" s="65">
        <f t="shared" si="2"/>
        <v>38287.22140670407</v>
      </c>
      <c r="U18" s="65">
        <f t="shared" si="2"/>
        <v>38287.22140670407</v>
      </c>
      <c r="V18" s="65">
        <f t="shared" si="2"/>
        <v>38287.22140670407</v>
      </c>
      <c r="W18" s="65">
        <f t="shared" si="2"/>
        <v>38287.22140670407</v>
      </c>
      <c r="X18" s="65">
        <f t="shared" si="2"/>
        <v>38287.22140670407</v>
      </c>
      <c r="Y18" s="65">
        <f t="shared" si="2"/>
        <v>38287.22140670407</v>
      </c>
      <c r="Z18" s="65">
        <f t="shared" si="2"/>
        <v>38287.22140670407</v>
      </c>
      <c r="AA18" s="65">
        <f t="shared" si="2"/>
        <v>38287.22140670407</v>
      </c>
      <c r="AB18" s="65">
        <f t="shared" si="2"/>
        <v>38287.22140670407</v>
      </c>
      <c r="AC18" s="65">
        <f t="shared" si="2"/>
        <v>38287.22140670407</v>
      </c>
      <c r="AD18" s="65">
        <f t="shared" si="2"/>
        <v>38287.22140670407</v>
      </c>
      <c r="AE18" s="65">
        <f t="shared" si="2"/>
        <v>38287.22140670407</v>
      </c>
      <c r="AF18" s="65">
        <f t="shared" si="2"/>
        <v>38287.22140670407</v>
      </c>
      <c r="AG18" s="65">
        <f t="shared" si="2"/>
        <v>38287.22140670407</v>
      </c>
      <c r="AH18" s="65">
        <f t="shared" si="2"/>
        <v>38287.22140670407</v>
      </c>
      <c r="AI18" s="65">
        <f t="shared" si="2"/>
        <v>38287.22140670407</v>
      </c>
      <c r="AJ18" s="65">
        <f t="shared" si="2"/>
        <v>38287.22140670407</v>
      </c>
      <c r="AK18" s="65">
        <f t="shared" si="2"/>
        <v>38287.22140670407</v>
      </c>
      <c r="AL18" s="65">
        <f t="shared" si="2"/>
        <v>38287.22140670407</v>
      </c>
      <c r="AM18" s="65">
        <f t="shared" si="2"/>
        <v>38287.22140670407</v>
      </c>
      <c r="AN18" s="65">
        <f t="shared" si="2"/>
        <v>38287.22140670407</v>
      </c>
      <c r="AO18" s="65">
        <f t="shared" si="2"/>
        <v>38287.22140670407</v>
      </c>
      <c r="AP18" s="65">
        <f t="shared" si="2"/>
        <v>38287.22140670407</v>
      </c>
      <c r="AQ18" s="65">
        <f t="shared" si="2"/>
        <v>38287.22140670407</v>
      </c>
      <c r="AR18" s="65">
        <f t="shared" si="2"/>
        <v>38287.22140670407</v>
      </c>
      <c r="AS18" s="65">
        <f t="shared" si="2"/>
        <v>38287.22140670407</v>
      </c>
      <c r="AT18" s="65">
        <f t="shared" si="2"/>
        <v>38287.22140670407</v>
      </c>
      <c r="AU18" s="65">
        <f t="shared" si="2"/>
        <v>38287.22140670407</v>
      </c>
      <c r="AV18" s="65">
        <f t="shared" si="2"/>
        <v>38287.22140670407</v>
      </c>
      <c r="AW18" s="65">
        <f t="shared" si="2"/>
        <v>38287.22140670407</v>
      </c>
      <c r="AX18" s="65">
        <f t="shared" si="2"/>
        <v>38287.22140670407</v>
      </c>
      <c r="AY18" s="65">
        <f t="shared" si="2"/>
        <v>38287.22140670407</v>
      </c>
      <c r="AZ18" s="65">
        <f t="shared" si="2"/>
        <v>38287.22140670407</v>
      </c>
      <c r="BA18" s="65">
        <f t="shared" si="2"/>
        <v>38287.22140670407</v>
      </c>
      <c r="BB18" s="65">
        <f t="shared" si="2"/>
        <v>38287.22140670407</v>
      </c>
      <c r="BC18" s="65">
        <f t="shared" si="2"/>
        <v>38287.22140670407</v>
      </c>
      <c r="BD18" s="65">
        <f t="shared" si="2"/>
        <v>38287.22140670407</v>
      </c>
      <c r="BE18" s="65">
        <f t="shared" si="2"/>
        <v>38287.22140670407</v>
      </c>
      <c r="BF18" s="65">
        <f t="shared" si="2"/>
        <v>38287.22140670407</v>
      </c>
      <c r="BG18" s="65">
        <f t="shared" si="2"/>
        <v>38287.22140670407</v>
      </c>
      <c r="BH18" s="65">
        <f t="shared" si="2"/>
        <v>38287.22140670407</v>
      </c>
      <c r="BI18" s="65">
        <f t="shared" si="2"/>
        <v>38287.22140670407</v>
      </c>
      <c r="BJ18" s="65">
        <f t="shared" si="2"/>
        <v>38287.22140670407</v>
      </c>
      <c r="BK18" s="65">
        <f t="shared" si="2"/>
        <v>38287.22140670407</v>
      </c>
      <c r="BL18" s="65">
        <f t="shared" si="2"/>
        <v>38287.22140670407</v>
      </c>
      <c r="BM18" s="65">
        <f t="shared" si="2"/>
        <v>38287.22140670407</v>
      </c>
      <c r="BN18" s="65">
        <f t="shared" si="2"/>
        <v>38287.22140670407</v>
      </c>
      <c r="BO18" s="65">
        <f t="shared" ref="BO18:CO18" si="3">$C$8/$C$17</f>
        <v>38287.22140670407</v>
      </c>
      <c r="BP18" s="65">
        <f t="shared" si="3"/>
        <v>38287.22140670407</v>
      </c>
      <c r="BQ18" s="65">
        <f t="shared" si="3"/>
        <v>38287.22140670407</v>
      </c>
      <c r="BR18" s="65">
        <f t="shared" si="3"/>
        <v>38287.22140670407</v>
      </c>
      <c r="BS18" s="65">
        <f t="shared" si="3"/>
        <v>38287.22140670407</v>
      </c>
      <c r="BT18" s="65">
        <f t="shared" si="3"/>
        <v>38287.22140670407</v>
      </c>
      <c r="BU18" s="65">
        <f t="shared" si="3"/>
        <v>38287.22140670407</v>
      </c>
      <c r="BV18" s="65">
        <f t="shared" si="3"/>
        <v>38287.22140670407</v>
      </c>
      <c r="BW18" s="65">
        <f t="shared" si="3"/>
        <v>38287.22140670407</v>
      </c>
      <c r="BX18" s="65">
        <f t="shared" si="3"/>
        <v>38287.22140670407</v>
      </c>
      <c r="BY18" s="65">
        <f t="shared" si="3"/>
        <v>38287.22140670407</v>
      </c>
      <c r="BZ18" s="65">
        <f t="shared" si="3"/>
        <v>38287.22140670407</v>
      </c>
      <c r="CA18" s="65">
        <f t="shared" si="3"/>
        <v>38287.22140670407</v>
      </c>
      <c r="CB18" s="65">
        <f t="shared" si="3"/>
        <v>38287.22140670407</v>
      </c>
      <c r="CC18" s="65">
        <f t="shared" si="3"/>
        <v>38287.22140670407</v>
      </c>
      <c r="CD18" s="65">
        <f t="shared" si="3"/>
        <v>38287.22140670407</v>
      </c>
      <c r="CE18" s="65">
        <f t="shared" si="3"/>
        <v>38287.22140670407</v>
      </c>
      <c r="CF18" s="65">
        <f t="shared" si="3"/>
        <v>38287.22140670407</v>
      </c>
      <c r="CG18" s="65">
        <f t="shared" si="3"/>
        <v>38287.22140670407</v>
      </c>
      <c r="CH18" s="65">
        <f t="shared" si="3"/>
        <v>38287.22140670407</v>
      </c>
      <c r="CI18" s="65">
        <f t="shared" si="3"/>
        <v>38287.22140670407</v>
      </c>
      <c r="CJ18" s="65">
        <f t="shared" si="3"/>
        <v>38287.22140670407</v>
      </c>
      <c r="CK18" s="65">
        <f t="shared" si="3"/>
        <v>38287.22140670407</v>
      </c>
      <c r="CL18" s="65">
        <f t="shared" si="3"/>
        <v>38287.22140670407</v>
      </c>
      <c r="CM18" s="65">
        <f t="shared" si="3"/>
        <v>38287.22140670407</v>
      </c>
      <c r="CN18" s="65">
        <f t="shared" si="3"/>
        <v>38287.22140670407</v>
      </c>
      <c r="CO18" s="65">
        <f t="shared" si="3"/>
        <v>38287.22140670407</v>
      </c>
      <c r="CP18" s="49"/>
      <c r="CQ18" s="49"/>
      <c r="CR18" s="49"/>
      <c r="CS18" s="49"/>
      <c r="CT18" s="49"/>
      <c r="CU18" s="49"/>
      <c r="CV18" s="49"/>
      <c r="CW18" s="49"/>
      <c r="CX18" s="49"/>
      <c r="CY18" s="49"/>
      <c r="CZ18" s="49"/>
      <c r="DA18" s="49"/>
    </row>
    <row r="19" spans="1:105" x14ac:dyDescent="0.35">
      <c r="A19" s="49"/>
      <c r="B19" s="50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  <c r="O19" s="49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  <c r="AA19" s="49"/>
      <c r="AB19" s="49"/>
      <c r="AC19" s="49"/>
      <c r="AD19" s="49"/>
      <c r="AE19" s="49"/>
      <c r="AF19" s="49"/>
      <c r="AG19" s="49"/>
      <c r="AH19" s="49"/>
      <c r="AI19" s="49"/>
      <c r="AJ19" s="49"/>
      <c r="AK19" s="49"/>
      <c r="AL19" s="49"/>
      <c r="AM19" s="49"/>
      <c r="AN19" s="49"/>
      <c r="AO19" s="49"/>
      <c r="AP19" s="49"/>
      <c r="AQ19" s="49"/>
      <c r="AR19" s="49"/>
      <c r="AS19" s="49"/>
      <c r="AT19" s="49"/>
      <c r="AU19" s="49"/>
      <c r="AV19" s="49"/>
      <c r="AW19" s="49"/>
      <c r="AX19" s="49"/>
      <c r="AY19" s="49"/>
      <c r="AZ19" s="49"/>
      <c r="BA19" s="49"/>
      <c r="BB19" s="49"/>
      <c r="BC19" s="49"/>
      <c r="BD19" s="49"/>
      <c r="BE19" s="49"/>
      <c r="BF19" s="49"/>
      <c r="BG19" s="49"/>
      <c r="BH19" s="49"/>
      <c r="BI19" s="49"/>
      <c r="BJ19" s="49"/>
      <c r="BK19" s="49"/>
      <c r="BL19" s="49"/>
      <c r="BM19" s="49"/>
      <c r="BN19" s="49"/>
      <c r="BO19" s="49"/>
      <c r="BP19" s="49"/>
      <c r="BQ19" s="49"/>
      <c r="BR19" s="49"/>
      <c r="BS19" s="49"/>
      <c r="BT19" s="49"/>
      <c r="BU19" s="49"/>
      <c r="BV19" s="49"/>
      <c r="BW19" s="49"/>
      <c r="BX19" s="49"/>
      <c r="BY19" s="49"/>
      <c r="BZ19" s="49"/>
      <c r="CA19" s="49"/>
      <c r="CB19" s="49"/>
      <c r="CC19" s="49"/>
      <c r="CD19" s="49"/>
      <c r="CE19" s="49"/>
      <c r="CF19" s="49"/>
      <c r="CG19" s="49"/>
      <c r="CH19" s="49"/>
      <c r="CI19" s="49"/>
      <c r="CJ19" s="49"/>
      <c r="CK19" s="49"/>
      <c r="CL19" s="49"/>
      <c r="CM19" s="49"/>
      <c r="CN19" s="49"/>
      <c r="CO19" s="49"/>
      <c r="CP19" s="49"/>
      <c r="CQ19" s="49"/>
      <c r="CR19" s="49"/>
      <c r="CS19" s="49"/>
      <c r="CT19" s="49"/>
      <c r="CU19" s="49"/>
      <c r="CV19" s="49"/>
      <c r="CW19" s="49"/>
      <c r="CX19" s="49"/>
      <c r="CY19" s="49"/>
      <c r="CZ19" s="49"/>
      <c r="DA19" s="49"/>
    </row>
    <row r="20" spans="1:105" ht="18" x14ac:dyDescent="0.4">
      <c r="A20" s="49"/>
      <c r="B20" s="61" t="s">
        <v>46</v>
      </c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  <c r="O20" s="49"/>
      <c r="P20" s="49"/>
      <c r="Q20" s="49"/>
      <c r="R20" s="49"/>
      <c r="S20" s="49"/>
      <c r="T20" s="49"/>
      <c r="U20" s="49"/>
      <c r="V20" s="49"/>
      <c r="W20" s="49"/>
      <c r="X20" s="49"/>
      <c r="Y20" s="49"/>
      <c r="Z20" s="49"/>
      <c r="AA20" s="49"/>
      <c r="AB20" s="49"/>
      <c r="AC20" s="49"/>
      <c r="AD20" s="49"/>
      <c r="AE20" s="49"/>
      <c r="AF20" s="49"/>
      <c r="AG20" s="49"/>
      <c r="AH20" s="49"/>
      <c r="AI20" s="49"/>
      <c r="AJ20" s="49"/>
      <c r="AK20" s="49"/>
      <c r="AL20" s="49"/>
      <c r="AM20" s="49"/>
      <c r="AN20" s="49"/>
      <c r="AO20" s="49"/>
      <c r="AP20" s="49"/>
      <c r="AQ20" s="49"/>
      <c r="AR20" s="49"/>
      <c r="AS20" s="49"/>
      <c r="AT20" s="49"/>
      <c r="AU20" s="49"/>
      <c r="AV20" s="49"/>
      <c r="AW20" s="49"/>
      <c r="AX20" s="49"/>
      <c r="AY20" s="49"/>
      <c r="AZ20" s="49"/>
      <c r="BA20" s="49"/>
      <c r="BB20" s="49"/>
      <c r="BC20" s="49"/>
      <c r="BD20" s="49"/>
      <c r="BE20" s="49"/>
      <c r="BF20" s="49"/>
      <c r="BG20" s="49"/>
      <c r="BH20" s="49"/>
      <c r="BI20" s="49"/>
      <c r="BJ20" s="49"/>
      <c r="BK20" s="49"/>
      <c r="BL20" s="49"/>
      <c r="BM20" s="49"/>
      <c r="BN20" s="49"/>
      <c r="BO20" s="49"/>
      <c r="BP20" s="49"/>
      <c r="BQ20" s="49"/>
      <c r="BR20" s="49"/>
      <c r="BS20" s="49"/>
      <c r="BT20" s="49"/>
      <c r="BU20" s="49"/>
      <c r="BV20" s="49"/>
      <c r="BW20" s="49"/>
      <c r="BX20" s="49"/>
      <c r="BY20" s="49"/>
      <c r="BZ20" s="49"/>
      <c r="CA20" s="49"/>
      <c r="CB20" s="49"/>
      <c r="CC20" s="49"/>
      <c r="CD20" s="49"/>
      <c r="CE20" s="49"/>
      <c r="CF20" s="49"/>
      <c r="CG20" s="49"/>
      <c r="CH20" s="49"/>
      <c r="CI20" s="49"/>
      <c r="CJ20" s="49"/>
      <c r="CK20" s="49"/>
      <c r="CL20" s="49"/>
      <c r="CM20" s="49"/>
      <c r="CN20" s="49"/>
      <c r="CO20" s="49"/>
      <c r="CP20" s="49"/>
      <c r="CQ20" s="49"/>
      <c r="CR20" s="49"/>
      <c r="CS20" s="49"/>
      <c r="CT20" s="49"/>
      <c r="CU20" s="49"/>
      <c r="CV20" s="49"/>
      <c r="CW20" s="49"/>
      <c r="CX20" s="49"/>
      <c r="CY20" s="49"/>
      <c r="CZ20" s="49"/>
      <c r="DA20" s="49"/>
    </row>
    <row r="21" spans="1:105" ht="18" x14ac:dyDescent="0.4">
      <c r="A21" s="49"/>
      <c r="B21" s="66" t="s">
        <v>43</v>
      </c>
      <c r="C21" s="67">
        <v>0</v>
      </c>
      <c r="D21" s="67">
        <v>1</v>
      </c>
      <c r="E21" s="67">
        <v>2</v>
      </c>
      <c r="F21" s="67">
        <v>3</v>
      </c>
      <c r="G21" s="67">
        <v>4</v>
      </c>
      <c r="H21" s="67">
        <v>5</v>
      </c>
      <c r="I21" s="67">
        <v>6</v>
      </c>
      <c r="J21" s="67">
        <v>7</v>
      </c>
      <c r="K21" s="67">
        <v>8</v>
      </c>
      <c r="L21" s="67">
        <v>9</v>
      </c>
      <c r="M21" s="67">
        <v>10</v>
      </c>
      <c r="N21" s="67">
        <v>11</v>
      </c>
      <c r="O21" s="67">
        <v>12</v>
      </c>
      <c r="P21" s="67">
        <v>13</v>
      </c>
      <c r="Q21" s="67">
        <v>14</v>
      </c>
      <c r="R21" s="67">
        <v>15</v>
      </c>
      <c r="S21" s="67">
        <v>16</v>
      </c>
      <c r="T21" s="67">
        <v>17</v>
      </c>
      <c r="U21" s="67">
        <v>18</v>
      </c>
      <c r="V21" s="67">
        <v>19</v>
      </c>
      <c r="W21" s="67">
        <v>20</v>
      </c>
      <c r="X21" s="67">
        <v>21</v>
      </c>
      <c r="Y21" s="67">
        <v>22</v>
      </c>
      <c r="Z21" s="67">
        <v>23</v>
      </c>
      <c r="AA21" s="67">
        <v>24</v>
      </c>
      <c r="AB21" s="67">
        <v>25</v>
      </c>
      <c r="AC21" s="67">
        <v>26</v>
      </c>
      <c r="AD21" s="67">
        <v>27</v>
      </c>
      <c r="AE21" s="67">
        <v>28</v>
      </c>
      <c r="AF21" s="67">
        <v>29</v>
      </c>
      <c r="AG21" s="67">
        <v>30</v>
      </c>
      <c r="AH21" s="67">
        <v>31</v>
      </c>
      <c r="AI21" s="67">
        <v>32</v>
      </c>
      <c r="AJ21" s="67">
        <v>33</v>
      </c>
      <c r="AK21" s="67">
        <v>34</v>
      </c>
      <c r="AL21" s="67">
        <v>35</v>
      </c>
      <c r="AM21" s="67">
        <v>36</v>
      </c>
      <c r="AN21" s="67">
        <v>37</v>
      </c>
      <c r="AO21" s="67">
        <v>38</v>
      </c>
      <c r="AP21" s="67">
        <v>39</v>
      </c>
      <c r="AQ21" s="67">
        <v>40</v>
      </c>
      <c r="AR21" s="67">
        <v>41</v>
      </c>
      <c r="AS21" s="67">
        <v>42</v>
      </c>
      <c r="AT21" s="67">
        <v>43</v>
      </c>
      <c r="AU21" s="67">
        <v>44</v>
      </c>
      <c r="AV21" s="67">
        <v>45</v>
      </c>
      <c r="AW21" s="67">
        <v>46</v>
      </c>
      <c r="AX21" s="67">
        <v>47</v>
      </c>
      <c r="AY21" s="67">
        <v>48</v>
      </c>
      <c r="AZ21" s="67">
        <v>49</v>
      </c>
      <c r="BA21" s="67">
        <v>50</v>
      </c>
      <c r="BB21" s="67">
        <v>51</v>
      </c>
      <c r="BC21" s="67">
        <v>52</v>
      </c>
      <c r="BD21" s="67">
        <v>53</v>
      </c>
      <c r="BE21" s="67">
        <v>54</v>
      </c>
      <c r="BF21" s="67">
        <v>55</v>
      </c>
      <c r="BG21" s="67">
        <v>56</v>
      </c>
      <c r="BH21" s="67">
        <v>57</v>
      </c>
      <c r="BI21" s="67">
        <v>58</v>
      </c>
      <c r="BJ21" s="67">
        <v>59</v>
      </c>
      <c r="BK21" s="67">
        <v>60</v>
      </c>
      <c r="BL21" s="67">
        <v>61</v>
      </c>
      <c r="BM21" s="67">
        <v>62</v>
      </c>
      <c r="BN21" s="67">
        <v>63</v>
      </c>
      <c r="BO21" s="67">
        <v>64</v>
      </c>
      <c r="BP21" s="67">
        <v>65</v>
      </c>
      <c r="BQ21" s="67">
        <v>66</v>
      </c>
      <c r="BR21" s="67">
        <v>67</v>
      </c>
      <c r="BS21" s="67">
        <v>68</v>
      </c>
      <c r="BT21" s="67">
        <v>69</v>
      </c>
      <c r="BU21" s="67">
        <v>70</v>
      </c>
      <c r="BV21" s="67">
        <v>71</v>
      </c>
      <c r="BW21" s="67">
        <v>72</v>
      </c>
      <c r="BX21" s="67">
        <v>73</v>
      </c>
      <c r="BY21" s="67">
        <v>74</v>
      </c>
      <c r="BZ21" s="67">
        <v>75</v>
      </c>
      <c r="CA21" s="67">
        <v>76</v>
      </c>
      <c r="CB21" s="67">
        <v>77</v>
      </c>
      <c r="CC21" s="67">
        <v>78</v>
      </c>
      <c r="CD21" s="67">
        <v>79</v>
      </c>
      <c r="CE21" s="67">
        <v>80</v>
      </c>
      <c r="CF21" s="67">
        <v>81</v>
      </c>
      <c r="CG21" s="67">
        <v>82</v>
      </c>
      <c r="CH21" s="67">
        <v>83</v>
      </c>
      <c r="CI21" s="67">
        <v>84</v>
      </c>
      <c r="CJ21" s="67">
        <v>85</v>
      </c>
      <c r="CK21" s="67">
        <v>86</v>
      </c>
      <c r="CL21" s="67">
        <v>87</v>
      </c>
      <c r="CM21" s="67">
        <v>88</v>
      </c>
      <c r="CN21" s="67">
        <v>89</v>
      </c>
      <c r="CO21" s="67">
        <v>90</v>
      </c>
      <c r="CP21" s="49"/>
      <c r="CQ21" s="49"/>
      <c r="CR21" s="49"/>
      <c r="CS21" s="49"/>
      <c r="CT21" s="49"/>
      <c r="CU21" s="49"/>
      <c r="CV21" s="49"/>
      <c r="CW21" s="49"/>
      <c r="CX21" s="49"/>
      <c r="CY21" s="49"/>
      <c r="CZ21" s="49"/>
      <c r="DA21" s="49"/>
    </row>
    <row r="22" spans="1:105" x14ac:dyDescent="0.35">
      <c r="A22" s="49"/>
      <c r="B22" s="62" t="s">
        <v>76</v>
      </c>
      <c r="C22" s="72">
        <f t="shared" ref="C22:BN22" si="4">C18*C17</f>
        <v>3835826.6206367472</v>
      </c>
      <c r="D22" s="72">
        <f t="shared" si="4"/>
        <v>3821798.1153786178</v>
      </c>
      <c r="E22" s="72">
        <f t="shared" si="4"/>
        <v>3854164.7853101455</v>
      </c>
      <c r="F22" s="72">
        <f t="shared" si="4"/>
        <v>3865311.7951655765</v>
      </c>
      <c r="G22" s="72">
        <f t="shared" si="4"/>
        <v>3855175.5710763298</v>
      </c>
      <c r="H22" s="72">
        <f t="shared" si="4"/>
        <v>3878273.1208603932</v>
      </c>
      <c r="I22" s="72">
        <f t="shared" si="4"/>
        <v>3895783.0276365359</v>
      </c>
      <c r="J22" s="72">
        <f t="shared" si="4"/>
        <v>3883974.9401324922</v>
      </c>
      <c r="K22" s="72">
        <f t="shared" si="4"/>
        <v>3913858.5229559629</v>
      </c>
      <c r="L22" s="72">
        <f t="shared" si="4"/>
        <v>3932040.3792337491</v>
      </c>
      <c r="M22" s="72">
        <f t="shared" si="4"/>
        <v>3934590.9433372808</v>
      </c>
      <c r="N22" s="72">
        <f t="shared" si="4"/>
        <v>3936055.1560662007</v>
      </c>
      <c r="O22" s="72">
        <f t="shared" si="4"/>
        <v>3944549.8203880703</v>
      </c>
      <c r="P22" s="72">
        <f t="shared" si="4"/>
        <v>3897843.9507934609</v>
      </c>
      <c r="Q22" s="72">
        <f t="shared" si="4"/>
        <v>3818023.0428303811</v>
      </c>
      <c r="R22" s="72">
        <f t="shared" si="4"/>
        <v>3883631.9230494504</v>
      </c>
      <c r="S22" s="72">
        <f t="shared" si="4"/>
        <v>3878928.406403556</v>
      </c>
      <c r="T22" s="72">
        <f t="shared" si="4"/>
        <v>3863591.7086434043</v>
      </c>
      <c r="U22" s="72">
        <f t="shared" si="4"/>
        <v>3796964.4968522335</v>
      </c>
      <c r="V22" s="72">
        <f t="shared" si="4"/>
        <v>3844719.2102447427</v>
      </c>
      <c r="W22" s="72">
        <f t="shared" si="4"/>
        <v>3889559.2623583567</v>
      </c>
      <c r="X22" s="72">
        <f t="shared" si="4"/>
        <v>3920920.5329690441</v>
      </c>
      <c r="Y22" s="72">
        <f t="shared" si="4"/>
        <v>3955330.0883299899</v>
      </c>
      <c r="Z22" s="72">
        <f t="shared" si="4"/>
        <v>3947075.3186790105</v>
      </c>
      <c r="AA22" s="72">
        <f t="shared" si="4"/>
        <v>3960467.1030788929</v>
      </c>
      <c r="AB22" s="72">
        <f t="shared" si="4"/>
        <v>3958993.9722895538</v>
      </c>
      <c r="AC22" s="72">
        <f t="shared" si="4"/>
        <v>4006765.9514581612</v>
      </c>
      <c r="AD22" s="72">
        <f t="shared" si="4"/>
        <v>3966992.7952391296</v>
      </c>
      <c r="AE22" s="72">
        <f t="shared" si="4"/>
        <v>4005498.4258809453</v>
      </c>
      <c r="AF22" s="72">
        <f t="shared" si="4"/>
        <v>3979240.0022918484</v>
      </c>
      <c r="AG22" s="72">
        <f t="shared" si="4"/>
        <v>4006278.7151013729</v>
      </c>
      <c r="AH22" s="72">
        <f t="shared" si="4"/>
        <v>4001758.3985327245</v>
      </c>
      <c r="AI22" s="72">
        <f t="shared" si="4"/>
        <v>3949076.8981106537</v>
      </c>
      <c r="AJ22" s="72">
        <f t="shared" si="4"/>
        <v>3802829.3344238237</v>
      </c>
      <c r="AK22" s="72">
        <f t="shared" si="4"/>
        <v>3699431.9088499011</v>
      </c>
      <c r="AL22" s="72">
        <f t="shared" si="4"/>
        <v>3673606.4640790783</v>
      </c>
      <c r="AM22" s="72">
        <f t="shared" si="4"/>
        <v>3509734.1852246835</v>
      </c>
      <c r="AN22" s="72">
        <f t="shared" si="4"/>
        <v>3506059.5561369285</v>
      </c>
      <c r="AO22" s="72">
        <f t="shared" si="4"/>
        <v>3635283.9242281076</v>
      </c>
      <c r="AP22" s="72">
        <f t="shared" si="4"/>
        <v>3565223.741116765</v>
      </c>
      <c r="AQ22" s="72">
        <f t="shared" si="4"/>
        <v>3708372.4152330263</v>
      </c>
      <c r="AR22" s="72">
        <f t="shared" si="4"/>
        <v>3572163.5606233156</v>
      </c>
      <c r="AS22" s="72">
        <f t="shared" si="4"/>
        <v>3526174.4896485796</v>
      </c>
      <c r="AT22" s="72">
        <f t="shared" si="4"/>
        <v>3229013.9987702896</v>
      </c>
      <c r="AU22" s="72">
        <f t="shared" si="4"/>
        <v>3425438.8122091447</v>
      </c>
      <c r="AV22" s="72">
        <f t="shared" si="4"/>
        <v>3254849.3818315263</v>
      </c>
      <c r="AW22" s="72">
        <f t="shared" si="4"/>
        <v>2948240.250195513</v>
      </c>
      <c r="AX22" s="72">
        <f t="shared" si="4"/>
        <v>3190250.7570567094</v>
      </c>
      <c r="AY22" s="72">
        <f t="shared" si="4"/>
        <v>2813305.9629619438</v>
      </c>
      <c r="AZ22" s="72">
        <f t="shared" si="4"/>
        <v>2994091.8460507574</v>
      </c>
      <c r="BA22" s="72">
        <f t="shared" si="4"/>
        <v>2824026.7141938512</v>
      </c>
      <c r="BB22" s="72">
        <f t="shared" si="4"/>
        <v>2865381.8075106544</v>
      </c>
      <c r="BC22" s="72">
        <f t="shared" si="4"/>
        <v>2711720.9624004918</v>
      </c>
      <c r="BD22" s="72">
        <f t="shared" si="4"/>
        <v>2648265.8789667604</v>
      </c>
      <c r="BE22" s="72">
        <f t="shared" si="4"/>
        <v>2904920.3320057779</v>
      </c>
      <c r="BF22" s="72">
        <f t="shared" si="4"/>
        <v>2934487.3264138354</v>
      </c>
      <c r="BG22" s="72">
        <f t="shared" si="4"/>
        <v>3107207.670633167</v>
      </c>
      <c r="BH22" s="72">
        <f t="shared" si="4"/>
        <v>3013881.1062782407</v>
      </c>
      <c r="BI22" s="72">
        <f t="shared" si="4"/>
        <v>3105044.8209327972</v>
      </c>
      <c r="BJ22" s="72">
        <f t="shared" si="4"/>
        <v>3048991.2730086404</v>
      </c>
      <c r="BK22" s="72">
        <f t="shared" si="4"/>
        <v>2923172.3922437103</v>
      </c>
      <c r="BL22" s="72">
        <f t="shared" si="4"/>
        <v>2975205.7993806056</v>
      </c>
      <c r="BM22" s="72">
        <f t="shared" si="4"/>
        <v>2957618.442931518</v>
      </c>
      <c r="BN22" s="72">
        <f t="shared" si="4"/>
        <v>3160561.8926583636</v>
      </c>
      <c r="BO22" s="72">
        <f t="shared" ref="BO22:CO22" si="5">BO18*BO17</f>
        <v>3138370.5189088462</v>
      </c>
      <c r="BP22" s="72">
        <f t="shared" si="5"/>
        <v>3264120.2257878371</v>
      </c>
      <c r="BQ22" s="72">
        <f t="shared" si="5"/>
        <v>3281934.0475759348</v>
      </c>
      <c r="BR22" s="72">
        <f t="shared" si="5"/>
        <v>3255611.4779028245</v>
      </c>
      <c r="BS22" s="72">
        <f t="shared" si="5"/>
        <v>3372936.0361937918</v>
      </c>
      <c r="BT22" s="72">
        <f t="shared" si="5"/>
        <v>3274617.7930625556</v>
      </c>
      <c r="BU22" s="72">
        <f t="shared" si="5"/>
        <v>3315485.1730700913</v>
      </c>
      <c r="BV22" s="72">
        <f t="shared" si="5"/>
        <v>3384399.5683828867</v>
      </c>
      <c r="BW22" s="72">
        <f t="shared" si="5"/>
        <v>3335278.2314272253</v>
      </c>
      <c r="BX22" s="72">
        <f t="shared" si="5"/>
        <v>3223569.415701604</v>
      </c>
      <c r="BY22" s="72">
        <f t="shared" si="5"/>
        <v>3318766.4325658018</v>
      </c>
      <c r="BZ22" s="72">
        <f t="shared" si="5"/>
        <v>3312603.0515590846</v>
      </c>
      <c r="CA22" s="72">
        <f t="shared" si="5"/>
        <v>3363429.8505942267</v>
      </c>
      <c r="CB22" s="72">
        <f t="shared" si="5"/>
        <v>3418730.5241053756</v>
      </c>
      <c r="CC22" s="72">
        <f t="shared" si="5"/>
        <v>3371013.8293718793</v>
      </c>
      <c r="CD22" s="72">
        <f t="shared" si="5"/>
        <v>3471792.433759612</v>
      </c>
      <c r="CE22" s="72">
        <f t="shared" si="5"/>
        <v>3452488.1138564507</v>
      </c>
      <c r="CF22" s="72">
        <f t="shared" si="5"/>
        <v>3357006.0643620472</v>
      </c>
      <c r="CG22" s="72">
        <f t="shared" si="5"/>
        <v>3348215.8205716219</v>
      </c>
      <c r="CH22" s="72">
        <f t="shared" si="5"/>
        <v>3408750.3127503996</v>
      </c>
      <c r="CI22" s="72">
        <f t="shared" si="5"/>
        <v>3378566.3344400646</v>
      </c>
      <c r="CJ22" s="72">
        <f t="shared" si="5"/>
        <v>3405797.0280629089</v>
      </c>
      <c r="CK22" s="72">
        <f t="shared" si="5"/>
        <v>3453246.9268059698</v>
      </c>
      <c r="CL22" s="72">
        <f t="shared" si="5"/>
        <v>3446266.4843557542</v>
      </c>
      <c r="CM22" s="72">
        <f t="shared" si="5"/>
        <v>3375218.9559266511</v>
      </c>
      <c r="CN22" s="72">
        <f t="shared" si="5"/>
        <v>3348242.8111311677</v>
      </c>
      <c r="CO22" s="72">
        <f t="shared" si="5"/>
        <v>3354646.8767789975</v>
      </c>
      <c r="CP22" s="50"/>
      <c r="CQ22" s="49"/>
      <c r="CR22" s="49"/>
      <c r="CS22" s="49"/>
      <c r="CT22" s="49"/>
      <c r="CU22" s="49"/>
      <c r="CV22" s="49"/>
      <c r="CW22" s="49"/>
      <c r="CX22" s="49"/>
      <c r="CY22" s="49"/>
      <c r="CZ22" s="49"/>
      <c r="DA22" s="49"/>
    </row>
    <row r="23" spans="1:105" ht="18" x14ac:dyDescent="0.4">
      <c r="A23" s="49"/>
      <c r="B23" s="62" t="s">
        <v>47</v>
      </c>
      <c r="C23" s="71">
        <f t="shared" ref="C23:BN23" si="6">C22*C13</f>
        <v>5000000</v>
      </c>
      <c r="D23" s="71">
        <f t="shared" si="6"/>
        <v>4985153.4616998695</v>
      </c>
      <c r="E23" s="71">
        <f t="shared" si="6"/>
        <v>5083257.935345551</v>
      </c>
      <c r="F23" s="71">
        <f t="shared" si="6"/>
        <v>5106849.9437727593</v>
      </c>
      <c r="G23" s="71">
        <f t="shared" si="6"/>
        <v>5086904.1660352163</v>
      </c>
      <c r="H23" s="71">
        <f t="shared" si="6"/>
        <v>5122810.9653444933</v>
      </c>
      <c r="I23" s="71">
        <f t="shared" si="6"/>
        <v>5106202.8143232074</v>
      </c>
      <c r="J23" s="71">
        <f t="shared" si="6"/>
        <v>5126070.1259868639</v>
      </c>
      <c r="K23" s="71">
        <f t="shared" si="6"/>
        <v>5192907.4882579716</v>
      </c>
      <c r="L23" s="71">
        <f t="shared" si="6"/>
        <v>5211919.5226743342</v>
      </c>
      <c r="M23" s="71">
        <f t="shared" si="6"/>
        <v>5229071.3636952462</v>
      </c>
      <c r="N23" s="71">
        <f t="shared" si="6"/>
        <v>5212124.237662863</v>
      </c>
      <c r="O23" s="71">
        <f t="shared" si="6"/>
        <v>5261240.5504336087</v>
      </c>
      <c r="P23" s="71">
        <f t="shared" si="6"/>
        <v>5096430.9656624505</v>
      </c>
      <c r="Q23" s="71">
        <f t="shared" si="6"/>
        <v>5020700.3013219507</v>
      </c>
      <c r="R23" s="71">
        <f t="shared" si="6"/>
        <v>5054546.9478488602</v>
      </c>
      <c r="S23" s="71">
        <f t="shared" si="6"/>
        <v>5075577.8197790533</v>
      </c>
      <c r="T23" s="71">
        <f t="shared" si="6"/>
        <v>5088350.2802833635</v>
      </c>
      <c r="U23" s="71">
        <f t="shared" si="6"/>
        <v>5003639.8139518732</v>
      </c>
      <c r="V23" s="71">
        <f t="shared" si="6"/>
        <v>5067339.919102571</v>
      </c>
      <c r="W23" s="71">
        <f t="shared" si="6"/>
        <v>5134996.1381655028</v>
      </c>
      <c r="X23" s="71">
        <f t="shared" si="6"/>
        <v>5200316.9028768437</v>
      </c>
      <c r="Y23" s="71">
        <f t="shared" si="6"/>
        <v>5264148.8145583831</v>
      </c>
      <c r="Z23" s="71">
        <f t="shared" si="6"/>
        <v>5230664.2123134248</v>
      </c>
      <c r="AA23" s="71">
        <f t="shared" si="6"/>
        <v>5187023.7649024269</v>
      </c>
      <c r="AB23" s="71">
        <f t="shared" si="6"/>
        <v>5167674.8320295541</v>
      </c>
      <c r="AC23" s="71">
        <f t="shared" si="6"/>
        <v>5226024.8304868797</v>
      </c>
      <c r="AD23" s="71">
        <f t="shared" si="6"/>
        <v>5176925.5977870636</v>
      </c>
      <c r="AE23" s="71">
        <f t="shared" si="6"/>
        <v>5231982.0438856911</v>
      </c>
      <c r="AF23" s="71">
        <f t="shared" si="6"/>
        <v>5142769.7789619844</v>
      </c>
      <c r="AG23" s="71">
        <f t="shared" si="6"/>
        <v>5163692.6358941589</v>
      </c>
      <c r="AH23" s="71">
        <f t="shared" si="6"/>
        <v>5123451.2776414473</v>
      </c>
      <c r="AI23" s="71">
        <f t="shared" si="6"/>
        <v>5072984.183312946</v>
      </c>
      <c r="AJ23" s="71">
        <f t="shared" si="6"/>
        <v>4902607.5779391928</v>
      </c>
      <c r="AK23" s="71">
        <f t="shared" si="6"/>
        <v>4755619.7188265482</v>
      </c>
      <c r="AL23" s="71">
        <f t="shared" si="6"/>
        <v>4755116.2071039593</v>
      </c>
      <c r="AM23" s="71">
        <f t="shared" si="6"/>
        <v>4545807.7167030098</v>
      </c>
      <c r="AN23" s="71">
        <f t="shared" si="6"/>
        <v>4534036.217996276</v>
      </c>
      <c r="AO23" s="71">
        <f t="shared" si="6"/>
        <v>4705875.0399132855</v>
      </c>
      <c r="AP23" s="71">
        <f t="shared" si="6"/>
        <v>4647982.1912939269</v>
      </c>
      <c r="AQ23" s="71">
        <f t="shared" si="6"/>
        <v>4850180.2818832751</v>
      </c>
      <c r="AR23" s="71">
        <f t="shared" si="6"/>
        <v>4682749.2116211047</v>
      </c>
      <c r="AS23" s="71">
        <f t="shared" si="6"/>
        <v>4624930.4606230771</v>
      </c>
      <c r="AT23" s="71">
        <f t="shared" si="6"/>
        <v>4219029.69079326</v>
      </c>
      <c r="AU23" s="71">
        <f t="shared" si="6"/>
        <v>4508905.1085108975</v>
      </c>
      <c r="AV23" s="71">
        <f t="shared" si="6"/>
        <v>4295099.2442648821</v>
      </c>
      <c r="AW23" s="71">
        <f t="shared" si="6"/>
        <v>3852170.7109054574</v>
      </c>
      <c r="AX23" s="71">
        <f t="shared" si="6"/>
        <v>4169338.7143974132</v>
      </c>
      <c r="AY23" s="71">
        <f t="shared" si="6"/>
        <v>3644356.5444209022</v>
      </c>
      <c r="AZ23" s="71">
        <f t="shared" si="6"/>
        <v>3859983.2079286361</v>
      </c>
      <c r="BA23" s="71">
        <f t="shared" si="6"/>
        <v>3635087.1865103249</v>
      </c>
      <c r="BB23" s="71">
        <f t="shared" si="6"/>
        <v>3720984.8152333358</v>
      </c>
      <c r="BC23" s="71">
        <f t="shared" si="6"/>
        <v>3494052.4600530337</v>
      </c>
      <c r="BD23" s="71">
        <f t="shared" si="6"/>
        <v>3405934.7469391506</v>
      </c>
      <c r="BE23" s="71">
        <f t="shared" si="6"/>
        <v>3736889.5150922327</v>
      </c>
      <c r="BF23" s="71">
        <f t="shared" si="6"/>
        <v>3769055.5220459299</v>
      </c>
      <c r="BG23" s="71">
        <f t="shared" si="6"/>
        <v>3960757.617756098</v>
      </c>
      <c r="BH23" s="71">
        <f t="shared" si="6"/>
        <v>3854452.5468192417</v>
      </c>
      <c r="BI23" s="71">
        <f t="shared" si="6"/>
        <v>3948685.4987802384</v>
      </c>
      <c r="BJ23" s="71">
        <f t="shared" si="6"/>
        <v>3895696.1495231399</v>
      </c>
      <c r="BK23" s="71">
        <f t="shared" si="6"/>
        <v>3719152.2346516727</v>
      </c>
      <c r="BL23" s="71">
        <f t="shared" si="6"/>
        <v>3757089.8834578283</v>
      </c>
      <c r="BM23" s="71">
        <f t="shared" si="6"/>
        <v>3728669.5710037644</v>
      </c>
      <c r="BN23" s="71">
        <f t="shared" si="6"/>
        <v>4026555.8512467551</v>
      </c>
      <c r="BO23" s="71">
        <f t="shared" ref="BO23:CO23" si="7">BO22*BO13</f>
        <v>4002677.7598163425</v>
      </c>
      <c r="BP23" s="71">
        <f t="shared" si="7"/>
        <v>4145106.2747279746</v>
      </c>
      <c r="BQ23" s="71">
        <f t="shared" si="7"/>
        <v>4149677.409755012</v>
      </c>
      <c r="BR23" s="71">
        <f t="shared" si="7"/>
        <v>4112813.9800346387</v>
      </c>
      <c r="BS23" s="71">
        <f t="shared" si="7"/>
        <v>4275196.4258756312</v>
      </c>
      <c r="BT23" s="71">
        <f t="shared" si="7"/>
        <v>4160729.367865283</v>
      </c>
      <c r="BU23" s="71">
        <f t="shared" si="7"/>
        <v>4192431.0013471302</v>
      </c>
      <c r="BV23" s="71">
        <f t="shared" si="7"/>
        <v>4283296.0937453816</v>
      </c>
      <c r="BW23" s="71">
        <f t="shared" si="7"/>
        <v>4205785.8498297306</v>
      </c>
      <c r="BX23" s="71">
        <f t="shared" si="7"/>
        <v>4074269.3845052575</v>
      </c>
      <c r="BY23" s="71">
        <f t="shared" si="7"/>
        <v>4189610.744471068</v>
      </c>
      <c r="BZ23" s="71">
        <f t="shared" si="7"/>
        <v>4168248.4197767959</v>
      </c>
      <c r="CA23" s="71">
        <f t="shared" si="7"/>
        <v>4252384.360106281</v>
      </c>
      <c r="CB23" s="71">
        <f t="shared" si="7"/>
        <v>4317514.7788926782</v>
      </c>
      <c r="CC23" s="71">
        <f t="shared" si="7"/>
        <v>4209384.9687366653</v>
      </c>
      <c r="CD23" s="71">
        <f t="shared" si="7"/>
        <v>4360918.4760454483</v>
      </c>
      <c r="CE23" s="71">
        <f t="shared" si="7"/>
        <v>4393636.3736937186</v>
      </c>
      <c r="CF23" s="71">
        <f t="shared" si="7"/>
        <v>4290589.4508611327</v>
      </c>
      <c r="CG23" s="71">
        <f t="shared" si="7"/>
        <v>4263618.025915904</v>
      </c>
      <c r="CH23" s="71">
        <f t="shared" si="7"/>
        <v>4335589.5227872329</v>
      </c>
      <c r="CI23" s="71">
        <f t="shared" si="7"/>
        <v>4299225.6605749819</v>
      </c>
      <c r="CJ23" s="71">
        <f t="shared" si="7"/>
        <v>4342050.6310774023</v>
      </c>
      <c r="CK23" s="71">
        <f t="shared" si="7"/>
        <v>4417048.1440775152</v>
      </c>
      <c r="CL23" s="71">
        <f t="shared" si="7"/>
        <v>4419836.766186255</v>
      </c>
      <c r="CM23" s="71">
        <f t="shared" si="7"/>
        <v>4302391.6031197021</v>
      </c>
      <c r="CN23" s="71">
        <f t="shared" si="7"/>
        <v>4294791.0538379485</v>
      </c>
      <c r="CO23" s="71">
        <f t="shared" si="7"/>
        <v>4305353.8016581656</v>
      </c>
      <c r="CP23" s="49"/>
      <c r="CQ23" s="49"/>
      <c r="CR23" s="49"/>
      <c r="CS23" s="49"/>
      <c r="CT23" s="49"/>
      <c r="CU23" s="49"/>
      <c r="CV23" s="49"/>
      <c r="CW23" s="49"/>
      <c r="CX23" s="49"/>
      <c r="CY23" s="49"/>
      <c r="CZ23" s="49"/>
      <c r="DA23" s="49"/>
    </row>
    <row r="24" spans="1:105" x14ac:dyDescent="0.35">
      <c r="A24" s="49"/>
      <c r="B24" s="50"/>
      <c r="C24" s="54"/>
      <c r="D24" s="54"/>
      <c r="E24" s="54"/>
      <c r="F24" s="54"/>
      <c r="G24" s="54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  <c r="AB24" s="54"/>
      <c r="AC24" s="54"/>
      <c r="AD24" s="54"/>
      <c r="AE24" s="54"/>
      <c r="AF24" s="54"/>
      <c r="AG24" s="54"/>
      <c r="AH24" s="54"/>
      <c r="AI24" s="54"/>
      <c r="AJ24" s="54"/>
      <c r="AK24" s="54"/>
      <c r="AL24" s="54"/>
      <c r="AM24" s="54"/>
      <c r="AN24" s="54"/>
      <c r="AO24" s="54"/>
      <c r="AP24" s="54"/>
      <c r="AQ24" s="54"/>
      <c r="AR24" s="54"/>
      <c r="AS24" s="54"/>
      <c r="AT24" s="54"/>
      <c r="AU24" s="54"/>
      <c r="AV24" s="54"/>
      <c r="AW24" s="54"/>
      <c r="AX24" s="54"/>
      <c r="AY24" s="54"/>
      <c r="AZ24" s="54"/>
      <c r="BA24" s="54"/>
      <c r="BB24" s="54"/>
      <c r="BC24" s="54"/>
      <c r="BD24" s="54"/>
      <c r="BE24" s="54"/>
      <c r="BF24" s="54"/>
      <c r="BG24" s="54"/>
      <c r="BH24" s="54"/>
      <c r="BI24" s="54"/>
      <c r="BJ24" s="54"/>
      <c r="BK24" s="54"/>
      <c r="BL24" s="54"/>
      <c r="BM24" s="54"/>
      <c r="BN24" s="54"/>
      <c r="BO24" s="54"/>
      <c r="BP24" s="54"/>
      <c r="BQ24" s="54"/>
      <c r="BR24" s="54"/>
      <c r="BS24" s="54"/>
      <c r="BT24" s="54"/>
      <c r="BU24" s="54"/>
      <c r="BV24" s="54"/>
      <c r="BW24" s="54"/>
      <c r="BX24" s="54"/>
      <c r="BY24" s="54"/>
      <c r="BZ24" s="54"/>
      <c r="CA24" s="54"/>
      <c r="CB24" s="54"/>
      <c r="CC24" s="54"/>
      <c r="CD24" s="54"/>
      <c r="CE24" s="54"/>
      <c r="CF24" s="54"/>
      <c r="CG24" s="54"/>
      <c r="CH24" s="54"/>
      <c r="CI24" s="54"/>
      <c r="CJ24" s="54"/>
      <c r="CK24" s="54"/>
      <c r="CL24" s="54"/>
      <c r="CM24" s="54"/>
      <c r="CN24" s="54"/>
      <c r="CO24" s="54"/>
      <c r="CP24" s="49"/>
      <c r="CQ24" s="49"/>
      <c r="CR24" s="49"/>
      <c r="CS24" s="49"/>
      <c r="CT24" s="49"/>
      <c r="CU24" s="49"/>
      <c r="CV24" s="49"/>
      <c r="CW24" s="49"/>
      <c r="CX24" s="49"/>
      <c r="CY24" s="49"/>
      <c r="CZ24" s="49"/>
      <c r="DA24" s="49"/>
    </row>
    <row r="25" spans="1:105" ht="18" x14ac:dyDescent="0.4">
      <c r="A25" s="49"/>
      <c r="B25" s="61" t="s">
        <v>48</v>
      </c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  <c r="O25" s="49"/>
      <c r="P25" s="49"/>
      <c r="Q25" s="49"/>
      <c r="R25" s="49"/>
      <c r="S25" s="49"/>
      <c r="T25" s="49"/>
      <c r="U25" s="49"/>
      <c r="V25" s="49"/>
      <c r="W25" s="49"/>
      <c r="X25" s="49"/>
      <c r="Y25" s="49"/>
      <c r="Z25" s="49"/>
      <c r="AA25" s="49"/>
      <c r="AB25" s="49"/>
      <c r="AC25" s="49"/>
      <c r="AD25" s="49"/>
      <c r="AE25" s="49"/>
      <c r="AF25" s="49"/>
      <c r="AG25" s="49"/>
      <c r="AH25" s="49"/>
      <c r="AI25" s="49"/>
      <c r="AJ25" s="49"/>
      <c r="AK25" s="49"/>
      <c r="AL25" s="49"/>
      <c r="AM25" s="49"/>
      <c r="AN25" s="49"/>
      <c r="AO25" s="49"/>
      <c r="AP25" s="49"/>
      <c r="AQ25" s="49"/>
      <c r="AR25" s="49"/>
      <c r="AS25" s="49"/>
      <c r="AT25" s="49"/>
      <c r="AU25" s="49"/>
      <c r="AV25" s="49"/>
      <c r="AW25" s="49"/>
      <c r="AX25" s="49"/>
      <c r="AY25" s="49"/>
      <c r="AZ25" s="49"/>
      <c r="BA25" s="49"/>
      <c r="BB25" s="49"/>
      <c r="BC25" s="49"/>
      <c r="BD25" s="49"/>
      <c r="BE25" s="49"/>
      <c r="BF25" s="49"/>
      <c r="BG25" s="49"/>
      <c r="BH25" s="49"/>
      <c r="BI25" s="49"/>
      <c r="BJ25" s="49"/>
      <c r="BK25" s="49"/>
      <c r="BL25" s="49"/>
      <c r="BM25" s="49"/>
      <c r="BN25" s="49"/>
      <c r="BO25" s="49"/>
      <c r="BP25" s="49"/>
      <c r="BQ25" s="49"/>
      <c r="BR25" s="49"/>
      <c r="BS25" s="49"/>
      <c r="BT25" s="49"/>
      <c r="BU25" s="49"/>
      <c r="BV25" s="49"/>
      <c r="BW25" s="49"/>
      <c r="BX25" s="49"/>
      <c r="BY25" s="49"/>
      <c r="BZ25" s="49"/>
      <c r="CA25" s="49"/>
      <c r="CB25" s="49"/>
      <c r="CC25" s="49"/>
      <c r="CD25" s="49"/>
      <c r="CE25" s="49"/>
      <c r="CF25" s="49"/>
      <c r="CG25" s="49"/>
      <c r="CH25" s="49"/>
      <c r="CI25" s="49"/>
      <c r="CJ25" s="49"/>
      <c r="CK25" s="49"/>
      <c r="CL25" s="49"/>
      <c r="CM25" s="49"/>
      <c r="CN25" s="49"/>
      <c r="CO25" s="49"/>
      <c r="CP25" s="49"/>
      <c r="CQ25" s="49"/>
      <c r="CR25" s="49"/>
      <c r="CS25" s="49"/>
      <c r="CT25" s="49"/>
      <c r="CU25" s="49"/>
      <c r="CV25" s="49"/>
      <c r="CW25" s="49"/>
      <c r="CX25" s="49"/>
      <c r="CY25" s="49"/>
      <c r="CZ25" s="49"/>
      <c r="DA25" s="49"/>
    </row>
    <row r="26" spans="1:105" ht="18" x14ac:dyDescent="0.4">
      <c r="A26" s="49"/>
      <c r="B26" s="66" t="s">
        <v>43</v>
      </c>
      <c r="C26" s="67">
        <v>0</v>
      </c>
      <c r="D26" s="67">
        <v>1</v>
      </c>
      <c r="E26" s="67">
        <v>2</v>
      </c>
      <c r="F26" s="67">
        <v>3</v>
      </c>
      <c r="G26" s="67">
        <v>4</v>
      </c>
      <c r="H26" s="67">
        <v>5</v>
      </c>
      <c r="I26" s="67">
        <v>6</v>
      </c>
      <c r="J26" s="67">
        <v>7</v>
      </c>
      <c r="K26" s="67">
        <v>8</v>
      </c>
      <c r="L26" s="67">
        <v>9</v>
      </c>
      <c r="M26" s="67">
        <v>10</v>
      </c>
      <c r="N26" s="67">
        <v>11</v>
      </c>
      <c r="O26" s="67">
        <v>12</v>
      </c>
      <c r="P26" s="67">
        <v>13</v>
      </c>
      <c r="Q26" s="67">
        <v>14</v>
      </c>
      <c r="R26" s="67">
        <v>15</v>
      </c>
      <c r="S26" s="67">
        <v>16</v>
      </c>
      <c r="T26" s="67">
        <v>17</v>
      </c>
      <c r="U26" s="67">
        <v>18</v>
      </c>
      <c r="V26" s="67">
        <v>19</v>
      </c>
      <c r="W26" s="67">
        <v>20</v>
      </c>
      <c r="X26" s="67">
        <v>21</v>
      </c>
      <c r="Y26" s="67">
        <v>22</v>
      </c>
      <c r="Z26" s="67">
        <v>23</v>
      </c>
      <c r="AA26" s="67">
        <v>24</v>
      </c>
      <c r="AB26" s="67">
        <v>25</v>
      </c>
      <c r="AC26" s="67">
        <v>26</v>
      </c>
      <c r="AD26" s="67">
        <v>27</v>
      </c>
      <c r="AE26" s="67">
        <v>28</v>
      </c>
      <c r="AF26" s="67">
        <v>29</v>
      </c>
      <c r="AG26" s="67">
        <v>30</v>
      </c>
      <c r="AH26" s="67">
        <v>31</v>
      </c>
      <c r="AI26" s="67">
        <v>32</v>
      </c>
      <c r="AJ26" s="67">
        <v>33</v>
      </c>
      <c r="AK26" s="67">
        <v>34</v>
      </c>
      <c r="AL26" s="67">
        <v>35</v>
      </c>
      <c r="AM26" s="67">
        <v>36</v>
      </c>
      <c r="AN26" s="67">
        <v>37</v>
      </c>
      <c r="AO26" s="67">
        <v>38</v>
      </c>
      <c r="AP26" s="67">
        <v>39</v>
      </c>
      <c r="AQ26" s="67">
        <v>40</v>
      </c>
      <c r="AR26" s="67">
        <v>41</v>
      </c>
      <c r="AS26" s="67">
        <v>42</v>
      </c>
      <c r="AT26" s="67">
        <v>43</v>
      </c>
      <c r="AU26" s="67">
        <v>44</v>
      </c>
      <c r="AV26" s="67">
        <v>45</v>
      </c>
      <c r="AW26" s="67">
        <v>46</v>
      </c>
      <c r="AX26" s="67">
        <v>47</v>
      </c>
      <c r="AY26" s="67">
        <v>48</v>
      </c>
      <c r="AZ26" s="67">
        <v>49</v>
      </c>
      <c r="BA26" s="67">
        <v>50</v>
      </c>
      <c r="BB26" s="67">
        <v>51</v>
      </c>
      <c r="BC26" s="67">
        <v>52</v>
      </c>
      <c r="BD26" s="67">
        <v>53</v>
      </c>
      <c r="BE26" s="67">
        <v>54</v>
      </c>
      <c r="BF26" s="67">
        <v>55</v>
      </c>
      <c r="BG26" s="67">
        <v>56</v>
      </c>
      <c r="BH26" s="67">
        <v>57</v>
      </c>
      <c r="BI26" s="67">
        <v>58</v>
      </c>
      <c r="BJ26" s="67">
        <v>59</v>
      </c>
      <c r="BK26" s="67">
        <v>60</v>
      </c>
      <c r="BL26" s="67">
        <v>61</v>
      </c>
      <c r="BM26" s="67">
        <v>62</v>
      </c>
      <c r="BN26" s="67">
        <v>63</v>
      </c>
      <c r="BO26" s="67">
        <v>64</v>
      </c>
      <c r="BP26" s="67">
        <v>65</v>
      </c>
      <c r="BQ26" s="67">
        <v>66</v>
      </c>
      <c r="BR26" s="67">
        <v>67</v>
      </c>
      <c r="BS26" s="67">
        <v>68</v>
      </c>
      <c r="BT26" s="67">
        <v>69</v>
      </c>
      <c r="BU26" s="67">
        <v>70</v>
      </c>
      <c r="BV26" s="67">
        <v>71</v>
      </c>
      <c r="BW26" s="67">
        <v>72</v>
      </c>
      <c r="BX26" s="67">
        <v>73</v>
      </c>
      <c r="BY26" s="67">
        <v>74</v>
      </c>
      <c r="BZ26" s="67">
        <v>75</v>
      </c>
      <c r="CA26" s="67">
        <v>76</v>
      </c>
      <c r="CB26" s="67">
        <v>77</v>
      </c>
      <c r="CC26" s="67">
        <v>78</v>
      </c>
      <c r="CD26" s="67">
        <v>79</v>
      </c>
      <c r="CE26" s="67">
        <v>80</v>
      </c>
      <c r="CF26" s="67">
        <v>81</v>
      </c>
      <c r="CG26" s="67">
        <v>82</v>
      </c>
      <c r="CH26" s="67">
        <v>83</v>
      </c>
      <c r="CI26" s="67">
        <v>84</v>
      </c>
      <c r="CJ26" s="67">
        <v>85</v>
      </c>
      <c r="CK26" s="67">
        <v>86</v>
      </c>
      <c r="CL26" s="67">
        <v>87</v>
      </c>
      <c r="CM26" s="67">
        <v>88</v>
      </c>
      <c r="CN26" s="67">
        <v>89</v>
      </c>
      <c r="CO26" s="67">
        <v>90</v>
      </c>
      <c r="CP26" s="49"/>
      <c r="CQ26" s="49"/>
      <c r="CR26" s="49"/>
      <c r="CS26" s="49"/>
      <c r="CT26" s="49"/>
      <c r="CU26" s="49"/>
      <c r="CV26" s="49"/>
      <c r="CW26" s="49"/>
      <c r="CX26" s="49"/>
      <c r="CY26" s="49"/>
      <c r="CZ26" s="49"/>
      <c r="DA26" s="49"/>
    </row>
    <row r="27" spans="1:105" ht="18" x14ac:dyDescent="0.4">
      <c r="A27" s="49"/>
      <c r="B27" s="62" t="s">
        <v>76</v>
      </c>
      <c r="C27" s="65">
        <f>C22/$C$22*100</f>
        <v>100</v>
      </c>
      <c r="D27" s="65">
        <f t="shared" ref="D27:BO27" si="8">D22/$C$22*100</f>
        <v>99.634276867920562</v>
      </c>
      <c r="E27" s="65">
        <f t="shared" si="8"/>
        <v>100.47807595303549</v>
      </c>
      <c r="F27" s="65">
        <f t="shared" si="8"/>
        <v>100.76867849996658</v>
      </c>
      <c r="G27" s="65">
        <f t="shared" si="8"/>
        <v>100.50442713795992</v>
      </c>
      <c r="H27" s="65">
        <f t="shared" si="8"/>
        <v>101.10658026083046</v>
      </c>
      <c r="I27" s="65">
        <f t="shared" si="8"/>
        <v>101.5630635304845</v>
      </c>
      <c r="J27" s="65">
        <f t="shared" si="8"/>
        <v>101.25522668925406</v>
      </c>
      <c r="K27" s="65">
        <f t="shared" si="8"/>
        <v>102.03429169346194</v>
      </c>
      <c r="L27" s="65">
        <f t="shared" si="8"/>
        <v>102.50829268662385</v>
      </c>
      <c r="M27" s="65">
        <f t="shared" si="8"/>
        <v>102.57478589280291</v>
      </c>
      <c r="N27" s="65">
        <f t="shared" si="8"/>
        <v>102.61295791864585</v>
      </c>
      <c r="O27" s="65">
        <f t="shared" si="8"/>
        <v>102.83441381751699</v>
      </c>
      <c r="P27" s="65">
        <f t="shared" si="8"/>
        <v>101.61679179718553</v>
      </c>
      <c r="Q27" s="65">
        <f t="shared" si="8"/>
        <v>99.535860726588027</v>
      </c>
      <c r="R27" s="65">
        <f t="shared" si="8"/>
        <v>101.24628423389916</v>
      </c>
      <c r="S27" s="65">
        <f t="shared" si="8"/>
        <v>101.12366355494072</v>
      </c>
      <c r="T27" s="65">
        <f t="shared" si="8"/>
        <v>100.72383584433355</v>
      </c>
      <c r="U27" s="65">
        <f t="shared" si="8"/>
        <v>98.986864432937722</v>
      </c>
      <c r="V27" s="65">
        <f t="shared" si="8"/>
        <v>100.23182981108046</v>
      </c>
      <c r="W27" s="65">
        <f t="shared" si="8"/>
        <v>101.40080996968237</v>
      </c>
      <c r="X27" s="65">
        <f t="shared" si="8"/>
        <v>102.21839829450299</v>
      </c>
      <c r="Y27" s="65">
        <f t="shared" si="8"/>
        <v>103.11545540276283</v>
      </c>
      <c r="Z27" s="65">
        <f t="shared" si="8"/>
        <v>102.90025355796179</v>
      </c>
      <c r="AA27" s="65">
        <f t="shared" si="8"/>
        <v>103.24937737726674</v>
      </c>
      <c r="AB27" s="65">
        <f t="shared" si="8"/>
        <v>103.21097285758867</v>
      </c>
      <c r="AC27" s="65">
        <f t="shared" si="8"/>
        <v>104.45638835451427</v>
      </c>
      <c r="AD27" s="65">
        <f t="shared" si="8"/>
        <v>103.41950217188412</v>
      </c>
      <c r="AE27" s="65">
        <f t="shared" si="8"/>
        <v>104.42334396271625</v>
      </c>
      <c r="AF27" s="65">
        <f t="shared" si="8"/>
        <v>103.73878685974849</v>
      </c>
      <c r="AG27" s="65">
        <f t="shared" si="8"/>
        <v>104.44368610269279</v>
      </c>
      <c r="AH27" s="65">
        <f t="shared" si="8"/>
        <v>104.32584144974813</v>
      </c>
      <c r="AI27" s="65">
        <f t="shared" si="8"/>
        <v>102.95243473374474</v>
      </c>
      <c r="AJ27" s="65">
        <f t="shared" si="8"/>
        <v>99.139760748429083</v>
      </c>
      <c r="AK27" s="65">
        <f t="shared" si="8"/>
        <v>96.444189863716929</v>
      </c>
      <c r="AL27" s="65">
        <f t="shared" si="8"/>
        <v>95.770920518541573</v>
      </c>
      <c r="AM27" s="65">
        <f t="shared" si="8"/>
        <v>91.4987702088075</v>
      </c>
      <c r="AN27" s="65">
        <f t="shared" si="8"/>
        <v>91.402972628489735</v>
      </c>
      <c r="AO27" s="65">
        <f t="shared" si="8"/>
        <v>94.771851904626772</v>
      </c>
      <c r="AP27" s="65">
        <f t="shared" si="8"/>
        <v>92.945382930914064</v>
      </c>
      <c r="AQ27" s="65">
        <f t="shared" si="8"/>
        <v>96.677268865125001</v>
      </c>
      <c r="AR27" s="65">
        <f t="shared" si="8"/>
        <v>93.126304025449841</v>
      </c>
      <c r="AS27" s="65">
        <f t="shared" si="8"/>
        <v>91.927368945138468</v>
      </c>
      <c r="AT27" s="65">
        <f t="shared" si="8"/>
        <v>84.180394947941451</v>
      </c>
      <c r="AU27" s="65">
        <f t="shared" si="8"/>
        <v>89.301189834292401</v>
      </c>
      <c r="AV27" s="65">
        <f t="shared" si="8"/>
        <v>84.853923384347894</v>
      </c>
      <c r="AW27" s="65">
        <f t="shared" si="8"/>
        <v>76.860623322597021</v>
      </c>
      <c r="AX27" s="65">
        <f t="shared" si="8"/>
        <v>83.16983723646841</v>
      </c>
      <c r="AY27" s="65">
        <f t="shared" si="8"/>
        <v>73.342886454417879</v>
      </c>
      <c r="AZ27" s="65">
        <f t="shared" si="8"/>
        <v>78.055974426543244</v>
      </c>
      <c r="BA27" s="65">
        <f t="shared" si="8"/>
        <v>73.622376439033701</v>
      </c>
      <c r="BB27" s="65">
        <f t="shared" si="8"/>
        <v>74.700503721802761</v>
      </c>
      <c r="BC27" s="65">
        <f t="shared" si="8"/>
        <v>70.694565489780828</v>
      </c>
      <c r="BD27" s="65">
        <f t="shared" si="8"/>
        <v>69.04029146466344</v>
      </c>
      <c r="BE27" s="65">
        <f t="shared" si="8"/>
        <v>75.731273055390631</v>
      </c>
      <c r="BF27" s="65">
        <f t="shared" si="8"/>
        <v>76.502084599608693</v>
      </c>
      <c r="BG27" s="65">
        <f t="shared" si="8"/>
        <v>81.004903973406655</v>
      </c>
      <c r="BH27" s="65">
        <f t="shared" si="8"/>
        <v>78.571880440673738</v>
      </c>
      <c r="BI27" s="65">
        <f t="shared" si="8"/>
        <v>80.948518481718025</v>
      </c>
      <c r="BJ27" s="65">
        <f t="shared" si="8"/>
        <v>79.487202487335253</v>
      </c>
      <c r="BK27" s="65">
        <f t="shared" si="8"/>
        <v>76.207104265793518</v>
      </c>
      <c r="BL27" s="65">
        <f t="shared" si="8"/>
        <v>77.563615189852385</v>
      </c>
      <c r="BM27" s="65">
        <f t="shared" si="8"/>
        <v>77.105112807224671</v>
      </c>
      <c r="BN27" s="65">
        <f t="shared" si="8"/>
        <v>82.395848541603527</v>
      </c>
      <c r="BO27" s="65">
        <f t="shared" si="8"/>
        <v>81.81731942795362</v>
      </c>
      <c r="BP27" s="65">
        <f t="shared" ref="BP27:CO27" si="9">BP22/$C$22*100</f>
        <v>85.095614286288907</v>
      </c>
      <c r="BQ27" s="65">
        <f t="shared" si="9"/>
        <v>85.560020620304627</v>
      </c>
      <c r="BR27" s="65">
        <f t="shared" si="9"/>
        <v>84.873791228926635</v>
      </c>
      <c r="BS27" s="65">
        <f t="shared" si="9"/>
        <v>87.932442463572144</v>
      </c>
      <c r="BT27" s="65">
        <f t="shared" si="9"/>
        <v>85.369285865140824</v>
      </c>
      <c r="BU27" s="65">
        <f t="shared" si="9"/>
        <v>86.434698461937273</v>
      </c>
      <c r="BV27" s="65">
        <f t="shared" si="9"/>
        <v>88.231296747741865</v>
      </c>
      <c r="BW27" s="65">
        <f t="shared" si="9"/>
        <v>86.95070349330777</v>
      </c>
      <c r="BX27" s="65">
        <f t="shared" si="9"/>
        <v>84.038454667340815</v>
      </c>
      <c r="BY27" s="65">
        <f t="shared" si="9"/>
        <v>86.520240896990458</v>
      </c>
      <c r="BZ27" s="65">
        <f t="shared" si="9"/>
        <v>86.35956155414533</v>
      </c>
      <c r="CA27" s="65">
        <f t="shared" si="9"/>
        <v>87.684616204991499</v>
      </c>
      <c r="CB27" s="65">
        <f t="shared" si="9"/>
        <v>89.126304763427143</v>
      </c>
      <c r="CC27" s="65">
        <f t="shared" si="9"/>
        <v>87.88233053172489</v>
      </c>
      <c r="CD27" s="65">
        <f t="shared" si="9"/>
        <v>90.509628748113073</v>
      </c>
      <c r="CE27" s="65">
        <f t="shared" si="9"/>
        <v>90.006365128237661</v>
      </c>
      <c r="CF27" s="65">
        <f t="shared" si="9"/>
        <v>87.517148097918579</v>
      </c>
      <c r="CG27" s="65">
        <f t="shared" si="9"/>
        <v>87.287986442302184</v>
      </c>
      <c r="CH27" s="65">
        <f t="shared" si="9"/>
        <v>88.866120653402916</v>
      </c>
      <c r="CI27" s="65">
        <f t="shared" si="9"/>
        <v>88.079224338852484</v>
      </c>
      <c r="CJ27" s="65">
        <f t="shared" si="9"/>
        <v>88.789128521600034</v>
      </c>
      <c r="CK27" s="65">
        <f t="shared" si="9"/>
        <v>90.026147381831635</v>
      </c>
      <c r="CL27" s="65">
        <f t="shared" si="9"/>
        <v>89.844167247154516</v>
      </c>
      <c r="CM27" s="65">
        <f t="shared" si="9"/>
        <v>87.991958181007789</v>
      </c>
      <c r="CN27" s="65">
        <f t="shared" si="9"/>
        <v>87.288690086189547</v>
      </c>
      <c r="CO27" s="65">
        <f t="shared" si="9"/>
        <v>87.455644077628463</v>
      </c>
      <c r="CP27" s="49"/>
      <c r="CQ27" s="49"/>
      <c r="CR27" s="49"/>
      <c r="CS27" s="49"/>
      <c r="CT27" s="49"/>
      <c r="CU27" s="49"/>
      <c r="CV27" s="49"/>
      <c r="CW27" s="49"/>
      <c r="CX27" s="49"/>
      <c r="CY27" s="49"/>
      <c r="CZ27" s="49"/>
      <c r="DA27" s="49"/>
    </row>
    <row r="28" spans="1:105" ht="18" x14ac:dyDescent="0.4">
      <c r="A28" s="49"/>
      <c r="B28" s="62" t="s">
        <v>47</v>
      </c>
      <c r="C28" s="65">
        <f>C23/$C$23*100</f>
        <v>100</v>
      </c>
      <c r="D28" s="65">
        <f t="shared" ref="D28:BO28" si="10">D23/$C$23*100</f>
        <v>99.703069233997383</v>
      </c>
      <c r="E28" s="65">
        <f t="shared" si="10"/>
        <v>101.66515870691101</v>
      </c>
      <c r="F28" s="65">
        <f t="shared" si="10"/>
        <v>102.13699887545518</v>
      </c>
      <c r="G28" s="65">
        <f t="shared" si="10"/>
        <v>101.73808332070433</v>
      </c>
      <c r="H28" s="65">
        <f t="shared" si="10"/>
        <v>102.45621930688986</v>
      </c>
      <c r="I28" s="65">
        <f t="shared" si="10"/>
        <v>102.12405628646415</v>
      </c>
      <c r="J28" s="65">
        <f t="shared" si="10"/>
        <v>102.52140251973726</v>
      </c>
      <c r="K28" s="65">
        <f t="shared" si="10"/>
        <v>103.85814976515944</v>
      </c>
      <c r="L28" s="65">
        <f t="shared" si="10"/>
        <v>104.23839045348669</v>
      </c>
      <c r="M28" s="65">
        <f t="shared" si="10"/>
        <v>104.58142727390492</v>
      </c>
      <c r="N28" s="65">
        <f t="shared" si="10"/>
        <v>104.24248475325726</v>
      </c>
      <c r="O28" s="65">
        <f t="shared" si="10"/>
        <v>105.22481100867218</v>
      </c>
      <c r="P28" s="65">
        <f t="shared" si="10"/>
        <v>101.92861931324902</v>
      </c>
      <c r="Q28" s="65">
        <f t="shared" si="10"/>
        <v>100.41400602643901</v>
      </c>
      <c r="R28" s="65">
        <f t="shared" si="10"/>
        <v>101.09093895697721</v>
      </c>
      <c r="S28" s="65">
        <f t="shared" si="10"/>
        <v>101.51155639558107</v>
      </c>
      <c r="T28" s="65">
        <f t="shared" si="10"/>
        <v>101.76700560566726</v>
      </c>
      <c r="U28" s="65">
        <f t="shared" si="10"/>
        <v>100.07279627903746</v>
      </c>
      <c r="V28" s="65">
        <f t="shared" si="10"/>
        <v>101.34679838205143</v>
      </c>
      <c r="W28" s="65">
        <f t="shared" si="10"/>
        <v>102.69992276331006</v>
      </c>
      <c r="X28" s="65">
        <f t="shared" si="10"/>
        <v>104.00633805753688</v>
      </c>
      <c r="Y28" s="65">
        <f t="shared" si="10"/>
        <v>105.28297629116766</v>
      </c>
      <c r="Z28" s="65">
        <f t="shared" si="10"/>
        <v>104.61328424626851</v>
      </c>
      <c r="AA28" s="65">
        <f t="shared" si="10"/>
        <v>103.74047529804852</v>
      </c>
      <c r="AB28" s="65">
        <f t="shared" si="10"/>
        <v>103.35349664059108</v>
      </c>
      <c r="AC28" s="65">
        <f t="shared" si="10"/>
        <v>104.52049660973759</v>
      </c>
      <c r="AD28" s="65">
        <f t="shared" si="10"/>
        <v>103.53851195574126</v>
      </c>
      <c r="AE28" s="65">
        <f t="shared" si="10"/>
        <v>104.63964087771383</v>
      </c>
      <c r="AF28" s="65">
        <f t="shared" si="10"/>
        <v>102.85539557923968</v>
      </c>
      <c r="AG28" s="65">
        <f t="shared" si="10"/>
        <v>103.27385271788319</v>
      </c>
      <c r="AH28" s="65">
        <f t="shared" si="10"/>
        <v>102.46902555282895</v>
      </c>
      <c r="AI28" s="65">
        <f t="shared" si="10"/>
        <v>101.45968366625893</v>
      </c>
      <c r="AJ28" s="65">
        <f t="shared" si="10"/>
        <v>98.052151558783848</v>
      </c>
      <c r="AK28" s="65">
        <f t="shared" si="10"/>
        <v>95.112394376530958</v>
      </c>
      <c r="AL28" s="65">
        <f t="shared" si="10"/>
        <v>95.102324142079183</v>
      </c>
      <c r="AM28" s="65">
        <f t="shared" si="10"/>
        <v>90.916154334060195</v>
      </c>
      <c r="AN28" s="65">
        <f t="shared" si="10"/>
        <v>90.68072435992552</v>
      </c>
      <c r="AO28" s="65">
        <f t="shared" si="10"/>
        <v>94.117500798265709</v>
      </c>
      <c r="AP28" s="65">
        <f t="shared" si="10"/>
        <v>92.95964382587853</v>
      </c>
      <c r="AQ28" s="65">
        <f t="shared" si="10"/>
        <v>97.003605637665501</v>
      </c>
      <c r="AR28" s="65">
        <f t="shared" si="10"/>
        <v>93.654984232422095</v>
      </c>
      <c r="AS28" s="65">
        <f t="shared" si="10"/>
        <v>92.498609212461545</v>
      </c>
      <c r="AT28" s="65">
        <f t="shared" si="10"/>
        <v>84.380593815865197</v>
      </c>
      <c r="AU28" s="65">
        <f t="shared" si="10"/>
        <v>90.178102170217954</v>
      </c>
      <c r="AV28" s="65">
        <f t="shared" si="10"/>
        <v>85.901984885297651</v>
      </c>
      <c r="AW28" s="65">
        <f t="shared" si="10"/>
        <v>77.043414218109149</v>
      </c>
      <c r="AX28" s="65">
        <f t="shared" si="10"/>
        <v>83.386774287948256</v>
      </c>
      <c r="AY28" s="65">
        <f t="shared" si="10"/>
        <v>72.887130888418042</v>
      </c>
      <c r="AZ28" s="65">
        <f t="shared" si="10"/>
        <v>77.199664158572716</v>
      </c>
      <c r="BA28" s="65">
        <f t="shared" si="10"/>
        <v>72.701743730206502</v>
      </c>
      <c r="BB28" s="65">
        <f t="shared" si="10"/>
        <v>74.419696304666715</v>
      </c>
      <c r="BC28" s="65">
        <f t="shared" si="10"/>
        <v>69.881049201060677</v>
      </c>
      <c r="BD28" s="65">
        <f t="shared" si="10"/>
        <v>68.118694938783008</v>
      </c>
      <c r="BE28" s="65">
        <f t="shared" si="10"/>
        <v>74.737790301844655</v>
      </c>
      <c r="BF28" s="65">
        <f t="shared" si="10"/>
        <v>75.381110440918604</v>
      </c>
      <c r="BG28" s="65">
        <f t="shared" si="10"/>
        <v>79.215152355121958</v>
      </c>
      <c r="BH28" s="65">
        <f t="shared" si="10"/>
        <v>77.089050936384837</v>
      </c>
      <c r="BI28" s="65">
        <f t="shared" si="10"/>
        <v>78.973709975604763</v>
      </c>
      <c r="BJ28" s="65">
        <f t="shared" si="10"/>
        <v>77.913922990462808</v>
      </c>
      <c r="BK28" s="65">
        <f t="shared" si="10"/>
        <v>74.383044693033455</v>
      </c>
      <c r="BL28" s="65">
        <f t="shared" si="10"/>
        <v>75.14179766915656</v>
      </c>
      <c r="BM28" s="65">
        <f t="shared" si="10"/>
        <v>74.573391420075282</v>
      </c>
      <c r="BN28" s="65">
        <f t="shared" si="10"/>
        <v>80.531117024935099</v>
      </c>
      <c r="BO28" s="65">
        <f t="shared" si="10"/>
        <v>80.053555196326855</v>
      </c>
      <c r="BP28" s="65">
        <f t="shared" ref="BP28:CO28" si="11">BP23/$C$23*100</f>
        <v>82.902125494559485</v>
      </c>
      <c r="BQ28" s="65">
        <f t="shared" si="11"/>
        <v>82.993548195100246</v>
      </c>
      <c r="BR28" s="65">
        <f t="shared" si="11"/>
        <v>82.256279600692778</v>
      </c>
      <c r="BS28" s="65">
        <f t="shared" si="11"/>
        <v>85.503928517512634</v>
      </c>
      <c r="BT28" s="65">
        <f t="shared" si="11"/>
        <v>83.21458735730566</v>
      </c>
      <c r="BU28" s="65">
        <f t="shared" si="11"/>
        <v>83.848620026942598</v>
      </c>
      <c r="BV28" s="65">
        <f t="shared" si="11"/>
        <v>85.665921874907639</v>
      </c>
      <c r="BW28" s="65">
        <f t="shared" si="11"/>
        <v>84.115716996594614</v>
      </c>
      <c r="BX28" s="65">
        <f t="shared" si="11"/>
        <v>81.485387690105142</v>
      </c>
      <c r="BY28" s="65">
        <f t="shared" si="11"/>
        <v>83.792214889421359</v>
      </c>
      <c r="BZ28" s="65">
        <f t="shared" si="11"/>
        <v>83.364968395535925</v>
      </c>
      <c r="CA28" s="65">
        <f t="shared" si="11"/>
        <v>85.047687202125616</v>
      </c>
      <c r="CB28" s="65">
        <f t="shared" si="11"/>
        <v>86.350295577853558</v>
      </c>
      <c r="CC28" s="65">
        <f t="shared" si="11"/>
        <v>84.187699374733299</v>
      </c>
      <c r="CD28" s="65">
        <f t="shared" si="11"/>
        <v>87.218369520908965</v>
      </c>
      <c r="CE28" s="65">
        <f t="shared" si="11"/>
        <v>87.872727473874363</v>
      </c>
      <c r="CF28" s="65">
        <f t="shared" si="11"/>
        <v>85.811789017222651</v>
      </c>
      <c r="CG28" s="65">
        <f t="shared" si="11"/>
        <v>85.272360518318081</v>
      </c>
      <c r="CH28" s="65">
        <f t="shared" si="11"/>
        <v>86.711790455744648</v>
      </c>
      <c r="CI28" s="65">
        <f t="shared" si="11"/>
        <v>85.984513211499632</v>
      </c>
      <c r="CJ28" s="65">
        <f t="shared" si="11"/>
        <v>86.841012621548046</v>
      </c>
      <c r="CK28" s="65">
        <f t="shared" si="11"/>
        <v>88.340962881550297</v>
      </c>
      <c r="CL28" s="65">
        <f t="shared" si="11"/>
        <v>88.396735323725096</v>
      </c>
      <c r="CM28" s="65">
        <f t="shared" si="11"/>
        <v>86.047832062394036</v>
      </c>
      <c r="CN28" s="65">
        <f t="shared" si="11"/>
        <v>85.895821076758978</v>
      </c>
      <c r="CO28" s="65">
        <f t="shared" si="11"/>
        <v>86.10707603316331</v>
      </c>
      <c r="CP28" s="49"/>
      <c r="CQ28" s="49"/>
      <c r="CR28" s="49"/>
      <c r="CS28" s="49"/>
      <c r="CT28" s="49"/>
      <c r="CU28" s="49"/>
      <c r="CV28" s="49"/>
      <c r="CW28" s="49"/>
      <c r="CX28" s="49"/>
      <c r="CY28" s="49"/>
      <c r="CZ28" s="49"/>
      <c r="DA28" s="49"/>
    </row>
    <row r="29" spans="1:105" x14ac:dyDescent="0.35">
      <c r="A29" s="49"/>
      <c r="B29" s="50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  <c r="AA29" s="49"/>
      <c r="AB29" s="49"/>
      <c r="AC29" s="49"/>
      <c r="AD29" s="49"/>
      <c r="AE29" s="49"/>
      <c r="AF29" s="49"/>
      <c r="AG29" s="49"/>
      <c r="AH29" s="49"/>
      <c r="AI29" s="49"/>
      <c r="AJ29" s="49"/>
      <c r="AK29" s="49"/>
      <c r="AL29" s="49"/>
      <c r="AM29" s="49"/>
      <c r="AN29" s="49"/>
      <c r="AO29" s="49"/>
      <c r="AP29" s="49"/>
      <c r="AQ29" s="49"/>
      <c r="AR29" s="49"/>
      <c r="AS29" s="49"/>
      <c r="AT29" s="49"/>
      <c r="AU29" s="49"/>
      <c r="AV29" s="49"/>
      <c r="AW29" s="49"/>
      <c r="AX29" s="49"/>
      <c r="AY29" s="49"/>
      <c r="AZ29" s="49"/>
      <c r="BA29" s="49"/>
      <c r="BB29" s="49"/>
      <c r="BC29" s="49"/>
      <c r="BD29" s="49"/>
      <c r="BE29" s="49"/>
      <c r="BF29" s="49"/>
      <c r="BG29" s="49"/>
      <c r="BH29" s="49"/>
      <c r="BI29" s="49"/>
      <c r="BJ29" s="49"/>
      <c r="BK29" s="49"/>
      <c r="BL29" s="49"/>
      <c r="BM29" s="49"/>
      <c r="BN29" s="49"/>
      <c r="BO29" s="49"/>
      <c r="BP29" s="49"/>
      <c r="BQ29" s="49"/>
      <c r="BR29" s="49"/>
      <c r="BS29" s="49"/>
      <c r="BT29" s="49"/>
      <c r="BU29" s="49"/>
      <c r="BV29" s="49"/>
      <c r="BW29" s="49"/>
      <c r="BX29" s="49"/>
      <c r="BY29" s="49"/>
      <c r="BZ29" s="49"/>
      <c r="CA29" s="49"/>
      <c r="CB29" s="49"/>
      <c r="CC29" s="49"/>
      <c r="CD29" s="49"/>
      <c r="CE29" s="49"/>
      <c r="CF29" s="49"/>
      <c r="CG29" s="49"/>
      <c r="CH29" s="49"/>
      <c r="CI29" s="49"/>
      <c r="CJ29" s="49"/>
      <c r="CK29" s="49"/>
      <c r="CL29" s="49"/>
      <c r="CM29" s="49"/>
      <c r="CN29" s="49"/>
      <c r="CO29" s="49"/>
      <c r="CP29" s="49"/>
      <c r="CQ29" s="49"/>
      <c r="CR29" s="49"/>
      <c r="CS29" s="49"/>
      <c r="CT29" s="49"/>
      <c r="CU29" s="49"/>
      <c r="CV29" s="49"/>
      <c r="CW29" s="49"/>
      <c r="CX29" s="49"/>
      <c r="CY29" s="49"/>
      <c r="CZ29" s="49"/>
      <c r="DA29" s="49"/>
    </row>
    <row r="30" spans="1:105" x14ac:dyDescent="0.35">
      <c r="A30" s="49"/>
      <c r="B30" s="50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49"/>
      <c r="AI30" s="49"/>
      <c r="AJ30" s="49"/>
      <c r="AK30" s="49"/>
      <c r="AL30" s="49"/>
      <c r="AM30" s="49"/>
      <c r="AN30" s="49"/>
      <c r="AO30" s="49"/>
      <c r="AP30" s="49"/>
      <c r="AQ30" s="49"/>
      <c r="AR30" s="49"/>
      <c r="AS30" s="49"/>
      <c r="AT30" s="49"/>
      <c r="AU30" s="49"/>
      <c r="AV30" s="49"/>
      <c r="AW30" s="49"/>
      <c r="AX30" s="49"/>
      <c r="AY30" s="49"/>
      <c r="AZ30" s="49"/>
      <c r="BA30" s="49"/>
      <c r="BB30" s="49"/>
      <c r="BC30" s="49"/>
      <c r="BD30" s="49"/>
      <c r="BE30" s="49"/>
      <c r="BF30" s="49"/>
      <c r="BG30" s="49"/>
      <c r="BH30" s="49"/>
      <c r="BI30" s="49"/>
      <c r="BJ30" s="49"/>
      <c r="BK30" s="49"/>
      <c r="BL30" s="49"/>
      <c r="BM30" s="49"/>
      <c r="BN30" s="49"/>
      <c r="BO30" s="49"/>
      <c r="BP30" s="49"/>
      <c r="BQ30" s="49"/>
      <c r="BR30" s="49"/>
      <c r="BS30" s="49"/>
      <c r="BT30" s="49"/>
      <c r="BU30" s="49"/>
      <c r="BV30" s="49"/>
      <c r="BW30" s="49"/>
      <c r="BX30" s="49"/>
      <c r="BY30" s="49"/>
      <c r="BZ30" s="49"/>
      <c r="CA30" s="49"/>
      <c r="CB30" s="49"/>
      <c r="CC30" s="49"/>
      <c r="CD30" s="49"/>
      <c r="CE30" s="49"/>
      <c r="CF30" s="49"/>
      <c r="CG30" s="49"/>
      <c r="CH30" s="49"/>
      <c r="CI30" s="49"/>
      <c r="CJ30" s="49"/>
      <c r="CK30" s="49"/>
      <c r="CL30" s="49"/>
      <c r="CM30" s="49"/>
      <c r="CN30" s="49"/>
      <c r="CO30" s="49"/>
      <c r="CP30" s="49"/>
      <c r="CQ30" s="49"/>
      <c r="CR30" s="49"/>
      <c r="CS30" s="49"/>
      <c r="CT30" s="49"/>
      <c r="CU30" s="49"/>
      <c r="CV30" s="49"/>
      <c r="CW30" s="49"/>
      <c r="CX30" s="49"/>
      <c r="CY30" s="49"/>
      <c r="CZ30" s="49"/>
      <c r="DA30" s="49"/>
    </row>
    <row r="31" spans="1:105" x14ac:dyDescent="0.35">
      <c r="A31" s="49"/>
      <c r="B31" s="50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  <c r="O31" s="49"/>
      <c r="P31" s="49"/>
      <c r="Q31" s="49"/>
      <c r="R31" s="49"/>
      <c r="S31" s="49"/>
      <c r="T31" s="49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49"/>
      <c r="AI31" s="49"/>
      <c r="AJ31" s="49"/>
      <c r="AK31" s="49"/>
      <c r="AL31" s="49"/>
      <c r="AM31" s="49"/>
      <c r="AN31" s="49"/>
      <c r="AO31" s="49"/>
      <c r="AP31" s="49"/>
      <c r="AQ31" s="49"/>
      <c r="AR31" s="49"/>
      <c r="AS31" s="49"/>
      <c r="AT31" s="49"/>
      <c r="AU31" s="49"/>
      <c r="AV31" s="49"/>
      <c r="AW31" s="49"/>
      <c r="AX31" s="49"/>
      <c r="AY31" s="49"/>
      <c r="AZ31" s="49"/>
      <c r="BA31" s="49"/>
      <c r="BB31" s="49"/>
      <c r="BC31" s="49"/>
      <c r="BD31" s="49"/>
      <c r="BE31" s="49"/>
      <c r="BF31" s="49"/>
      <c r="BG31" s="49"/>
      <c r="BH31" s="49"/>
      <c r="BI31" s="49"/>
      <c r="BJ31" s="49"/>
      <c r="BK31" s="49"/>
      <c r="BL31" s="49"/>
      <c r="BM31" s="49"/>
      <c r="BN31" s="49"/>
      <c r="BO31" s="49"/>
      <c r="BP31" s="49"/>
      <c r="BQ31" s="49"/>
      <c r="BR31" s="49"/>
      <c r="BS31" s="49"/>
      <c r="BT31" s="49"/>
      <c r="BU31" s="49"/>
      <c r="BV31" s="49"/>
      <c r="BW31" s="49"/>
      <c r="BX31" s="49"/>
      <c r="BY31" s="49"/>
      <c r="BZ31" s="49"/>
      <c r="CA31" s="49"/>
      <c r="CB31" s="49"/>
      <c r="CC31" s="49"/>
      <c r="CD31" s="49"/>
      <c r="CE31" s="49"/>
      <c r="CF31" s="49"/>
      <c r="CG31" s="49"/>
      <c r="CH31" s="49"/>
      <c r="CI31" s="49"/>
      <c r="CJ31" s="49"/>
      <c r="CK31" s="49"/>
      <c r="CL31" s="49"/>
      <c r="CM31" s="49"/>
      <c r="CN31" s="49"/>
      <c r="CO31" s="49"/>
      <c r="CP31" s="49"/>
      <c r="CQ31" s="49"/>
      <c r="CR31" s="49"/>
      <c r="CS31" s="49"/>
      <c r="CT31" s="49"/>
      <c r="CU31" s="49"/>
      <c r="CV31" s="49"/>
      <c r="CW31" s="49"/>
      <c r="CX31" s="49"/>
      <c r="CY31" s="49"/>
      <c r="CZ31" s="49"/>
      <c r="DA31" s="49"/>
    </row>
    <row r="32" spans="1:105" x14ac:dyDescent="0.35">
      <c r="A32" s="49"/>
      <c r="B32" s="50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  <c r="AB32" s="49"/>
      <c r="AC32" s="49"/>
      <c r="AD32" s="49"/>
      <c r="AE32" s="49"/>
      <c r="AF32" s="49"/>
      <c r="AG32" s="49"/>
      <c r="AH32" s="49"/>
      <c r="AI32" s="49"/>
      <c r="AJ32" s="49"/>
      <c r="AK32" s="49"/>
      <c r="AL32" s="49"/>
      <c r="AM32" s="49"/>
      <c r="AN32" s="49"/>
      <c r="AO32" s="49"/>
      <c r="AP32" s="49"/>
      <c r="AQ32" s="49"/>
      <c r="AR32" s="49"/>
      <c r="AS32" s="49"/>
      <c r="AT32" s="49"/>
      <c r="AU32" s="49"/>
      <c r="AV32" s="49"/>
      <c r="AW32" s="49"/>
      <c r="AX32" s="49"/>
      <c r="AY32" s="49"/>
      <c r="AZ32" s="49"/>
      <c r="BA32" s="49"/>
      <c r="BB32" s="49"/>
      <c r="BC32" s="49"/>
      <c r="BD32" s="49"/>
      <c r="BE32" s="49"/>
      <c r="BF32" s="49"/>
      <c r="BG32" s="49"/>
      <c r="BH32" s="49"/>
      <c r="BI32" s="49"/>
      <c r="BJ32" s="49"/>
      <c r="BK32" s="49"/>
      <c r="BL32" s="49"/>
      <c r="BM32" s="49"/>
      <c r="BN32" s="49"/>
      <c r="BO32" s="49"/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49"/>
      <c r="CA32" s="49"/>
      <c r="CB32" s="49"/>
      <c r="CC32" s="49"/>
      <c r="CD32" s="49"/>
      <c r="CE32" s="49"/>
      <c r="CF32" s="49"/>
      <c r="CG32" s="49"/>
      <c r="CH32" s="49"/>
      <c r="CI32" s="49"/>
      <c r="CJ32" s="49"/>
      <c r="CK32" s="49"/>
      <c r="CL32" s="49"/>
      <c r="CM32" s="49"/>
      <c r="CN32" s="49"/>
      <c r="CO32" s="49"/>
      <c r="CP32" s="49"/>
      <c r="CQ32" s="49"/>
      <c r="CR32" s="49"/>
      <c r="CS32" s="49"/>
      <c r="CT32" s="49"/>
      <c r="CU32" s="49"/>
      <c r="CV32" s="49"/>
      <c r="CW32" s="49"/>
      <c r="CX32" s="49"/>
      <c r="CY32" s="49"/>
      <c r="CZ32" s="49"/>
      <c r="DA32" s="49"/>
    </row>
    <row r="33" spans="1:105" x14ac:dyDescent="0.35">
      <c r="A33" s="49"/>
      <c r="B33" s="50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  <c r="BC33" s="49"/>
      <c r="BD33" s="49"/>
      <c r="BE33" s="49"/>
      <c r="BF33" s="49"/>
      <c r="BG33" s="49"/>
      <c r="BH33" s="49"/>
      <c r="BI33" s="49"/>
      <c r="BJ33" s="49"/>
      <c r="BK33" s="49"/>
      <c r="BL33" s="49"/>
      <c r="BM33" s="49"/>
      <c r="BN33" s="49"/>
      <c r="BO33" s="49"/>
      <c r="BP33" s="49"/>
      <c r="BQ33" s="49"/>
      <c r="BR33" s="49"/>
      <c r="BS33" s="49"/>
      <c r="BT33" s="49"/>
      <c r="BU33" s="49"/>
      <c r="BV33" s="49"/>
      <c r="BW33" s="49"/>
      <c r="BX33" s="49"/>
      <c r="BY33" s="49"/>
      <c r="BZ33" s="49"/>
      <c r="CA33" s="49"/>
      <c r="CB33" s="49"/>
      <c r="CC33" s="49"/>
      <c r="CD33" s="49"/>
      <c r="CE33" s="49"/>
      <c r="CF33" s="49"/>
      <c r="CG33" s="49"/>
      <c r="CH33" s="49"/>
      <c r="CI33" s="49"/>
      <c r="CJ33" s="49"/>
      <c r="CK33" s="49"/>
      <c r="CL33" s="49"/>
      <c r="CM33" s="49"/>
      <c r="CN33" s="49"/>
      <c r="CO33" s="49"/>
      <c r="CP33" s="49"/>
      <c r="CQ33" s="49"/>
      <c r="CR33" s="49"/>
      <c r="CS33" s="49"/>
      <c r="CT33" s="49"/>
      <c r="CU33" s="49"/>
      <c r="CV33" s="49"/>
      <c r="CW33" s="49"/>
      <c r="CX33" s="49"/>
      <c r="CY33" s="49"/>
      <c r="CZ33" s="49"/>
      <c r="DA33" s="49"/>
    </row>
    <row r="34" spans="1:105" x14ac:dyDescent="0.35">
      <c r="A34" s="49"/>
      <c r="B34" s="50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  <c r="Y34" s="49"/>
      <c r="Z34" s="49"/>
      <c r="AA34" s="49"/>
      <c r="AB34" s="49"/>
      <c r="AC34" s="49"/>
      <c r="AD34" s="49"/>
      <c r="AE34" s="49"/>
      <c r="AF34" s="49"/>
      <c r="AG34" s="49"/>
      <c r="AH34" s="49"/>
      <c r="AI34" s="49"/>
      <c r="AJ34" s="49"/>
      <c r="AK34" s="49"/>
      <c r="AL34" s="49"/>
      <c r="AM34" s="49"/>
      <c r="AN34" s="49"/>
      <c r="AO34" s="49"/>
      <c r="AP34" s="49"/>
      <c r="AQ34" s="49"/>
      <c r="AR34" s="49"/>
      <c r="AS34" s="49"/>
      <c r="AT34" s="49"/>
      <c r="AU34" s="49"/>
      <c r="AV34" s="49"/>
      <c r="AW34" s="49"/>
      <c r="AX34" s="49"/>
      <c r="AY34" s="49"/>
      <c r="AZ34" s="49"/>
      <c r="BA34" s="49"/>
      <c r="BB34" s="49"/>
      <c r="BC34" s="49"/>
      <c r="BD34" s="49"/>
      <c r="BE34" s="49"/>
      <c r="BF34" s="49"/>
      <c r="BG34" s="49"/>
      <c r="BH34" s="49"/>
      <c r="BI34" s="49"/>
      <c r="BJ34" s="49"/>
      <c r="BK34" s="49"/>
      <c r="BL34" s="49"/>
      <c r="BM34" s="49"/>
      <c r="BN34" s="49"/>
      <c r="BO34" s="49"/>
      <c r="BP34" s="49"/>
      <c r="BQ34" s="49"/>
      <c r="BR34" s="49"/>
      <c r="BS34" s="49"/>
      <c r="BT34" s="49"/>
      <c r="BU34" s="49"/>
      <c r="BV34" s="49"/>
      <c r="BW34" s="49"/>
      <c r="BX34" s="49"/>
      <c r="BY34" s="49"/>
      <c r="BZ34" s="49"/>
      <c r="CA34" s="49"/>
      <c r="CB34" s="49"/>
      <c r="CC34" s="49"/>
      <c r="CD34" s="49"/>
      <c r="CE34" s="49"/>
      <c r="CF34" s="49"/>
      <c r="CG34" s="49"/>
      <c r="CH34" s="49"/>
      <c r="CI34" s="49"/>
      <c r="CJ34" s="49"/>
      <c r="CK34" s="49"/>
      <c r="CL34" s="49"/>
      <c r="CM34" s="49"/>
      <c r="CN34" s="49"/>
      <c r="CO34" s="49"/>
      <c r="CP34" s="49"/>
      <c r="CQ34" s="49"/>
      <c r="CR34" s="49"/>
      <c r="CS34" s="49"/>
      <c r="CT34" s="49"/>
      <c r="CU34" s="49"/>
      <c r="CV34" s="49"/>
      <c r="CW34" s="49"/>
      <c r="CX34" s="49"/>
      <c r="CY34" s="49"/>
      <c r="CZ34" s="49"/>
      <c r="DA34" s="49"/>
    </row>
    <row r="35" spans="1:105" x14ac:dyDescent="0.35">
      <c r="A35" s="49"/>
      <c r="B35" s="50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49"/>
      <c r="S35" s="49"/>
      <c r="T35" s="49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49"/>
      <c r="AI35" s="49"/>
      <c r="AJ35" s="49"/>
      <c r="AK35" s="49"/>
      <c r="AL35" s="49"/>
      <c r="AM35" s="49"/>
      <c r="AN35" s="49"/>
      <c r="AO35" s="49"/>
      <c r="AP35" s="49"/>
      <c r="AQ35" s="49"/>
      <c r="AR35" s="49"/>
      <c r="AS35" s="49"/>
      <c r="AT35" s="49"/>
      <c r="AU35" s="49"/>
      <c r="AV35" s="49"/>
      <c r="AW35" s="49"/>
      <c r="AX35" s="49"/>
      <c r="AY35" s="49"/>
      <c r="AZ35" s="49"/>
      <c r="BA35" s="49"/>
      <c r="BB35" s="49"/>
      <c r="BC35" s="49"/>
      <c r="BD35" s="49"/>
      <c r="BE35" s="49"/>
      <c r="BF35" s="49"/>
      <c r="BG35" s="49"/>
      <c r="BH35" s="49"/>
      <c r="BI35" s="49"/>
      <c r="BJ35" s="49"/>
      <c r="BK35" s="49"/>
      <c r="BL35" s="49"/>
      <c r="BM35" s="49"/>
      <c r="BN35" s="49"/>
      <c r="BO35" s="49"/>
      <c r="BP35" s="49"/>
      <c r="BQ35" s="49"/>
      <c r="BR35" s="49"/>
      <c r="BS35" s="49"/>
      <c r="BT35" s="49"/>
      <c r="BU35" s="49"/>
      <c r="BV35" s="49"/>
      <c r="BW35" s="49"/>
      <c r="BX35" s="49"/>
      <c r="BY35" s="49"/>
      <c r="BZ35" s="49"/>
      <c r="CA35" s="49"/>
      <c r="CB35" s="49"/>
      <c r="CC35" s="49"/>
      <c r="CD35" s="49"/>
      <c r="CE35" s="49"/>
      <c r="CF35" s="49"/>
      <c r="CG35" s="49"/>
      <c r="CH35" s="49"/>
      <c r="CI35" s="49"/>
      <c r="CJ35" s="49"/>
      <c r="CK35" s="49"/>
      <c r="CL35" s="49"/>
      <c r="CM35" s="49"/>
      <c r="CN35" s="49"/>
      <c r="CO35" s="49"/>
      <c r="CP35" s="49"/>
      <c r="CQ35" s="49"/>
      <c r="CR35" s="49"/>
      <c r="CS35" s="49"/>
      <c r="CT35" s="49"/>
      <c r="CU35" s="49"/>
      <c r="CV35" s="49"/>
      <c r="CW35" s="49"/>
      <c r="CX35" s="49"/>
      <c r="CY35" s="49"/>
      <c r="CZ35" s="49"/>
      <c r="DA35" s="49"/>
    </row>
    <row r="36" spans="1:105" x14ac:dyDescent="0.35">
      <c r="A36" s="49"/>
      <c r="B36" s="50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  <c r="O36" s="49"/>
      <c r="P36" s="49"/>
      <c r="Q36" s="49"/>
      <c r="R36" s="49"/>
      <c r="S36" s="49"/>
      <c r="T36" s="49"/>
      <c r="U36" s="49"/>
      <c r="V36" s="49"/>
      <c r="W36" s="49"/>
      <c r="X36" s="49"/>
      <c r="Y36" s="49"/>
      <c r="Z36" s="49"/>
      <c r="AA36" s="49"/>
      <c r="AB36" s="49"/>
      <c r="AC36" s="49"/>
      <c r="AD36" s="49"/>
      <c r="AE36" s="49"/>
      <c r="AF36" s="49"/>
      <c r="AG36" s="49"/>
      <c r="AH36" s="49"/>
      <c r="AI36" s="49"/>
      <c r="AJ36" s="49"/>
      <c r="AK36" s="49"/>
      <c r="AL36" s="49"/>
      <c r="AM36" s="49"/>
      <c r="AN36" s="49"/>
      <c r="AO36" s="49"/>
      <c r="AP36" s="49"/>
      <c r="AQ36" s="49"/>
      <c r="AR36" s="49"/>
      <c r="AS36" s="49"/>
      <c r="AT36" s="49"/>
      <c r="AU36" s="49"/>
      <c r="AV36" s="49"/>
      <c r="AW36" s="49"/>
      <c r="AX36" s="49"/>
      <c r="AY36" s="49"/>
      <c r="AZ36" s="49"/>
      <c r="BA36" s="49"/>
      <c r="BB36" s="49"/>
      <c r="BC36" s="49"/>
      <c r="BD36" s="49"/>
      <c r="BE36" s="49"/>
      <c r="BF36" s="49"/>
      <c r="BG36" s="49"/>
      <c r="BH36" s="49"/>
      <c r="BI36" s="49"/>
      <c r="BJ36" s="49"/>
      <c r="BK36" s="49"/>
      <c r="BL36" s="49"/>
      <c r="BM36" s="49"/>
      <c r="BN36" s="49"/>
      <c r="BO36" s="49"/>
      <c r="BP36" s="49"/>
      <c r="BQ36" s="49"/>
      <c r="BR36" s="49"/>
      <c r="BS36" s="49"/>
      <c r="BT36" s="49"/>
      <c r="BU36" s="49"/>
      <c r="BV36" s="49"/>
      <c r="BW36" s="49"/>
      <c r="BX36" s="49"/>
      <c r="BY36" s="49"/>
      <c r="BZ36" s="49"/>
      <c r="CA36" s="49"/>
      <c r="CB36" s="49"/>
      <c r="CC36" s="49"/>
      <c r="CD36" s="49"/>
      <c r="CE36" s="49"/>
      <c r="CF36" s="49"/>
      <c r="CG36" s="49"/>
      <c r="CH36" s="49"/>
      <c r="CI36" s="49"/>
      <c r="CJ36" s="49"/>
      <c r="CK36" s="49"/>
      <c r="CL36" s="49"/>
      <c r="CM36" s="49"/>
      <c r="CN36" s="49"/>
      <c r="CO36" s="49"/>
      <c r="CP36" s="49"/>
      <c r="CQ36" s="49"/>
      <c r="CR36" s="49"/>
      <c r="CS36" s="49"/>
      <c r="CT36" s="49"/>
      <c r="CU36" s="49"/>
      <c r="CV36" s="49"/>
      <c r="CW36" s="49"/>
      <c r="CX36" s="49"/>
      <c r="CY36" s="49"/>
      <c r="CZ36" s="49"/>
      <c r="DA36" s="49"/>
    </row>
    <row r="37" spans="1:105" x14ac:dyDescent="0.35">
      <c r="A37" s="49"/>
      <c r="B37" s="50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  <c r="O37" s="49"/>
      <c r="P37" s="49"/>
      <c r="Q37" s="49"/>
      <c r="R37" s="49"/>
      <c r="S37" s="49"/>
      <c r="T37" s="49"/>
      <c r="U37" s="49"/>
      <c r="V37" s="49"/>
      <c r="W37" s="49"/>
      <c r="X37" s="49"/>
      <c r="Y37" s="49"/>
      <c r="Z37" s="49"/>
      <c r="AA37" s="49"/>
      <c r="AB37" s="49"/>
      <c r="AC37" s="49"/>
      <c r="AD37" s="49"/>
      <c r="AE37" s="49"/>
      <c r="AF37" s="49"/>
      <c r="AG37" s="49"/>
      <c r="AH37" s="49"/>
      <c r="AI37" s="49"/>
      <c r="AJ37" s="49"/>
      <c r="AK37" s="49"/>
      <c r="AL37" s="49"/>
      <c r="AM37" s="49"/>
      <c r="AN37" s="49"/>
      <c r="AO37" s="49"/>
      <c r="AP37" s="49"/>
      <c r="AQ37" s="49"/>
      <c r="AR37" s="49"/>
      <c r="AS37" s="49"/>
      <c r="AT37" s="49"/>
      <c r="AU37" s="49"/>
      <c r="AV37" s="49"/>
      <c r="AW37" s="49"/>
      <c r="AX37" s="49"/>
      <c r="AY37" s="49"/>
      <c r="AZ37" s="49"/>
      <c r="BA37" s="49"/>
      <c r="BB37" s="49"/>
      <c r="BC37" s="49"/>
      <c r="BD37" s="49"/>
      <c r="BE37" s="49"/>
      <c r="BF37" s="49"/>
      <c r="BG37" s="49"/>
      <c r="BH37" s="49"/>
      <c r="BI37" s="49"/>
      <c r="BJ37" s="49"/>
      <c r="BK37" s="49"/>
      <c r="BL37" s="49"/>
      <c r="BM37" s="49"/>
      <c r="BN37" s="49"/>
      <c r="BO37" s="49"/>
      <c r="BP37" s="49"/>
      <c r="BQ37" s="49"/>
      <c r="BR37" s="49"/>
      <c r="BS37" s="49"/>
      <c r="BT37" s="49"/>
      <c r="BU37" s="49"/>
      <c r="BV37" s="49"/>
      <c r="BW37" s="49"/>
      <c r="BX37" s="49"/>
      <c r="BY37" s="49"/>
      <c r="BZ37" s="49"/>
      <c r="CA37" s="49"/>
      <c r="CB37" s="49"/>
      <c r="CC37" s="49"/>
      <c r="CD37" s="49"/>
      <c r="CE37" s="49"/>
      <c r="CF37" s="49"/>
      <c r="CG37" s="49"/>
      <c r="CH37" s="49"/>
      <c r="CI37" s="49"/>
      <c r="CJ37" s="49"/>
      <c r="CK37" s="49"/>
      <c r="CL37" s="49"/>
      <c r="CM37" s="49"/>
      <c r="CN37" s="49"/>
      <c r="CO37" s="49"/>
      <c r="CP37" s="49"/>
      <c r="CQ37" s="49"/>
      <c r="CR37" s="49"/>
      <c r="CS37" s="49"/>
      <c r="CT37" s="49"/>
      <c r="CU37" s="49"/>
      <c r="CV37" s="49"/>
      <c r="CW37" s="49"/>
      <c r="CX37" s="49"/>
      <c r="CY37" s="49"/>
      <c r="CZ37" s="49"/>
      <c r="DA37" s="49"/>
    </row>
    <row r="38" spans="1:105" x14ac:dyDescent="0.35">
      <c r="A38" s="49"/>
      <c r="B38" s="50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  <c r="O38" s="49"/>
      <c r="P38" s="49"/>
      <c r="Q38" s="49"/>
      <c r="R38" s="49"/>
      <c r="S38" s="49"/>
      <c r="T38" s="49"/>
      <c r="U38" s="49"/>
      <c r="V38" s="49"/>
      <c r="W38" s="49"/>
      <c r="X38" s="49"/>
      <c r="Y38" s="49"/>
      <c r="Z38" s="49"/>
      <c r="AA38" s="49"/>
      <c r="AB38" s="49"/>
      <c r="AC38" s="49"/>
      <c r="AD38" s="49"/>
      <c r="AE38" s="49"/>
      <c r="AF38" s="49"/>
      <c r="AG38" s="49"/>
      <c r="AH38" s="49"/>
      <c r="AI38" s="49"/>
      <c r="AJ38" s="49"/>
      <c r="AK38" s="49"/>
      <c r="AL38" s="49"/>
      <c r="AM38" s="49"/>
      <c r="AN38" s="49"/>
      <c r="AO38" s="49"/>
      <c r="AP38" s="49"/>
      <c r="AQ38" s="49"/>
      <c r="AR38" s="49"/>
      <c r="AS38" s="49"/>
      <c r="AT38" s="49"/>
      <c r="AU38" s="49"/>
      <c r="AV38" s="49"/>
      <c r="AW38" s="49"/>
      <c r="AX38" s="49"/>
      <c r="AY38" s="49"/>
      <c r="AZ38" s="49"/>
      <c r="BA38" s="49"/>
      <c r="BB38" s="49"/>
      <c r="BC38" s="49"/>
      <c r="BD38" s="49"/>
      <c r="BE38" s="49"/>
      <c r="BF38" s="49"/>
      <c r="BG38" s="49"/>
      <c r="BH38" s="49"/>
      <c r="BI38" s="49"/>
      <c r="BJ38" s="49"/>
      <c r="BK38" s="49"/>
      <c r="BL38" s="49"/>
      <c r="BM38" s="49"/>
      <c r="BN38" s="49"/>
      <c r="BO38" s="49"/>
      <c r="BP38" s="49"/>
      <c r="BQ38" s="49"/>
      <c r="BR38" s="49"/>
      <c r="BS38" s="49"/>
      <c r="BT38" s="49"/>
      <c r="BU38" s="49"/>
      <c r="BV38" s="49"/>
      <c r="BW38" s="49"/>
      <c r="BX38" s="49"/>
      <c r="BY38" s="49"/>
      <c r="BZ38" s="49"/>
      <c r="CA38" s="49"/>
      <c r="CB38" s="49"/>
      <c r="CC38" s="49"/>
      <c r="CD38" s="49"/>
      <c r="CE38" s="49"/>
      <c r="CF38" s="49"/>
      <c r="CG38" s="49"/>
      <c r="CH38" s="49"/>
      <c r="CI38" s="49"/>
      <c r="CJ38" s="49"/>
      <c r="CK38" s="49"/>
      <c r="CL38" s="49"/>
      <c r="CM38" s="49"/>
      <c r="CN38" s="49"/>
      <c r="CO38" s="49"/>
      <c r="CP38" s="49"/>
      <c r="CQ38" s="49"/>
      <c r="CR38" s="49"/>
      <c r="CS38" s="49"/>
      <c r="CT38" s="49"/>
      <c r="CU38" s="49"/>
      <c r="CV38" s="49"/>
      <c r="CW38" s="49"/>
      <c r="CX38" s="49"/>
      <c r="CY38" s="49"/>
      <c r="CZ38" s="49"/>
      <c r="DA38" s="49"/>
    </row>
    <row r="39" spans="1:105" x14ac:dyDescent="0.35">
      <c r="A39" s="49"/>
      <c r="B39" s="50"/>
      <c r="C39" s="49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  <c r="BC39" s="49"/>
      <c r="BD39" s="49"/>
      <c r="BE39" s="49"/>
      <c r="BF39" s="49"/>
      <c r="BG39" s="49"/>
      <c r="BH39" s="49"/>
      <c r="BI39" s="49"/>
      <c r="BJ39" s="49"/>
      <c r="BK39" s="49"/>
      <c r="BL39" s="49"/>
      <c r="BM39" s="49"/>
      <c r="BN39" s="49"/>
      <c r="BO39" s="49"/>
      <c r="BP39" s="49"/>
      <c r="BQ39" s="49"/>
      <c r="BR39" s="49"/>
      <c r="BS39" s="49"/>
      <c r="BT39" s="49"/>
      <c r="BU39" s="49"/>
      <c r="BV39" s="49"/>
      <c r="BW39" s="49"/>
      <c r="BX39" s="49"/>
      <c r="BY39" s="49"/>
      <c r="BZ39" s="49"/>
      <c r="CA39" s="49"/>
      <c r="CB39" s="49"/>
      <c r="CC39" s="49"/>
      <c r="CD39" s="49"/>
      <c r="CE39" s="49"/>
      <c r="CF39" s="49"/>
      <c r="CG39" s="49"/>
      <c r="CH39" s="49"/>
      <c r="CI39" s="49"/>
      <c r="CJ39" s="49"/>
      <c r="CK39" s="49"/>
      <c r="CL39" s="49"/>
      <c r="CM39" s="49"/>
      <c r="CN39" s="49"/>
      <c r="CO39" s="49"/>
      <c r="CP39" s="49"/>
      <c r="CQ39" s="49"/>
      <c r="CR39" s="49"/>
      <c r="CS39" s="49"/>
      <c r="CT39" s="49"/>
      <c r="CU39" s="49"/>
      <c r="CV39" s="49"/>
      <c r="CW39" s="49"/>
      <c r="CX39" s="49"/>
      <c r="CY39" s="49"/>
      <c r="CZ39" s="49"/>
      <c r="DA39" s="49"/>
    </row>
    <row r="40" spans="1:105" x14ac:dyDescent="0.35">
      <c r="A40" s="49"/>
      <c r="B40" s="50"/>
      <c r="C40" s="49"/>
      <c r="D40" s="49"/>
      <c r="E40" s="49"/>
      <c r="F40" s="49"/>
      <c r="G40" s="49"/>
      <c r="H40" s="49"/>
      <c r="I40" s="49"/>
      <c r="J40" s="49"/>
      <c r="K40" s="49"/>
      <c r="L40" s="49"/>
      <c r="M40" s="49"/>
      <c r="N40" s="49"/>
      <c r="O40" s="49"/>
      <c r="P40" s="49"/>
      <c r="Q40" s="49"/>
      <c r="R40" s="49"/>
      <c r="S40" s="49"/>
      <c r="T40" s="49"/>
      <c r="U40" s="49"/>
      <c r="V40" s="49"/>
      <c r="W40" s="49"/>
      <c r="X40" s="49"/>
      <c r="Y40" s="49"/>
      <c r="Z40" s="49"/>
      <c r="AA40" s="49"/>
      <c r="AB40" s="49"/>
      <c r="AC40" s="49"/>
      <c r="AD40" s="49"/>
      <c r="AE40" s="49"/>
      <c r="AF40" s="49"/>
      <c r="AG40" s="49"/>
      <c r="AH40" s="49"/>
      <c r="AI40" s="49"/>
      <c r="AJ40" s="49"/>
      <c r="AK40" s="49"/>
      <c r="AL40" s="49"/>
      <c r="AM40" s="49"/>
      <c r="AN40" s="49"/>
      <c r="AO40" s="49"/>
      <c r="AP40" s="49"/>
      <c r="AQ40" s="49"/>
      <c r="AR40" s="49"/>
      <c r="AS40" s="49"/>
      <c r="AT40" s="49"/>
      <c r="AU40" s="49"/>
      <c r="AV40" s="49"/>
      <c r="AW40" s="49"/>
      <c r="AX40" s="49"/>
      <c r="AY40" s="49"/>
      <c r="AZ40" s="49"/>
      <c r="BA40" s="49"/>
      <c r="BB40" s="49"/>
      <c r="BC40" s="49"/>
      <c r="BD40" s="49"/>
      <c r="BE40" s="49"/>
      <c r="BF40" s="49"/>
      <c r="BG40" s="49"/>
      <c r="BH40" s="49"/>
      <c r="BI40" s="49"/>
      <c r="BJ40" s="49"/>
      <c r="BK40" s="49"/>
      <c r="BL40" s="49"/>
      <c r="BM40" s="49"/>
      <c r="BN40" s="49"/>
      <c r="BO40" s="49"/>
      <c r="BP40" s="49"/>
      <c r="BQ40" s="49"/>
      <c r="BR40" s="49"/>
      <c r="BS40" s="49"/>
      <c r="BT40" s="49"/>
      <c r="BU40" s="49"/>
      <c r="BV40" s="49"/>
      <c r="BW40" s="49"/>
      <c r="BX40" s="49"/>
      <c r="BY40" s="49"/>
      <c r="BZ40" s="49"/>
      <c r="CA40" s="49"/>
      <c r="CB40" s="49"/>
      <c r="CC40" s="49"/>
      <c r="CD40" s="49"/>
      <c r="CE40" s="49"/>
      <c r="CF40" s="49"/>
      <c r="CG40" s="49"/>
      <c r="CH40" s="49"/>
      <c r="CI40" s="49"/>
      <c r="CJ40" s="49"/>
      <c r="CK40" s="49"/>
      <c r="CL40" s="49"/>
      <c r="CM40" s="49"/>
      <c r="CN40" s="49"/>
      <c r="CO40" s="49"/>
      <c r="CP40" s="49"/>
      <c r="CQ40" s="49"/>
      <c r="CR40" s="49"/>
      <c r="CS40" s="49"/>
      <c r="CT40" s="49"/>
      <c r="CU40" s="49"/>
      <c r="CV40" s="49"/>
      <c r="CW40" s="49"/>
      <c r="CX40" s="49"/>
      <c r="CY40" s="49"/>
      <c r="CZ40" s="49"/>
      <c r="DA40" s="49"/>
    </row>
    <row r="41" spans="1:105" x14ac:dyDescent="0.35">
      <c r="A41" s="49"/>
      <c r="B41" s="50"/>
      <c r="C41" s="49"/>
      <c r="D41" s="49"/>
      <c r="E41" s="49"/>
      <c r="F41" s="49"/>
      <c r="G41" s="49"/>
      <c r="H41" s="49"/>
      <c r="I41" s="49"/>
      <c r="J41" s="49"/>
      <c r="K41" s="49"/>
      <c r="L41" s="49"/>
      <c r="M41" s="49"/>
      <c r="N41" s="49"/>
      <c r="O41" s="49"/>
      <c r="P41" s="49"/>
      <c r="Q41" s="49"/>
      <c r="R41" s="49"/>
      <c r="S41" s="49"/>
      <c r="T41" s="49"/>
      <c r="U41" s="49"/>
      <c r="V41" s="49"/>
      <c r="W41" s="49"/>
      <c r="X41" s="49"/>
      <c r="Y41" s="49"/>
      <c r="Z41" s="49"/>
      <c r="AA41" s="49"/>
      <c r="AB41" s="49"/>
      <c r="AC41" s="49"/>
      <c r="AD41" s="49"/>
      <c r="AE41" s="49"/>
      <c r="AF41" s="49"/>
      <c r="AG41" s="49"/>
      <c r="AH41" s="49"/>
      <c r="AI41" s="49"/>
      <c r="AJ41" s="49"/>
      <c r="AK41" s="49"/>
      <c r="AL41" s="49"/>
      <c r="AM41" s="49"/>
      <c r="AN41" s="49"/>
      <c r="AO41" s="49"/>
      <c r="AP41" s="49"/>
      <c r="AQ41" s="49"/>
      <c r="AR41" s="49"/>
      <c r="AS41" s="49"/>
      <c r="AT41" s="49"/>
      <c r="AU41" s="49"/>
      <c r="AV41" s="49"/>
      <c r="AW41" s="49"/>
      <c r="AX41" s="49"/>
      <c r="AY41" s="49"/>
      <c r="AZ41" s="49"/>
      <c r="BA41" s="49"/>
      <c r="BB41" s="49"/>
      <c r="BC41" s="49"/>
      <c r="BD41" s="49"/>
      <c r="BE41" s="49"/>
      <c r="BF41" s="49"/>
      <c r="BG41" s="49"/>
      <c r="BH41" s="49"/>
      <c r="BI41" s="49"/>
      <c r="BJ41" s="49"/>
      <c r="BK41" s="49"/>
      <c r="BL41" s="49"/>
      <c r="BM41" s="49"/>
      <c r="BN41" s="49"/>
      <c r="BO41" s="49"/>
      <c r="BP41" s="49"/>
      <c r="BQ41" s="49"/>
      <c r="BR41" s="49"/>
      <c r="BS41" s="49"/>
      <c r="BT41" s="49"/>
      <c r="BU41" s="49"/>
      <c r="BV41" s="49"/>
      <c r="BW41" s="49"/>
      <c r="BX41" s="49"/>
      <c r="BY41" s="49"/>
      <c r="BZ41" s="49"/>
      <c r="CA41" s="49"/>
      <c r="CB41" s="49"/>
      <c r="CC41" s="49"/>
      <c r="CD41" s="49"/>
      <c r="CE41" s="49"/>
      <c r="CF41" s="49"/>
      <c r="CG41" s="49"/>
      <c r="CH41" s="49"/>
      <c r="CI41" s="49"/>
      <c r="CJ41" s="49"/>
      <c r="CK41" s="49"/>
      <c r="CL41" s="49"/>
      <c r="CM41" s="49"/>
      <c r="CN41" s="49"/>
      <c r="CO41" s="49"/>
      <c r="CP41" s="49"/>
      <c r="CQ41" s="49"/>
      <c r="CR41" s="49"/>
      <c r="CS41" s="49"/>
      <c r="CT41" s="49"/>
      <c r="CU41" s="49"/>
      <c r="CV41" s="49"/>
      <c r="CW41" s="49"/>
      <c r="CX41" s="49"/>
      <c r="CY41" s="49"/>
      <c r="CZ41" s="49"/>
      <c r="DA41" s="49"/>
    </row>
    <row r="42" spans="1:105" x14ac:dyDescent="0.35">
      <c r="A42" s="49"/>
      <c r="B42" s="50"/>
      <c r="C42" s="49"/>
      <c r="D42" s="49"/>
      <c r="E42" s="49"/>
      <c r="F42" s="49"/>
      <c r="G42" s="49"/>
      <c r="H42" s="49"/>
      <c r="I42" s="49"/>
      <c r="J42" s="49"/>
      <c r="K42" s="49"/>
      <c r="L42" s="49"/>
      <c r="M42" s="49"/>
      <c r="N42" s="49"/>
      <c r="O42" s="49"/>
      <c r="P42" s="49"/>
      <c r="Q42" s="49"/>
      <c r="R42" s="49"/>
      <c r="S42" s="49"/>
      <c r="T42" s="49"/>
      <c r="U42" s="49"/>
      <c r="V42" s="49"/>
      <c r="W42" s="49"/>
      <c r="X42" s="49"/>
      <c r="Y42" s="49"/>
      <c r="Z42" s="49"/>
      <c r="AA42" s="49"/>
      <c r="AB42" s="49"/>
      <c r="AC42" s="49"/>
      <c r="AD42" s="49"/>
      <c r="AE42" s="49"/>
      <c r="AF42" s="49"/>
      <c r="AG42" s="49"/>
      <c r="AH42" s="49"/>
      <c r="AI42" s="49"/>
      <c r="AJ42" s="49"/>
      <c r="AK42" s="49"/>
      <c r="AL42" s="49"/>
      <c r="AM42" s="49"/>
      <c r="AN42" s="49"/>
      <c r="AO42" s="49"/>
      <c r="AP42" s="49"/>
      <c r="AQ42" s="49"/>
      <c r="AR42" s="49"/>
      <c r="AS42" s="49"/>
      <c r="AT42" s="49"/>
      <c r="AU42" s="49"/>
      <c r="AV42" s="49"/>
      <c r="AW42" s="49"/>
      <c r="AX42" s="49"/>
      <c r="AY42" s="49"/>
      <c r="AZ42" s="49"/>
      <c r="BA42" s="49"/>
      <c r="BB42" s="49"/>
      <c r="BC42" s="49"/>
      <c r="BD42" s="49"/>
      <c r="BE42" s="49"/>
      <c r="BF42" s="49"/>
      <c r="BG42" s="49"/>
      <c r="BH42" s="49"/>
      <c r="BI42" s="49"/>
      <c r="BJ42" s="49"/>
      <c r="BK42" s="49"/>
      <c r="BL42" s="49"/>
      <c r="BM42" s="49"/>
      <c r="BN42" s="49"/>
      <c r="BO42" s="49"/>
      <c r="BP42" s="49"/>
      <c r="BQ42" s="49"/>
      <c r="BR42" s="49"/>
      <c r="BS42" s="49"/>
      <c r="BT42" s="49"/>
      <c r="BU42" s="49"/>
      <c r="BV42" s="49"/>
      <c r="BW42" s="49"/>
      <c r="BX42" s="49"/>
      <c r="BY42" s="49"/>
      <c r="BZ42" s="49"/>
      <c r="CA42" s="49"/>
      <c r="CB42" s="49"/>
      <c r="CC42" s="49"/>
      <c r="CD42" s="49"/>
      <c r="CE42" s="49"/>
      <c r="CF42" s="49"/>
      <c r="CG42" s="49"/>
      <c r="CH42" s="49"/>
      <c r="CI42" s="49"/>
      <c r="CJ42" s="49"/>
      <c r="CK42" s="49"/>
      <c r="CL42" s="49"/>
      <c r="CM42" s="49"/>
      <c r="CN42" s="49"/>
      <c r="CO42" s="49"/>
      <c r="CP42" s="49"/>
      <c r="CQ42" s="49"/>
      <c r="CR42" s="49"/>
      <c r="CS42" s="49"/>
      <c r="CT42" s="49"/>
      <c r="CU42" s="49"/>
      <c r="CV42" s="49"/>
      <c r="CW42" s="49"/>
      <c r="CX42" s="49"/>
      <c r="CY42" s="49"/>
      <c r="CZ42" s="49"/>
      <c r="DA42" s="49"/>
    </row>
    <row r="43" spans="1:105" x14ac:dyDescent="0.35">
      <c r="A43" s="49"/>
      <c r="B43" s="50"/>
      <c r="C43" s="49"/>
      <c r="D43" s="49"/>
      <c r="E43" s="49"/>
      <c r="F43" s="49"/>
      <c r="G43" s="49"/>
      <c r="H43" s="49"/>
      <c r="I43" s="49"/>
      <c r="J43" s="49"/>
      <c r="K43" s="49"/>
      <c r="L43" s="49"/>
      <c r="M43" s="49"/>
      <c r="N43" s="49"/>
      <c r="O43" s="49"/>
      <c r="P43" s="49"/>
      <c r="Q43" s="49"/>
      <c r="R43" s="49"/>
      <c r="S43" s="49"/>
      <c r="T43" s="49"/>
      <c r="U43" s="49"/>
      <c r="V43" s="49"/>
      <c r="W43" s="49"/>
      <c r="X43" s="49"/>
      <c r="Y43" s="49"/>
      <c r="Z43" s="49"/>
      <c r="AA43" s="49"/>
      <c r="AB43" s="49"/>
      <c r="AC43" s="49"/>
      <c r="AD43" s="49"/>
      <c r="AE43" s="49"/>
      <c r="AF43" s="49"/>
      <c r="AG43" s="49"/>
      <c r="AH43" s="49"/>
      <c r="AI43" s="49"/>
      <c r="AJ43" s="49"/>
      <c r="AK43" s="49"/>
      <c r="AL43" s="49"/>
      <c r="AM43" s="49"/>
      <c r="AN43" s="49"/>
      <c r="AO43" s="49"/>
      <c r="AP43" s="49"/>
      <c r="AQ43" s="49"/>
      <c r="AR43" s="49"/>
      <c r="AS43" s="49"/>
      <c r="AT43" s="49"/>
      <c r="AU43" s="49"/>
      <c r="AV43" s="49"/>
      <c r="AW43" s="49"/>
      <c r="AX43" s="49"/>
      <c r="AY43" s="49"/>
      <c r="AZ43" s="49"/>
      <c r="BA43" s="49"/>
      <c r="BB43" s="49"/>
      <c r="BC43" s="49"/>
      <c r="BD43" s="49"/>
      <c r="BE43" s="49"/>
      <c r="BF43" s="49"/>
      <c r="BG43" s="49"/>
      <c r="BH43" s="49"/>
      <c r="BI43" s="49"/>
      <c r="BJ43" s="49"/>
      <c r="BK43" s="49"/>
      <c r="BL43" s="49"/>
      <c r="BM43" s="49"/>
      <c r="BN43" s="49"/>
      <c r="BO43" s="49"/>
      <c r="BP43" s="49"/>
      <c r="BQ43" s="49"/>
      <c r="BR43" s="49"/>
      <c r="BS43" s="49"/>
      <c r="BT43" s="49"/>
      <c r="BU43" s="49"/>
      <c r="BV43" s="49"/>
      <c r="BW43" s="49"/>
      <c r="BX43" s="49"/>
      <c r="BY43" s="49"/>
      <c r="BZ43" s="49"/>
      <c r="CA43" s="49"/>
      <c r="CB43" s="49"/>
      <c r="CC43" s="49"/>
      <c r="CD43" s="49"/>
      <c r="CE43" s="49"/>
      <c r="CF43" s="49"/>
      <c r="CG43" s="49"/>
      <c r="CH43" s="49"/>
      <c r="CI43" s="49"/>
      <c r="CJ43" s="49"/>
      <c r="CK43" s="49"/>
      <c r="CL43" s="49"/>
      <c r="CM43" s="49"/>
      <c r="CN43" s="49"/>
      <c r="CO43" s="49"/>
      <c r="CP43" s="49"/>
      <c r="CQ43" s="49"/>
      <c r="CR43" s="49"/>
      <c r="CS43" s="49"/>
      <c r="CT43" s="49"/>
      <c r="CU43" s="49"/>
      <c r="CV43" s="49"/>
      <c r="CW43" s="49"/>
      <c r="CX43" s="49"/>
      <c r="CY43" s="49"/>
      <c r="CZ43" s="49"/>
      <c r="DA43" s="49"/>
    </row>
    <row r="44" spans="1:105" x14ac:dyDescent="0.35">
      <c r="A44" s="49"/>
      <c r="B44" s="50"/>
      <c r="C44" s="49"/>
      <c r="D44" s="49"/>
      <c r="E44" s="49"/>
      <c r="F44" s="49"/>
      <c r="G44" s="49"/>
      <c r="H44" s="49"/>
      <c r="I44" s="49"/>
      <c r="J44" s="49"/>
      <c r="K44" s="49"/>
      <c r="L44" s="49"/>
      <c r="M44" s="49"/>
      <c r="N44" s="49"/>
      <c r="O44" s="49"/>
      <c r="P44" s="49"/>
      <c r="Q44" s="49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49"/>
      <c r="AJ44" s="49"/>
      <c r="AK44" s="49"/>
      <c r="AL44" s="49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  <c r="BC44" s="49"/>
      <c r="BD44" s="49"/>
      <c r="BE44" s="49"/>
      <c r="BF44" s="49"/>
      <c r="BG44" s="49"/>
      <c r="BH44" s="49"/>
      <c r="BI44" s="49"/>
      <c r="BJ44" s="49"/>
      <c r="BK44" s="49"/>
      <c r="BL44" s="49"/>
      <c r="BM44" s="49"/>
      <c r="BN44" s="49"/>
      <c r="BO44" s="49"/>
      <c r="BP44" s="49"/>
      <c r="BQ44" s="49"/>
      <c r="BR44" s="49"/>
      <c r="BS44" s="49"/>
      <c r="BT44" s="49"/>
      <c r="BU44" s="49"/>
      <c r="BV44" s="49"/>
      <c r="BW44" s="49"/>
      <c r="BX44" s="49"/>
      <c r="BY44" s="49"/>
      <c r="BZ44" s="49"/>
      <c r="CA44" s="49"/>
      <c r="CB44" s="49"/>
      <c r="CC44" s="49"/>
      <c r="CD44" s="49"/>
      <c r="CE44" s="49"/>
      <c r="CF44" s="49"/>
      <c r="CG44" s="49"/>
      <c r="CH44" s="49"/>
      <c r="CI44" s="49"/>
      <c r="CJ44" s="49"/>
      <c r="CK44" s="49"/>
      <c r="CL44" s="49"/>
      <c r="CM44" s="49"/>
      <c r="CN44" s="49"/>
      <c r="CO44" s="49"/>
      <c r="CP44" s="49"/>
      <c r="CQ44" s="49"/>
      <c r="CR44" s="49"/>
      <c r="CS44" s="49"/>
      <c r="CT44" s="49"/>
      <c r="CU44" s="49"/>
      <c r="CV44" s="49"/>
      <c r="CW44" s="49"/>
      <c r="CX44" s="49"/>
      <c r="CY44" s="49"/>
      <c r="CZ44" s="49"/>
      <c r="DA44" s="49"/>
    </row>
    <row r="45" spans="1:105" x14ac:dyDescent="0.35">
      <c r="A45" s="49"/>
      <c r="B45" s="50"/>
      <c r="C45" s="49"/>
      <c r="D45" s="49"/>
      <c r="E45" s="49"/>
      <c r="F45" s="49"/>
      <c r="G45" s="49"/>
      <c r="H45" s="49"/>
      <c r="I45" s="49"/>
      <c r="J45" s="49"/>
      <c r="K45" s="49"/>
      <c r="L45" s="49"/>
      <c r="M45" s="49"/>
      <c r="N45" s="49"/>
      <c r="O45" s="49"/>
      <c r="P45" s="49"/>
      <c r="Q45" s="49"/>
      <c r="R45" s="49"/>
      <c r="S45" s="49"/>
      <c r="T45" s="49"/>
      <c r="U45" s="49"/>
      <c r="V45" s="49"/>
      <c r="W45" s="49"/>
      <c r="X45" s="49"/>
      <c r="Y45" s="49"/>
      <c r="Z45" s="49"/>
      <c r="AA45" s="49"/>
      <c r="AB45" s="49"/>
      <c r="AC45" s="49"/>
      <c r="AD45" s="49"/>
      <c r="AE45" s="49"/>
      <c r="AF45" s="49"/>
      <c r="AG45" s="49"/>
      <c r="AH45" s="49"/>
      <c r="AI45" s="49"/>
      <c r="AJ45" s="49"/>
      <c r="AK45" s="49"/>
      <c r="AL45" s="49"/>
      <c r="AM45" s="49"/>
      <c r="AN45" s="49"/>
      <c r="AO45" s="49"/>
      <c r="AP45" s="49"/>
      <c r="AQ45" s="49"/>
      <c r="AR45" s="49"/>
      <c r="AS45" s="49"/>
      <c r="AT45" s="49"/>
      <c r="AU45" s="49"/>
      <c r="AV45" s="49"/>
      <c r="AW45" s="49"/>
      <c r="AX45" s="49"/>
      <c r="AY45" s="49"/>
      <c r="AZ45" s="49"/>
      <c r="BA45" s="49"/>
      <c r="BB45" s="49"/>
      <c r="BC45" s="49"/>
      <c r="BD45" s="49"/>
      <c r="BE45" s="49"/>
      <c r="BF45" s="49"/>
      <c r="BG45" s="49"/>
      <c r="BH45" s="49"/>
      <c r="BI45" s="49"/>
      <c r="BJ45" s="49"/>
      <c r="BK45" s="49"/>
      <c r="BL45" s="49"/>
      <c r="BM45" s="49"/>
      <c r="BN45" s="49"/>
      <c r="BO45" s="49"/>
      <c r="BP45" s="49"/>
      <c r="BQ45" s="49"/>
      <c r="BR45" s="49"/>
      <c r="BS45" s="49"/>
      <c r="BT45" s="49"/>
      <c r="BU45" s="49"/>
      <c r="BV45" s="49"/>
      <c r="BW45" s="49"/>
      <c r="BX45" s="49"/>
      <c r="BY45" s="49"/>
      <c r="BZ45" s="49"/>
      <c r="CA45" s="49"/>
      <c r="CB45" s="49"/>
      <c r="CC45" s="49"/>
      <c r="CD45" s="49"/>
      <c r="CE45" s="49"/>
      <c r="CF45" s="49"/>
      <c r="CG45" s="49"/>
      <c r="CH45" s="49"/>
      <c r="CI45" s="49"/>
      <c r="CJ45" s="49"/>
      <c r="CK45" s="49"/>
      <c r="CL45" s="49"/>
      <c r="CM45" s="49"/>
      <c r="CN45" s="49"/>
      <c r="CO45" s="49"/>
      <c r="CP45" s="49"/>
      <c r="CQ45" s="49"/>
      <c r="CR45" s="49"/>
      <c r="CS45" s="49"/>
      <c r="CT45" s="49"/>
      <c r="CU45" s="49"/>
      <c r="CV45" s="49"/>
      <c r="CW45" s="49"/>
      <c r="CX45" s="49"/>
      <c r="CY45" s="49"/>
      <c r="CZ45" s="49"/>
      <c r="DA45" s="49"/>
    </row>
    <row r="46" spans="1:105" ht="18" x14ac:dyDescent="0.4">
      <c r="A46" s="49"/>
      <c r="B46" s="55" t="s">
        <v>66</v>
      </c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49"/>
      <c r="O46" s="49"/>
      <c r="P46" s="49"/>
      <c r="Q46" s="49"/>
      <c r="R46" s="49"/>
      <c r="S46" s="49"/>
      <c r="T46" s="49"/>
      <c r="U46" s="49"/>
      <c r="V46" s="49"/>
      <c r="W46" s="49"/>
      <c r="X46" s="49"/>
      <c r="Y46" s="49"/>
      <c r="Z46" s="49"/>
      <c r="AA46" s="49"/>
      <c r="AB46" s="49"/>
      <c r="AC46" s="49"/>
      <c r="AD46" s="49"/>
      <c r="AE46" s="49"/>
      <c r="AF46" s="49"/>
      <c r="AG46" s="49"/>
      <c r="AH46" s="49"/>
      <c r="AI46" s="49"/>
      <c r="AJ46" s="49"/>
      <c r="AK46" s="49"/>
      <c r="AL46" s="49"/>
      <c r="AM46" s="49"/>
      <c r="AN46" s="49"/>
      <c r="AO46" s="49"/>
      <c r="AP46" s="49"/>
      <c r="AQ46" s="49"/>
      <c r="AR46" s="49"/>
      <c r="AS46" s="49"/>
      <c r="AT46" s="49"/>
      <c r="AU46" s="49"/>
      <c r="AV46" s="49"/>
      <c r="AW46" s="49"/>
      <c r="AX46" s="49"/>
      <c r="AY46" s="49"/>
      <c r="AZ46" s="49"/>
      <c r="BA46" s="49"/>
      <c r="BB46" s="49"/>
      <c r="BC46" s="49"/>
      <c r="BD46" s="49"/>
      <c r="BE46" s="49"/>
      <c r="BF46" s="49"/>
      <c r="BG46" s="49"/>
      <c r="BH46" s="49"/>
      <c r="BI46" s="49"/>
      <c r="BJ46" s="49"/>
      <c r="BK46" s="49"/>
      <c r="BL46" s="49"/>
      <c r="BM46" s="49"/>
      <c r="BN46" s="49"/>
      <c r="BO46" s="49"/>
      <c r="BP46" s="49"/>
      <c r="BQ46" s="49"/>
      <c r="BR46" s="49"/>
      <c r="BS46" s="49"/>
      <c r="BT46" s="49"/>
      <c r="BU46" s="49"/>
      <c r="BV46" s="49"/>
      <c r="BW46" s="49"/>
      <c r="BX46" s="49"/>
      <c r="BY46" s="49"/>
      <c r="BZ46" s="49"/>
      <c r="CA46" s="49"/>
      <c r="CB46" s="49"/>
      <c r="CC46" s="49"/>
      <c r="CD46" s="49"/>
      <c r="CE46" s="49"/>
      <c r="CF46" s="49"/>
      <c r="CG46" s="49"/>
      <c r="CH46" s="49"/>
      <c r="CI46" s="49"/>
      <c r="CJ46" s="49"/>
      <c r="CK46" s="49"/>
      <c r="CL46" s="49"/>
      <c r="CM46" s="49"/>
      <c r="CN46" s="49"/>
      <c r="CO46" s="49"/>
      <c r="CP46" s="49"/>
      <c r="CQ46" s="49"/>
      <c r="CR46" s="49"/>
      <c r="CS46" s="49"/>
      <c r="CT46" s="49"/>
      <c r="CU46" s="49"/>
      <c r="CV46" s="49"/>
      <c r="CW46" s="49"/>
      <c r="CX46" s="49"/>
      <c r="CY46" s="49"/>
      <c r="CZ46" s="49"/>
      <c r="DA46" s="49"/>
    </row>
    <row r="47" spans="1:105" x14ac:dyDescent="0.35">
      <c r="A47" s="49"/>
      <c r="B47" s="50"/>
      <c r="C47" s="49"/>
      <c r="D47" s="49"/>
      <c r="E47" s="49"/>
      <c r="F47" s="49"/>
      <c r="G47" s="49"/>
      <c r="H47" s="49"/>
      <c r="I47" s="49"/>
      <c r="J47" s="49"/>
      <c r="K47" s="49"/>
      <c r="L47" s="49"/>
      <c r="M47" s="49"/>
      <c r="N47" s="49"/>
      <c r="O47" s="49"/>
      <c r="P47" s="49"/>
      <c r="Q47" s="49"/>
      <c r="R47" s="49"/>
      <c r="S47" s="49"/>
      <c r="T47" s="49"/>
      <c r="U47" s="49"/>
      <c r="V47" s="49"/>
      <c r="W47" s="49"/>
      <c r="X47" s="49"/>
      <c r="Y47" s="49"/>
      <c r="Z47" s="49"/>
      <c r="AA47" s="49"/>
      <c r="AB47" s="49"/>
      <c r="AC47" s="49"/>
      <c r="AD47" s="49"/>
      <c r="AE47" s="49"/>
      <c r="AF47" s="49"/>
      <c r="AG47" s="49"/>
      <c r="AH47" s="49"/>
      <c r="AI47" s="49"/>
      <c r="AJ47" s="49"/>
      <c r="AK47" s="49"/>
      <c r="AL47" s="49"/>
      <c r="AM47" s="49"/>
      <c r="AN47" s="49"/>
      <c r="AO47" s="49"/>
      <c r="AP47" s="49"/>
      <c r="AQ47" s="49"/>
      <c r="AR47" s="49"/>
      <c r="AS47" s="49"/>
      <c r="AT47" s="49"/>
      <c r="AU47" s="49"/>
      <c r="AV47" s="49"/>
      <c r="AW47" s="49"/>
      <c r="AX47" s="49"/>
      <c r="AY47" s="49"/>
      <c r="AZ47" s="49"/>
      <c r="BA47" s="49"/>
      <c r="BB47" s="49"/>
      <c r="BC47" s="49"/>
      <c r="BD47" s="49"/>
      <c r="BE47" s="49"/>
      <c r="BF47" s="49"/>
      <c r="BG47" s="49"/>
      <c r="BH47" s="49"/>
      <c r="BI47" s="49"/>
      <c r="BJ47" s="49"/>
      <c r="BK47" s="49"/>
      <c r="BL47" s="49"/>
      <c r="BM47" s="49"/>
      <c r="BN47" s="49"/>
      <c r="BO47" s="49"/>
      <c r="BP47" s="49"/>
      <c r="BQ47" s="49"/>
      <c r="BR47" s="49"/>
      <c r="BS47" s="49"/>
      <c r="BT47" s="49"/>
      <c r="BU47" s="49"/>
      <c r="BV47" s="49"/>
      <c r="BW47" s="49"/>
      <c r="BX47" s="49"/>
      <c r="BY47" s="49"/>
      <c r="BZ47" s="49"/>
      <c r="CA47" s="49"/>
      <c r="CB47" s="49"/>
      <c r="CC47" s="49"/>
      <c r="CD47" s="49"/>
      <c r="CE47" s="49"/>
      <c r="CF47" s="49"/>
      <c r="CG47" s="49"/>
      <c r="CH47" s="49"/>
      <c r="CI47" s="49"/>
      <c r="CJ47" s="49"/>
      <c r="CK47" s="49"/>
      <c r="CL47" s="49"/>
      <c r="CM47" s="49"/>
      <c r="CN47" s="49"/>
      <c r="CO47" s="49"/>
      <c r="CP47" s="49"/>
      <c r="CQ47" s="49"/>
      <c r="CR47" s="49"/>
      <c r="CS47" s="49"/>
      <c r="CT47" s="49"/>
      <c r="CU47" s="49"/>
      <c r="CV47" s="49"/>
      <c r="CW47" s="49"/>
      <c r="CX47" s="49"/>
      <c r="CY47" s="49"/>
      <c r="CZ47" s="49"/>
      <c r="DA47" s="49"/>
    </row>
    <row r="48" spans="1:105" ht="18.5" thickBot="1" x14ac:dyDescent="0.45">
      <c r="A48" s="49"/>
      <c r="B48" s="61" t="s">
        <v>50</v>
      </c>
      <c r="C48" s="73"/>
      <c r="D48" s="49"/>
      <c r="E48" s="49"/>
      <c r="F48" s="49"/>
      <c r="G48" s="49"/>
      <c r="H48" s="49"/>
      <c r="I48" s="49"/>
      <c r="J48" s="49"/>
      <c r="K48" s="49"/>
      <c r="L48" s="49"/>
      <c r="M48" s="49"/>
      <c r="N48" s="49"/>
      <c r="O48" s="49"/>
      <c r="P48" s="49"/>
      <c r="Q48" s="49"/>
      <c r="R48" s="49"/>
      <c r="S48" s="49"/>
      <c r="T48" s="49"/>
      <c r="U48" s="49"/>
      <c r="V48" s="49"/>
      <c r="W48" s="49"/>
      <c r="X48" s="49"/>
      <c r="Y48" s="49"/>
      <c r="Z48" s="49"/>
      <c r="AA48" s="49"/>
      <c r="AB48" s="49"/>
      <c r="AC48" s="49"/>
      <c r="AD48" s="49"/>
      <c r="AE48" s="49"/>
      <c r="AF48" s="49"/>
      <c r="AG48" s="49"/>
      <c r="AH48" s="49"/>
      <c r="AI48" s="49"/>
      <c r="AJ48" s="49"/>
      <c r="AK48" s="49"/>
      <c r="AL48" s="49"/>
      <c r="AM48" s="49"/>
      <c r="AN48" s="49"/>
      <c r="AO48" s="49"/>
      <c r="AP48" s="49"/>
      <c r="AQ48" s="49"/>
      <c r="AR48" s="49"/>
      <c r="AS48" s="49"/>
      <c r="AT48" s="49"/>
      <c r="AU48" s="49"/>
      <c r="AV48" s="49"/>
      <c r="AW48" s="49"/>
      <c r="AX48" s="49"/>
      <c r="AY48" s="49"/>
      <c r="AZ48" s="49"/>
      <c r="BA48" s="49"/>
      <c r="BB48" s="49"/>
      <c r="BC48" s="49"/>
      <c r="BD48" s="49"/>
      <c r="BE48" s="49"/>
      <c r="BF48" s="49"/>
      <c r="BG48" s="49"/>
      <c r="BH48" s="49"/>
      <c r="BI48" s="49"/>
      <c r="BJ48" s="49"/>
      <c r="BK48" s="49"/>
      <c r="BL48" s="49"/>
      <c r="BM48" s="49"/>
      <c r="BN48" s="49"/>
      <c r="BO48" s="49"/>
      <c r="BP48" s="49"/>
      <c r="BQ48" s="49"/>
      <c r="BR48" s="49"/>
      <c r="BS48" s="49"/>
      <c r="BT48" s="49"/>
      <c r="BU48" s="49"/>
      <c r="BV48" s="49"/>
      <c r="BW48" s="49"/>
      <c r="BX48" s="49"/>
      <c r="BY48" s="49"/>
      <c r="BZ48" s="49"/>
      <c r="CA48" s="49"/>
      <c r="CB48" s="49"/>
      <c r="CC48" s="49"/>
      <c r="CD48" s="49"/>
      <c r="CE48" s="49"/>
      <c r="CF48" s="49"/>
      <c r="CG48" s="49"/>
      <c r="CH48" s="49"/>
      <c r="CI48" s="49"/>
      <c r="CJ48" s="49"/>
      <c r="CK48" s="49"/>
      <c r="CL48" s="49"/>
      <c r="CM48" s="49"/>
      <c r="CN48" s="49"/>
      <c r="CO48" s="49"/>
      <c r="CP48" s="49"/>
      <c r="CQ48" s="49"/>
      <c r="CR48" s="49"/>
      <c r="CS48" s="49"/>
      <c r="CT48" s="49"/>
      <c r="CU48" s="49"/>
      <c r="CV48" s="49"/>
      <c r="CW48" s="49"/>
      <c r="CX48" s="49"/>
      <c r="CY48" s="49"/>
      <c r="CZ48" s="49"/>
      <c r="DA48" s="49"/>
    </row>
    <row r="49" spans="1:105" ht="18" thickBot="1" x14ac:dyDescent="0.4">
      <c r="A49" s="49"/>
      <c r="B49" s="74" t="s">
        <v>77</v>
      </c>
      <c r="C49" s="75">
        <v>500000</v>
      </c>
      <c r="D49" s="49"/>
      <c r="E49" s="49"/>
      <c r="F49" s="49"/>
      <c r="G49" s="49"/>
      <c r="H49" s="49"/>
      <c r="I49" s="49"/>
      <c r="J49" s="49"/>
      <c r="K49" s="49"/>
      <c r="L49" s="49"/>
      <c r="M49" s="49"/>
      <c r="N49" s="49"/>
      <c r="O49" s="49"/>
      <c r="P49" s="49"/>
      <c r="Q49" s="49"/>
      <c r="R49" s="49"/>
      <c r="S49" s="49"/>
      <c r="T49" s="49"/>
      <c r="U49" s="49"/>
      <c r="V49" s="49"/>
      <c r="W49" s="49"/>
      <c r="X49" s="49"/>
      <c r="Y49" s="49"/>
      <c r="Z49" s="49"/>
      <c r="AA49" s="49"/>
      <c r="AB49" s="49"/>
      <c r="AC49" s="49"/>
      <c r="AD49" s="49"/>
      <c r="AE49" s="49"/>
      <c r="AF49" s="49"/>
      <c r="AG49" s="49"/>
      <c r="AH49" s="49"/>
      <c r="AI49" s="49"/>
      <c r="AJ49" s="49"/>
      <c r="AK49" s="49"/>
      <c r="AL49" s="49"/>
      <c r="AM49" s="49"/>
      <c r="AN49" s="49"/>
      <c r="AO49" s="49"/>
      <c r="AP49" s="49"/>
      <c r="AQ49" s="49"/>
      <c r="AR49" s="49"/>
      <c r="AS49" s="49"/>
      <c r="AT49" s="49"/>
      <c r="AU49" s="49"/>
      <c r="AV49" s="49"/>
      <c r="AW49" s="49"/>
      <c r="AX49" s="49"/>
      <c r="AY49" s="49"/>
      <c r="AZ49" s="49"/>
      <c r="BA49" s="49"/>
      <c r="BB49" s="49"/>
      <c r="BC49" s="49"/>
      <c r="BD49" s="49"/>
      <c r="BE49" s="49"/>
      <c r="BF49" s="49"/>
      <c r="BG49" s="49"/>
      <c r="BH49" s="49"/>
      <c r="BI49" s="49"/>
      <c r="BJ49" s="49"/>
      <c r="BK49" s="49"/>
      <c r="BL49" s="49"/>
      <c r="BM49" s="49"/>
      <c r="BN49" s="49"/>
      <c r="BO49" s="49"/>
      <c r="BP49" s="49"/>
      <c r="BQ49" s="49"/>
      <c r="BR49" s="49"/>
      <c r="BS49" s="49"/>
      <c r="BT49" s="49"/>
      <c r="BU49" s="49"/>
      <c r="BV49" s="49"/>
      <c r="BW49" s="49"/>
      <c r="BX49" s="49"/>
      <c r="BY49" s="49"/>
      <c r="BZ49" s="49"/>
      <c r="CA49" s="49"/>
      <c r="CB49" s="49"/>
      <c r="CC49" s="49"/>
      <c r="CD49" s="49"/>
      <c r="CE49" s="49"/>
      <c r="CF49" s="49"/>
      <c r="CG49" s="49"/>
      <c r="CH49" s="49"/>
      <c r="CI49" s="49"/>
      <c r="CJ49" s="49"/>
      <c r="CK49" s="49"/>
      <c r="CL49" s="49"/>
      <c r="CM49" s="49"/>
      <c r="CN49" s="49"/>
      <c r="CO49" s="49"/>
      <c r="CP49" s="49"/>
      <c r="CQ49" s="49"/>
      <c r="CR49" s="49"/>
      <c r="CS49" s="49"/>
      <c r="CT49" s="49"/>
      <c r="CU49" s="49"/>
      <c r="CV49" s="49"/>
      <c r="CW49" s="49"/>
      <c r="CX49" s="49"/>
      <c r="CY49" s="49"/>
      <c r="CZ49" s="49"/>
      <c r="DA49" s="49"/>
    </row>
    <row r="50" spans="1:105" ht="18" thickBot="1" x14ac:dyDescent="0.4">
      <c r="A50" s="49"/>
      <c r="B50" s="74" t="s">
        <v>51</v>
      </c>
      <c r="C50" s="76">
        <v>0.5</v>
      </c>
      <c r="D50" s="49"/>
      <c r="E50" s="49"/>
      <c r="F50" s="49"/>
      <c r="G50" s="49"/>
      <c r="H50" s="49"/>
      <c r="I50" s="49"/>
      <c r="J50" s="49"/>
      <c r="K50" s="49"/>
      <c r="L50" s="49"/>
      <c r="M50" s="49"/>
      <c r="N50" s="49"/>
      <c r="O50" s="49"/>
      <c r="P50" s="49"/>
      <c r="Q50" s="49"/>
      <c r="R50" s="49"/>
      <c r="S50" s="49"/>
      <c r="T50" s="49"/>
      <c r="U50" s="49"/>
      <c r="V50" s="49"/>
      <c r="W50" s="49"/>
      <c r="X50" s="49"/>
      <c r="Y50" s="49"/>
      <c r="Z50" s="49"/>
      <c r="AA50" s="49"/>
      <c r="AB50" s="49"/>
      <c r="AC50" s="49"/>
      <c r="AD50" s="49"/>
      <c r="AE50" s="49"/>
      <c r="AF50" s="49"/>
      <c r="AG50" s="49"/>
      <c r="AH50" s="49"/>
      <c r="AI50" s="49"/>
      <c r="AJ50" s="49"/>
      <c r="AK50" s="49"/>
      <c r="AL50" s="49"/>
      <c r="AM50" s="49"/>
      <c r="AN50" s="49"/>
      <c r="AO50" s="49"/>
      <c r="AP50" s="49"/>
      <c r="AQ50" s="49"/>
      <c r="AR50" s="49"/>
      <c r="AS50" s="49"/>
      <c r="AT50" s="49"/>
      <c r="AU50" s="49"/>
      <c r="AV50" s="49"/>
      <c r="AW50" s="49"/>
      <c r="AX50" s="49"/>
      <c r="AY50" s="49"/>
      <c r="AZ50" s="49"/>
      <c r="BA50" s="49"/>
      <c r="BB50" s="49"/>
      <c r="BC50" s="49"/>
      <c r="BD50" s="49"/>
      <c r="BE50" s="49"/>
      <c r="BF50" s="49"/>
      <c r="BG50" s="49"/>
      <c r="BH50" s="49"/>
      <c r="BI50" s="49"/>
      <c r="BJ50" s="49"/>
      <c r="BK50" s="49"/>
      <c r="BL50" s="49"/>
      <c r="BM50" s="49"/>
      <c r="BN50" s="49"/>
      <c r="BO50" s="49"/>
      <c r="BP50" s="49"/>
      <c r="BQ50" s="49"/>
      <c r="BR50" s="49"/>
      <c r="BS50" s="49"/>
      <c r="BT50" s="49"/>
      <c r="BU50" s="49"/>
      <c r="BV50" s="49"/>
      <c r="BW50" s="49"/>
      <c r="BX50" s="49"/>
      <c r="BY50" s="49"/>
      <c r="BZ50" s="49"/>
      <c r="CA50" s="49"/>
      <c r="CB50" s="49"/>
      <c r="CC50" s="49"/>
      <c r="CD50" s="49"/>
      <c r="CE50" s="49"/>
      <c r="CF50" s="49"/>
      <c r="CG50" s="49"/>
      <c r="CH50" s="49"/>
      <c r="CI50" s="49"/>
      <c r="CJ50" s="49"/>
      <c r="CK50" s="49"/>
      <c r="CL50" s="49"/>
      <c r="CM50" s="49"/>
      <c r="CN50" s="49"/>
      <c r="CO50" s="49"/>
      <c r="CP50" s="49"/>
      <c r="CQ50" s="49"/>
      <c r="CR50" s="49"/>
      <c r="CS50" s="49"/>
      <c r="CT50" s="49"/>
      <c r="CU50" s="49"/>
      <c r="CV50" s="49"/>
      <c r="CW50" s="49"/>
      <c r="CX50" s="49"/>
      <c r="CY50" s="49"/>
      <c r="CZ50" s="49"/>
      <c r="DA50" s="49"/>
    </row>
    <row r="51" spans="1:105" ht="18.5" thickBot="1" x14ac:dyDescent="0.45">
      <c r="A51" s="49"/>
      <c r="B51" s="74" t="s">
        <v>52</v>
      </c>
      <c r="C51" s="77">
        <f>C22/C49*C50</f>
        <v>3.8358266206367473</v>
      </c>
      <c r="D51" s="49"/>
      <c r="E51" s="49"/>
      <c r="F51" s="49"/>
      <c r="G51" s="49"/>
      <c r="H51" s="49"/>
      <c r="I51" s="49"/>
      <c r="J51" s="49"/>
      <c r="K51" s="49"/>
      <c r="L51" s="49"/>
      <c r="M51" s="49"/>
      <c r="N51" s="49"/>
      <c r="O51" s="49"/>
      <c r="P51" s="49"/>
      <c r="Q51" s="49"/>
      <c r="R51" s="49"/>
      <c r="S51" s="49"/>
      <c r="T51" s="49"/>
      <c r="U51" s="49"/>
      <c r="V51" s="49"/>
      <c r="W51" s="49"/>
      <c r="X51" s="49"/>
      <c r="Y51" s="49"/>
      <c r="Z51" s="49"/>
      <c r="AA51" s="49"/>
      <c r="AB51" s="49"/>
      <c r="AC51" s="49"/>
      <c r="AD51" s="49"/>
      <c r="AE51" s="49"/>
      <c r="AF51" s="49"/>
      <c r="AG51" s="49"/>
      <c r="AH51" s="49"/>
      <c r="AI51" s="49"/>
      <c r="AJ51" s="49"/>
      <c r="AK51" s="49"/>
      <c r="AL51" s="49"/>
      <c r="AM51" s="49"/>
      <c r="AN51" s="49"/>
      <c r="AO51" s="49"/>
      <c r="AP51" s="49"/>
      <c r="AQ51" s="49"/>
      <c r="AR51" s="49"/>
      <c r="AS51" s="49"/>
      <c r="AT51" s="49"/>
      <c r="AU51" s="49"/>
      <c r="AV51" s="49"/>
      <c r="AW51" s="49"/>
      <c r="AX51" s="49"/>
      <c r="AY51" s="49"/>
      <c r="AZ51" s="49"/>
      <c r="BA51" s="49"/>
      <c r="BB51" s="49"/>
      <c r="BC51" s="49"/>
      <c r="BD51" s="49"/>
      <c r="BE51" s="49"/>
      <c r="BF51" s="49"/>
      <c r="BG51" s="49"/>
      <c r="BH51" s="49"/>
      <c r="BI51" s="49"/>
      <c r="BJ51" s="49"/>
      <c r="BK51" s="49"/>
      <c r="BL51" s="49"/>
      <c r="BM51" s="49"/>
      <c r="BN51" s="49"/>
      <c r="BO51" s="49"/>
      <c r="BP51" s="49"/>
      <c r="BQ51" s="49"/>
      <c r="BR51" s="49"/>
      <c r="BS51" s="49"/>
      <c r="BT51" s="49"/>
      <c r="BU51" s="49"/>
      <c r="BV51" s="49"/>
      <c r="BW51" s="49"/>
      <c r="BX51" s="49"/>
      <c r="BY51" s="49"/>
      <c r="BZ51" s="49"/>
      <c r="CA51" s="49"/>
      <c r="CB51" s="49"/>
      <c r="CC51" s="49"/>
      <c r="CD51" s="49"/>
      <c r="CE51" s="49"/>
      <c r="CF51" s="49"/>
      <c r="CG51" s="49"/>
      <c r="CH51" s="49"/>
      <c r="CI51" s="49"/>
      <c r="CJ51" s="49"/>
      <c r="CK51" s="49"/>
      <c r="CL51" s="49"/>
      <c r="CM51" s="49"/>
      <c r="CN51" s="49"/>
      <c r="CO51" s="49"/>
      <c r="CP51" s="49"/>
      <c r="CQ51" s="49"/>
      <c r="CR51" s="49"/>
      <c r="CS51" s="49"/>
      <c r="CT51" s="49"/>
      <c r="CU51" s="49"/>
      <c r="CV51" s="49"/>
      <c r="CW51" s="49"/>
      <c r="CX51" s="49"/>
      <c r="CY51" s="49"/>
      <c r="CZ51" s="49"/>
      <c r="DA51" s="49"/>
    </row>
    <row r="52" spans="1:105" ht="18" thickBot="1" x14ac:dyDescent="0.4">
      <c r="A52" s="49"/>
      <c r="B52" s="74" t="s">
        <v>53</v>
      </c>
      <c r="C52" s="78">
        <v>-1</v>
      </c>
      <c r="D52" s="49"/>
      <c r="E52" s="49"/>
      <c r="F52" s="49"/>
      <c r="G52" s="49"/>
      <c r="H52" s="49"/>
      <c r="I52" s="49"/>
      <c r="J52" s="49"/>
      <c r="K52" s="49"/>
      <c r="L52" s="49"/>
      <c r="M52" s="49"/>
      <c r="N52" s="49"/>
      <c r="O52" s="49"/>
      <c r="P52" s="49"/>
      <c r="Q52" s="49"/>
      <c r="R52" s="49"/>
      <c r="S52" s="49"/>
      <c r="T52" s="49"/>
      <c r="U52" s="49"/>
      <c r="V52" s="49"/>
      <c r="W52" s="49"/>
      <c r="X52" s="49"/>
      <c r="Y52" s="49"/>
      <c r="Z52" s="49"/>
      <c r="AA52" s="49"/>
      <c r="AB52" s="49"/>
      <c r="AC52" s="49"/>
      <c r="AD52" s="49"/>
      <c r="AE52" s="49"/>
      <c r="AF52" s="49"/>
      <c r="AG52" s="49"/>
      <c r="AH52" s="49"/>
      <c r="AI52" s="49"/>
      <c r="AJ52" s="49"/>
      <c r="AK52" s="49"/>
      <c r="AL52" s="49"/>
      <c r="AM52" s="49"/>
      <c r="AN52" s="49"/>
      <c r="AO52" s="49"/>
      <c r="AP52" s="49"/>
      <c r="AQ52" s="49"/>
      <c r="AR52" s="49"/>
      <c r="AS52" s="49"/>
      <c r="AT52" s="49"/>
      <c r="AU52" s="49"/>
      <c r="AV52" s="49"/>
      <c r="AW52" s="49"/>
      <c r="AX52" s="49"/>
      <c r="AY52" s="49"/>
      <c r="AZ52" s="49"/>
      <c r="BA52" s="49"/>
      <c r="BB52" s="49"/>
      <c r="BC52" s="49"/>
      <c r="BD52" s="49"/>
      <c r="BE52" s="49"/>
      <c r="BF52" s="49"/>
      <c r="BG52" s="49"/>
      <c r="BH52" s="49"/>
      <c r="BI52" s="49"/>
      <c r="BJ52" s="49"/>
      <c r="BK52" s="49"/>
      <c r="BL52" s="49"/>
      <c r="BM52" s="49"/>
      <c r="BN52" s="49"/>
      <c r="BO52" s="49"/>
      <c r="BP52" s="49"/>
      <c r="BQ52" s="49"/>
      <c r="BR52" s="49"/>
      <c r="BS52" s="49"/>
      <c r="BT52" s="49"/>
      <c r="BU52" s="49"/>
      <c r="BV52" s="49"/>
      <c r="BW52" s="49"/>
      <c r="BX52" s="49"/>
      <c r="BY52" s="49"/>
      <c r="BZ52" s="49"/>
      <c r="CA52" s="49"/>
      <c r="CB52" s="49"/>
      <c r="CC52" s="49"/>
      <c r="CD52" s="49"/>
      <c r="CE52" s="49"/>
      <c r="CF52" s="49"/>
      <c r="CG52" s="49"/>
      <c r="CH52" s="49"/>
      <c r="CI52" s="49"/>
      <c r="CJ52" s="49"/>
      <c r="CK52" s="49"/>
      <c r="CL52" s="49"/>
      <c r="CM52" s="49"/>
      <c r="CN52" s="49"/>
      <c r="CO52" s="49"/>
      <c r="CP52" s="49"/>
      <c r="CQ52" s="49"/>
      <c r="CR52" s="49"/>
      <c r="CS52" s="49"/>
      <c r="CT52" s="49"/>
      <c r="CU52" s="49"/>
      <c r="CV52" s="49"/>
      <c r="CW52" s="49"/>
      <c r="CX52" s="49"/>
      <c r="CY52" s="49"/>
      <c r="CZ52" s="49"/>
      <c r="DA52" s="49"/>
    </row>
    <row r="53" spans="1:105" x14ac:dyDescent="0.35">
      <c r="A53" s="49"/>
      <c r="B53" s="50"/>
      <c r="C53" s="49"/>
      <c r="D53" s="49"/>
      <c r="E53" s="49"/>
      <c r="F53" s="49"/>
      <c r="G53" s="49"/>
      <c r="H53" s="49"/>
      <c r="I53" s="49"/>
      <c r="J53" s="49"/>
      <c r="K53" s="49"/>
      <c r="L53" s="49"/>
      <c r="M53" s="49"/>
      <c r="N53" s="49"/>
      <c r="O53" s="49"/>
      <c r="P53" s="49"/>
      <c r="Q53" s="49"/>
      <c r="R53" s="49"/>
      <c r="S53" s="49"/>
      <c r="T53" s="49"/>
      <c r="U53" s="49"/>
      <c r="V53" s="49"/>
      <c r="W53" s="49"/>
      <c r="X53" s="49"/>
      <c r="Y53" s="49"/>
      <c r="Z53" s="49"/>
      <c r="AA53" s="49"/>
      <c r="AB53" s="49"/>
      <c r="AC53" s="49"/>
      <c r="AD53" s="49"/>
      <c r="AE53" s="49"/>
      <c r="AF53" s="49"/>
      <c r="AG53" s="49"/>
      <c r="AH53" s="49"/>
      <c r="AI53" s="49"/>
      <c r="AJ53" s="49"/>
      <c r="AK53" s="49"/>
      <c r="AL53" s="49"/>
      <c r="AM53" s="49"/>
      <c r="AN53" s="49"/>
      <c r="AO53" s="49"/>
      <c r="AP53" s="49"/>
      <c r="AQ53" s="49"/>
      <c r="AR53" s="49"/>
      <c r="AS53" s="49"/>
      <c r="AT53" s="49"/>
      <c r="AU53" s="49"/>
      <c r="AV53" s="49"/>
      <c r="AW53" s="49"/>
      <c r="AX53" s="49"/>
      <c r="AY53" s="49"/>
      <c r="AZ53" s="49"/>
      <c r="BA53" s="49"/>
      <c r="BB53" s="49"/>
      <c r="BC53" s="49"/>
      <c r="BD53" s="49"/>
      <c r="BE53" s="49"/>
      <c r="BF53" s="49"/>
      <c r="BG53" s="49"/>
      <c r="BH53" s="49"/>
      <c r="BI53" s="49"/>
      <c r="BJ53" s="49"/>
      <c r="BK53" s="49"/>
      <c r="BL53" s="49"/>
      <c r="BM53" s="49"/>
      <c r="BN53" s="49"/>
      <c r="BO53" s="49"/>
      <c r="BP53" s="49"/>
      <c r="BQ53" s="49"/>
      <c r="BR53" s="49"/>
      <c r="BS53" s="49"/>
      <c r="BT53" s="49"/>
      <c r="BU53" s="49"/>
      <c r="BV53" s="49"/>
      <c r="BW53" s="49"/>
      <c r="BX53" s="49"/>
      <c r="BY53" s="49"/>
      <c r="BZ53" s="49"/>
      <c r="CA53" s="49"/>
      <c r="CB53" s="49"/>
      <c r="CC53" s="49"/>
      <c r="CD53" s="49"/>
      <c r="CE53" s="49"/>
      <c r="CF53" s="49"/>
      <c r="CG53" s="49"/>
      <c r="CH53" s="49"/>
      <c r="CI53" s="49"/>
      <c r="CJ53" s="49"/>
      <c r="CK53" s="49"/>
      <c r="CL53" s="49"/>
      <c r="CM53" s="49"/>
      <c r="CN53" s="49"/>
      <c r="CO53" s="49"/>
      <c r="CP53" s="49"/>
      <c r="CQ53" s="49"/>
      <c r="CR53" s="49"/>
      <c r="CS53" s="49"/>
      <c r="CT53" s="49"/>
      <c r="CU53" s="49"/>
      <c r="CV53" s="49"/>
      <c r="CW53" s="49"/>
      <c r="CX53" s="49"/>
      <c r="CY53" s="49"/>
      <c r="CZ53" s="49"/>
      <c r="DA53" s="49"/>
    </row>
    <row r="54" spans="1:105" ht="18" x14ac:dyDescent="0.4">
      <c r="A54" s="49"/>
      <c r="B54" s="61" t="s">
        <v>54</v>
      </c>
      <c r="C54" s="49"/>
      <c r="D54" s="49"/>
      <c r="E54" s="49"/>
      <c r="F54" s="49"/>
      <c r="G54" s="49"/>
      <c r="H54" s="49"/>
      <c r="I54" s="49"/>
      <c r="J54" s="49"/>
      <c r="K54" s="49"/>
      <c r="L54" s="49"/>
      <c r="M54" s="49"/>
      <c r="N54" s="49"/>
      <c r="O54" s="49"/>
      <c r="P54" s="49"/>
      <c r="Q54" s="49"/>
      <c r="R54" s="49"/>
      <c r="S54" s="49"/>
      <c r="T54" s="49"/>
      <c r="U54" s="49"/>
      <c r="V54" s="49"/>
      <c r="W54" s="49"/>
      <c r="X54" s="49"/>
      <c r="Y54" s="49"/>
      <c r="Z54" s="49"/>
      <c r="AA54" s="49"/>
      <c r="AB54" s="49"/>
      <c r="AC54" s="49"/>
      <c r="AD54" s="49"/>
      <c r="AE54" s="49"/>
      <c r="AF54" s="49"/>
      <c r="AG54" s="49"/>
      <c r="AH54" s="49"/>
      <c r="AI54" s="49"/>
      <c r="AJ54" s="49"/>
      <c r="AK54" s="49"/>
      <c r="AL54" s="49"/>
      <c r="AM54" s="49"/>
      <c r="AN54" s="49"/>
      <c r="AO54" s="49"/>
      <c r="AP54" s="49"/>
      <c r="AQ54" s="49"/>
      <c r="AR54" s="49"/>
      <c r="AS54" s="49"/>
      <c r="AT54" s="49"/>
      <c r="AU54" s="49"/>
      <c r="AV54" s="49"/>
      <c r="AW54" s="49"/>
      <c r="AX54" s="49"/>
      <c r="AY54" s="49"/>
      <c r="AZ54" s="49"/>
      <c r="BA54" s="49"/>
      <c r="BB54" s="49"/>
      <c r="BC54" s="49"/>
      <c r="BD54" s="49"/>
      <c r="BE54" s="49"/>
      <c r="BF54" s="49"/>
      <c r="BG54" s="49"/>
      <c r="BH54" s="49"/>
      <c r="BI54" s="49"/>
      <c r="BJ54" s="49"/>
      <c r="BK54" s="49"/>
      <c r="BL54" s="49"/>
      <c r="BM54" s="49"/>
      <c r="BN54" s="49"/>
      <c r="BO54" s="49"/>
      <c r="BP54" s="49"/>
      <c r="BQ54" s="49"/>
      <c r="BR54" s="49"/>
      <c r="BS54" s="49"/>
      <c r="BT54" s="49"/>
      <c r="BU54" s="49"/>
      <c r="BV54" s="49"/>
      <c r="BW54" s="49"/>
      <c r="BX54" s="49"/>
      <c r="BY54" s="49"/>
      <c r="BZ54" s="49"/>
      <c r="CA54" s="49"/>
      <c r="CB54" s="49"/>
      <c r="CC54" s="49"/>
      <c r="CD54" s="49"/>
      <c r="CE54" s="49"/>
      <c r="CF54" s="49"/>
      <c r="CG54" s="49"/>
      <c r="CH54" s="49"/>
      <c r="CI54" s="49"/>
      <c r="CJ54" s="49"/>
      <c r="CK54" s="49"/>
      <c r="CL54" s="49"/>
      <c r="CM54" s="49"/>
      <c r="CN54" s="49"/>
      <c r="CO54" s="49"/>
      <c r="CP54" s="49"/>
      <c r="CQ54" s="49"/>
      <c r="CR54" s="49"/>
      <c r="CS54" s="49"/>
      <c r="CT54" s="49"/>
      <c r="CU54" s="49"/>
      <c r="CV54" s="49"/>
      <c r="CW54" s="49"/>
      <c r="CX54" s="49"/>
      <c r="CY54" s="49"/>
      <c r="CZ54" s="49"/>
      <c r="DA54" s="49"/>
    </row>
    <row r="55" spans="1:105" ht="18" x14ac:dyDescent="0.4">
      <c r="A55" s="49"/>
      <c r="B55" s="66" t="s">
        <v>43</v>
      </c>
      <c r="C55" s="67">
        <v>0</v>
      </c>
      <c r="D55" s="67">
        <v>1</v>
      </c>
      <c r="E55" s="67">
        <v>2</v>
      </c>
      <c r="F55" s="67">
        <v>3</v>
      </c>
      <c r="G55" s="67">
        <v>4</v>
      </c>
      <c r="H55" s="67">
        <v>5</v>
      </c>
      <c r="I55" s="67">
        <v>6</v>
      </c>
      <c r="J55" s="67">
        <v>7</v>
      </c>
      <c r="K55" s="67">
        <v>8</v>
      </c>
      <c r="L55" s="67">
        <v>9</v>
      </c>
      <c r="M55" s="67">
        <v>10</v>
      </c>
      <c r="N55" s="67">
        <v>11</v>
      </c>
      <c r="O55" s="67">
        <v>12</v>
      </c>
      <c r="P55" s="67">
        <v>13</v>
      </c>
      <c r="Q55" s="67">
        <v>14</v>
      </c>
      <c r="R55" s="67">
        <v>15</v>
      </c>
      <c r="S55" s="67">
        <v>16</v>
      </c>
      <c r="T55" s="67">
        <v>17</v>
      </c>
      <c r="U55" s="67">
        <v>18</v>
      </c>
      <c r="V55" s="67">
        <v>19</v>
      </c>
      <c r="W55" s="67">
        <v>20</v>
      </c>
      <c r="X55" s="67">
        <v>21</v>
      </c>
      <c r="Y55" s="67">
        <v>22</v>
      </c>
      <c r="Z55" s="67">
        <v>23</v>
      </c>
      <c r="AA55" s="67">
        <v>24</v>
      </c>
      <c r="AB55" s="67">
        <v>25</v>
      </c>
      <c r="AC55" s="67">
        <v>26</v>
      </c>
      <c r="AD55" s="67">
        <v>27</v>
      </c>
      <c r="AE55" s="67">
        <v>28</v>
      </c>
      <c r="AF55" s="67">
        <v>29</v>
      </c>
      <c r="AG55" s="67">
        <v>30</v>
      </c>
      <c r="AH55" s="67">
        <v>31</v>
      </c>
      <c r="AI55" s="67">
        <v>32</v>
      </c>
      <c r="AJ55" s="67">
        <v>33</v>
      </c>
      <c r="AK55" s="67">
        <v>34</v>
      </c>
      <c r="AL55" s="67">
        <v>35</v>
      </c>
      <c r="AM55" s="67">
        <v>36</v>
      </c>
      <c r="AN55" s="67">
        <v>37</v>
      </c>
      <c r="AO55" s="67">
        <v>38</v>
      </c>
      <c r="AP55" s="67">
        <v>39</v>
      </c>
      <c r="AQ55" s="67">
        <v>40</v>
      </c>
      <c r="AR55" s="67">
        <v>41</v>
      </c>
      <c r="AS55" s="67">
        <v>42</v>
      </c>
      <c r="AT55" s="67">
        <v>43</v>
      </c>
      <c r="AU55" s="67">
        <v>44</v>
      </c>
      <c r="AV55" s="67">
        <v>45</v>
      </c>
      <c r="AW55" s="67">
        <v>46</v>
      </c>
      <c r="AX55" s="67">
        <v>47</v>
      </c>
      <c r="AY55" s="67">
        <v>48</v>
      </c>
      <c r="AZ55" s="67">
        <v>49</v>
      </c>
      <c r="BA55" s="67">
        <v>50</v>
      </c>
      <c r="BB55" s="67">
        <v>51</v>
      </c>
      <c r="BC55" s="67">
        <v>52</v>
      </c>
      <c r="BD55" s="67">
        <v>53</v>
      </c>
      <c r="BE55" s="67">
        <v>54</v>
      </c>
      <c r="BF55" s="67">
        <v>55</v>
      </c>
      <c r="BG55" s="67">
        <v>56</v>
      </c>
      <c r="BH55" s="67">
        <v>57</v>
      </c>
      <c r="BI55" s="67">
        <v>58</v>
      </c>
      <c r="BJ55" s="67">
        <v>59</v>
      </c>
      <c r="BK55" s="67">
        <v>60</v>
      </c>
      <c r="BL55" s="67">
        <v>61</v>
      </c>
      <c r="BM55" s="67">
        <v>62</v>
      </c>
      <c r="BN55" s="67">
        <v>63</v>
      </c>
      <c r="BO55" s="67">
        <v>64</v>
      </c>
      <c r="BP55" s="67">
        <v>65</v>
      </c>
      <c r="BQ55" s="67">
        <v>66</v>
      </c>
      <c r="BR55" s="67">
        <v>67</v>
      </c>
      <c r="BS55" s="67">
        <v>68</v>
      </c>
      <c r="BT55" s="67">
        <v>69</v>
      </c>
      <c r="BU55" s="67">
        <v>70</v>
      </c>
      <c r="BV55" s="67">
        <v>71</v>
      </c>
      <c r="BW55" s="67">
        <v>72</v>
      </c>
      <c r="BX55" s="67">
        <v>73</v>
      </c>
      <c r="BY55" s="67">
        <v>74</v>
      </c>
      <c r="BZ55" s="67">
        <v>75</v>
      </c>
      <c r="CA55" s="67">
        <v>76</v>
      </c>
      <c r="CB55" s="67">
        <v>77</v>
      </c>
      <c r="CC55" s="67">
        <v>78</v>
      </c>
      <c r="CD55" s="67">
        <v>79</v>
      </c>
      <c r="CE55" s="67">
        <v>80</v>
      </c>
      <c r="CF55" s="67">
        <v>81</v>
      </c>
      <c r="CG55" s="67">
        <v>82</v>
      </c>
      <c r="CH55" s="67">
        <v>83</v>
      </c>
      <c r="CI55" s="67">
        <v>84</v>
      </c>
      <c r="CJ55" s="67">
        <v>85</v>
      </c>
      <c r="CK55" s="67">
        <v>86</v>
      </c>
      <c r="CL55" s="67">
        <v>87</v>
      </c>
      <c r="CM55" s="67">
        <v>88</v>
      </c>
      <c r="CN55" s="67">
        <v>89</v>
      </c>
      <c r="CO55" s="67">
        <v>90</v>
      </c>
      <c r="CP55" s="49"/>
      <c r="CQ55" s="49"/>
      <c r="CR55" s="49"/>
      <c r="CS55" s="49"/>
      <c r="CT55" s="49"/>
      <c r="CU55" s="49"/>
      <c r="CV55" s="49"/>
      <c r="CW55" s="49"/>
      <c r="CX55" s="49"/>
      <c r="CY55" s="49"/>
      <c r="CZ55" s="49"/>
      <c r="DA55" s="49"/>
    </row>
    <row r="56" spans="1:105" ht="18" x14ac:dyDescent="0.4">
      <c r="A56" s="49"/>
      <c r="B56" s="62" t="s">
        <v>55</v>
      </c>
      <c r="C56" s="79">
        <f t="shared" ref="C56:AH56" si="12">C13*(1+$C$4*($CO$94-C94)/360)/(1+$C$3*($CO$94-C131)/360)</f>
        <v>1.3082595639787749</v>
      </c>
      <c r="D56" s="79">
        <f t="shared" si="12"/>
        <v>1.30911008866031</v>
      </c>
      <c r="E56" s="79">
        <f t="shared" si="12"/>
        <v>1.3236090953866577</v>
      </c>
      <c r="F56" s="79">
        <f t="shared" si="12"/>
        <v>1.3258638591595706</v>
      </c>
      <c r="G56" s="79">
        <f t="shared" si="12"/>
        <v>1.3241044749852608</v>
      </c>
      <c r="H56" s="79">
        <f t="shared" si="12"/>
        <v>1.3254559169767348</v>
      </c>
      <c r="I56" s="79">
        <f t="shared" si="12"/>
        <v>1.3151677018666577</v>
      </c>
      <c r="J56" s="79">
        <f t="shared" si="12"/>
        <v>1.3242453143729913</v>
      </c>
      <c r="K56" s="79">
        <f t="shared" si="12"/>
        <v>1.3312151985994001</v>
      </c>
      <c r="L56" s="79">
        <f t="shared" si="12"/>
        <v>1.3298572285862948</v>
      </c>
      <c r="M56" s="79">
        <f t="shared" si="12"/>
        <v>1.333314944627775</v>
      </c>
      <c r="N56" s="79">
        <f t="shared" si="12"/>
        <v>1.3284457615532406</v>
      </c>
      <c r="O56" s="79">
        <f t="shared" si="12"/>
        <v>1.3380225510389478</v>
      </c>
      <c r="P56" s="79">
        <f t="shared" si="12"/>
        <v>1.3115863605400178</v>
      </c>
      <c r="Q56" s="79">
        <f t="shared" si="12"/>
        <v>1.3190565634371365</v>
      </c>
      <c r="R56" s="79">
        <f t="shared" si="12"/>
        <v>1.3054622240601474</v>
      </c>
      <c r="S56" s="79">
        <f t="shared" si="12"/>
        <v>1.312430553485896</v>
      </c>
      <c r="T56" s="79">
        <f t="shared" si="12"/>
        <v>1.320902757508821</v>
      </c>
      <c r="U56" s="79">
        <f t="shared" si="12"/>
        <v>1.3216517634008291</v>
      </c>
      <c r="V56" s="79">
        <f t="shared" si="12"/>
        <v>1.3217989714671801</v>
      </c>
      <c r="W56" s="79">
        <f t="shared" si="12"/>
        <v>1.323951843477668</v>
      </c>
      <c r="X56" s="79">
        <f t="shared" si="12"/>
        <v>1.3300154590146342</v>
      </c>
      <c r="Y56" s="79">
        <f t="shared" si="12"/>
        <v>1.334574435463765</v>
      </c>
      <c r="Z56" s="79">
        <f t="shared" si="12"/>
        <v>1.328805015931495</v>
      </c>
      <c r="AA56" s="79">
        <f t="shared" si="12"/>
        <v>1.3132097921162522</v>
      </c>
      <c r="AB56" s="79">
        <f t="shared" si="12"/>
        <v>1.3087451171844413</v>
      </c>
      <c r="AC56" s="79">
        <f t="shared" si="12"/>
        <v>1.3076896311814932</v>
      </c>
      <c r="AD56" s="79">
        <f t="shared" si="12"/>
        <v>1.3083385717418314</v>
      </c>
      <c r="AE56" s="79">
        <f t="shared" si="12"/>
        <v>1.3094887108835789</v>
      </c>
      <c r="AF56" s="79">
        <f t="shared" si="12"/>
        <v>1.2956015905258358</v>
      </c>
      <c r="AG56" s="79">
        <f t="shared" si="12"/>
        <v>1.292040683345004</v>
      </c>
      <c r="AH56" s="79">
        <f t="shared" si="12"/>
        <v>1.2833678357967129</v>
      </c>
      <c r="AI56" s="79">
        <f t="shared" ref="AI56:BN56" si="13">AI13*(1+$C$4*($CO$94-AI94)/360)/(1+$C$3*($CO$94-AI131)/360)</f>
        <v>1.2876260698003605</v>
      </c>
      <c r="AJ56" s="79">
        <f t="shared" si="13"/>
        <v>1.2921846462174131</v>
      </c>
      <c r="AK56" s="79">
        <f t="shared" si="13"/>
        <v>1.2884239671751321</v>
      </c>
      <c r="AL56" s="79">
        <f t="shared" si="13"/>
        <v>1.2972917334369922</v>
      </c>
      <c r="AM56" s="79">
        <f t="shared" si="13"/>
        <v>1.2980410072183013</v>
      </c>
      <c r="AN56" s="79">
        <f t="shared" si="13"/>
        <v>1.2959841843389557</v>
      </c>
      <c r="AO56" s="79">
        <f t="shared" si="13"/>
        <v>1.297234491002343</v>
      </c>
      <c r="AP56" s="79">
        <f t="shared" si="13"/>
        <v>1.3064010562093478</v>
      </c>
      <c r="AQ56" s="79">
        <f t="shared" si="13"/>
        <v>1.310556715227968</v>
      </c>
      <c r="AR56" s="79">
        <f t="shared" si="13"/>
        <v>1.3135096411118541</v>
      </c>
      <c r="AS56" s="79">
        <f t="shared" si="13"/>
        <v>1.3141578346660561</v>
      </c>
      <c r="AT56" s="79">
        <f t="shared" si="13"/>
        <v>1.30909508311675</v>
      </c>
      <c r="AU56" s="79">
        <f t="shared" si="13"/>
        <v>1.3187602084242449</v>
      </c>
      <c r="AV56" s="79">
        <f t="shared" si="13"/>
        <v>1.3220128409336274</v>
      </c>
      <c r="AW56" s="79">
        <f t="shared" si="13"/>
        <v>1.3089360594199155</v>
      </c>
      <c r="AX56" s="79">
        <f t="shared" si="13"/>
        <v>1.3091835685468742</v>
      </c>
      <c r="AY56" s="79">
        <f t="shared" si="13"/>
        <v>1.2976109102171862</v>
      </c>
      <c r="AZ56" s="79">
        <f t="shared" si="13"/>
        <v>1.2913480122914911</v>
      </c>
      <c r="BA56" s="79">
        <f t="shared" si="13"/>
        <v>1.2892924414598448</v>
      </c>
      <c r="BB56" s="79">
        <f t="shared" si="13"/>
        <v>1.3006582683018517</v>
      </c>
      <c r="BC56" s="79">
        <f t="shared" si="13"/>
        <v>1.2904899615555783</v>
      </c>
      <c r="BD56" s="79">
        <f t="shared" si="13"/>
        <v>1.2880340505283061</v>
      </c>
      <c r="BE56" s="79">
        <f t="shared" si="13"/>
        <v>1.2882822814988526</v>
      </c>
      <c r="BF56" s="79">
        <f t="shared" si="13"/>
        <v>1.2862272125548986</v>
      </c>
      <c r="BG56" s="79">
        <f t="shared" si="13"/>
        <v>1.2764616609222617</v>
      </c>
      <c r="BH56" s="79">
        <f t="shared" si="13"/>
        <v>1.2806155391529579</v>
      </c>
      <c r="BI56" s="79">
        <f t="shared" si="13"/>
        <v>1.2733542435352274</v>
      </c>
      <c r="BJ56" s="79">
        <f t="shared" si="13"/>
        <v>1.2793101638616062</v>
      </c>
      <c r="BK56" s="79">
        <f t="shared" si="13"/>
        <v>1.2738516899915833</v>
      </c>
      <c r="BL56" s="79">
        <f t="shared" si="13"/>
        <v>1.264288817411547</v>
      </c>
      <c r="BM56" s="79">
        <f t="shared" si="13"/>
        <v>1.2621351369418303</v>
      </c>
      <c r="BN56" s="79">
        <f t="shared" si="13"/>
        <v>1.2753985288949581</v>
      </c>
      <c r="BO56" s="79">
        <f t="shared" ref="BO56:CO56" si="14">BO13*(1+$C$4*($CO$94-BO94)/360)/(1+$C$3*($CO$94-BO131)/360)</f>
        <v>1.2767482570650162</v>
      </c>
      <c r="BP56" s="79">
        <f t="shared" si="14"/>
        <v>1.271190854131121</v>
      </c>
      <c r="BQ56" s="79">
        <f t="shared" si="14"/>
        <v>1.2656338945883314</v>
      </c>
      <c r="BR56" s="79">
        <f t="shared" si="14"/>
        <v>1.2644814935545892</v>
      </c>
      <c r="BS56" s="79">
        <f t="shared" si="14"/>
        <v>1.2686339198760213</v>
      </c>
      <c r="BT56" s="79">
        <f t="shared" si="14"/>
        <v>1.2716850620138196</v>
      </c>
      <c r="BU56" s="79">
        <f t="shared" si="14"/>
        <v>1.2655284659999699</v>
      </c>
      <c r="BV56" s="79">
        <f t="shared" si="14"/>
        <v>1.2665779257295051</v>
      </c>
      <c r="BW56" s="79">
        <f t="shared" si="14"/>
        <v>1.2619231198584462</v>
      </c>
      <c r="BX56" s="79">
        <f t="shared" si="14"/>
        <v>1.2647738700081061</v>
      </c>
      <c r="BY56" s="79">
        <f t="shared" si="14"/>
        <v>1.2632215175866939</v>
      </c>
      <c r="BZ56" s="79">
        <f t="shared" si="14"/>
        <v>1.2590676973653798</v>
      </c>
      <c r="CA56" s="79">
        <f t="shared" si="14"/>
        <v>1.2650199585052266</v>
      </c>
      <c r="CB56" s="79">
        <f t="shared" si="14"/>
        <v>1.2635678152120091</v>
      </c>
      <c r="CC56" s="79">
        <f t="shared" si="14"/>
        <v>1.2493095341592868</v>
      </c>
      <c r="CD56" s="79">
        <f t="shared" si="14"/>
        <v>1.2566620698529258</v>
      </c>
      <c r="CE56" s="79">
        <f t="shared" si="14"/>
        <v>1.2731177022002824</v>
      </c>
      <c r="CF56" s="79">
        <f t="shared" si="14"/>
        <v>1.2785679615137289</v>
      </c>
      <c r="CG56" s="79">
        <f t="shared" si="14"/>
        <v>1.2738144501744972</v>
      </c>
      <c r="CH56" s="79">
        <f t="shared" si="14"/>
        <v>1.2722622289888901</v>
      </c>
      <c r="CI56" s="79">
        <f t="shared" si="14"/>
        <v>1.2728106389718488</v>
      </c>
      <c r="CJ56" s="79">
        <f t="shared" si="14"/>
        <v>1.2751593628245439</v>
      </c>
      <c r="CK56" s="79">
        <f t="shared" si="14"/>
        <v>1.2793081808586151</v>
      </c>
      <c r="CL56" s="79">
        <f t="shared" si="14"/>
        <v>1.2826565559715224</v>
      </c>
      <c r="CM56" s="79">
        <f t="shared" si="14"/>
        <v>1.2748037393912046</v>
      </c>
      <c r="CN56" s="79">
        <f t="shared" si="14"/>
        <v>1.2827521969964406</v>
      </c>
      <c r="CO56" s="79">
        <f t="shared" si="14"/>
        <v>1.2834000000000001</v>
      </c>
      <c r="CP56" s="49"/>
      <c r="CQ56" s="49"/>
      <c r="CR56" s="49"/>
      <c r="CS56" s="49"/>
      <c r="CT56" s="49"/>
      <c r="CU56" s="49"/>
      <c r="CV56" s="49"/>
      <c r="CW56" s="49"/>
      <c r="CX56" s="49"/>
      <c r="CY56" s="49"/>
      <c r="CZ56" s="49"/>
      <c r="DA56" s="49"/>
    </row>
    <row r="57" spans="1:105" ht="18" x14ac:dyDescent="0.4">
      <c r="A57" s="49"/>
      <c r="B57" s="62" t="s">
        <v>60</v>
      </c>
      <c r="C57" s="80">
        <f>$C$52*$C$51*(C56-$C$56)*$C$49</f>
        <v>0</v>
      </c>
      <c r="D57" s="80">
        <f t="shared" ref="D57:BO57" si="15">$C$52*$C$51*(D56-$C$56)*$C$49</f>
        <v>-1631.2326074705127</v>
      </c>
      <c r="E57" s="80">
        <f t="shared" si="15"/>
        <v>-29439.070594328474</v>
      </c>
      <c r="F57" s="80">
        <f t="shared" si="15"/>
        <v>-33763.512046021788</v>
      </c>
      <c r="G57" s="80">
        <f t="shared" si="15"/>
        <v>-30389.165720149587</v>
      </c>
      <c r="H57" s="80">
        <f t="shared" si="15"/>
        <v>-32981.114303720678</v>
      </c>
      <c r="I57" s="80">
        <f t="shared" si="15"/>
        <v>-13249.209604685086</v>
      </c>
      <c r="J57" s="80">
        <f t="shared" si="15"/>
        <v>-30659.283456494933</v>
      </c>
      <c r="K57" s="80">
        <f t="shared" si="15"/>
        <v>-44026.917185702383</v>
      </c>
      <c r="L57" s="80">
        <f t="shared" si="15"/>
        <v>-41422.448422554655</v>
      </c>
      <c r="M57" s="80">
        <f t="shared" si="15"/>
        <v>-48054.048041810791</v>
      </c>
      <c r="N57" s="80">
        <f t="shared" si="15"/>
        <v>-38715.377012784265</v>
      </c>
      <c r="O57" s="80">
        <f t="shared" si="15"/>
        <v>-57082.829037539312</v>
      </c>
      <c r="P57" s="80">
        <f t="shared" si="15"/>
        <v>-6380.5074055291643</v>
      </c>
      <c r="Q57" s="80">
        <f t="shared" si="15"/>
        <v>-20707.708972692093</v>
      </c>
      <c r="R57" s="80">
        <f t="shared" si="15"/>
        <v>5365.0554634204191</v>
      </c>
      <c r="S57" s="80">
        <f t="shared" si="15"/>
        <v>-7999.5962929059006</v>
      </c>
      <c r="T57" s="80">
        <f t="shared" si="15"/>
        <v>-24248.549156206696</v>
      </c>
      <c r="U57" s="80">
        <f t="shared" si="15"/>
        <v>-25685.077525995923</v>
      </c>
      <c r="V57" s="80">
        <f t="shared" si="15"/>
        <v>-25967.409835836614</v>
      </c>
      <c r="W57" s="80">
        <f t="shared" si="15"/>
        <v>-30096.431720163371</v>
      </c>
      <c r="X57" s="80">
        <f t="shared" si="15"/>
        <v>-41725.920667164166</v>
      </c>
      <c r="Y57" s="80">
        <f t="shared" si="15"/>
        <v>-50469.64228037998</v>
      </c>
      <c r="Z57" s="80">
        <f t="shared" si="15"/>
        <v>-39404.395766628637</v>
      </c>
      <c r="AA57" s="80">
        <f t="shared" si="15"/>
        <v>-9494.1084339803692</v>
      </c>
      <c r="AB57" s="80">
        <f t="shared" si="15"/>
        <v>-931.24895601545029</v>
      </c>
      <c r="AC57" s="80">
        <f t="shared" si="15"/>
        <v>1093.0816978935179</v>
      </c>
      <c r="AD57" s="80">
        <f t="shared" si="15"/>
        <v>-151.53004038469925</v>
      </c>
      <c r="AE57" s="80">
        <f t="shared" si="15"/>
        <v>-2357.3972090602679</v>
      </c>
      <c r="AF57" s="80">
        <f t="shared" si="15"/>
        <v>24276.895767048456</v>
      </c>
      <c r="AG57" s="80">
        <f t="shared" si="15"/>
        <v>31106.407045974032</v>
      </c>
      <c r="AH57" s="80">
        <f t="shared" si="15"/>
        <v>47740.17679720364</v>
      </c>
      <c r="AI57" s="80">
        <f t="shared" si="15"/>
        <v>39573.25312315749</v>
      </c>
      <c r="AJ57" s="80">
        <f t="shared" si="15"/>
        <v>30830.298736788871</v>
      </c>
      <c r="AK57" s="80">
        <f t="shared" si="15"/>
        <v>38042.955127815068</v>
      </c>
      <c r="AL57" s="80">
        <f t="shared" si="15"/>
        <v>21035.348181401285</v>
      </c>
      <c r="AM57" s="80">
        <f t="shared" si="15"/>
        <v>19598.306023156045</v>
      </c>
      <c r="AN57" s="80">
        <f t="shared" si="15"/>
        <v>23543.114000420355</v>
      </c>
      <c r="AO57" s="80">
        <f t="shared" si="15"/>
        <v>21145.134208730055</v>
      </c>
      <c r="AP57" s="80">
        <f t="shared" si="15"/>
        <v>3564.4567883143204</v>
      </c>
      <c r="AQ57" s="80">
        <f t="shared" si="15"/>
        <v>-4405.7369566420475</v>
      </c>
      <c r="AR57" s="80">
        <f t="shared" si="15"/>
        <v>-10069.19281373079</v>
      </c>
      <c r="AS57" s="80">
        <f t="shared" si="15"/>
        <v>-11312.371858997343</v>
      </c>
      <c r="AT57" s="80">
        <f t="shared" si="15"/>
        <v>-1602.4532757483576</v>
      </c>
      <c r="AU57" s="80">
        <f t="shared" si="15"/>
        <v>-20139.325748887713</v>
      </c>
      <c r="AV57" s="80">
        <f t="shared" si="15"/>
        <v>-26377.592932206582</v>
      </c>
      <c r="AW57" s="80">
        <f t="shared" si="15"/>
        <v>-1297.4596109334075</v>
      </c>
      <c r="AX57" s="80">
        <f t="shared" si="15"/>
        <v>-1772.1606599527793</v>
      </c>
      <c r="AY57" s="80">
        <f t="shared" si="15"/>
        <v>20423.19478632266</v>
      </c>
      <c r="AZ57" s="80">
        <f t="shared" si="15"/>
        <v>32434.890079178665</v>
      </c>
      <c r="BA57" s="80">
        <f t="shared" si="15"/>
        <v>36377.296737495337</v>
      </c>
      <c r="BB57" s="80">
        <f t="shared" si="15"/>
        <v>14578.626154436395</v>
      </c>
      <c r="BC57" s="80">
        <f t="shared" si="15"/>
        <v>34080.557006514355</v>
      </c>
      <c r="BD57" s="80">
        <f t="shared" si="15"/>
        <v>38790.781454677308</v>
      </c>
      <c r="BE57" s="80">
        <f t="shared" si="15"/>
        <v>38314.695972232934</v>
      </c>
      <c r="BF57" s="80">
        <f t="shared" si="15"/>
        <v>42256.140053464282</v>
      </c>
      <c r="BG57" s="80">
        <f t="shared" si="15"/>
        <v>60985.621512299964</v>
      </c>
      <c r="BH57" s="80">
        <f t="shared" si="15"/>
        <v>53018.843164205908</v>
      </c>
      <c r="BI57" s="80">
        <f t="shared" si="15"/>
        <v>66945.378679607675</v>
      </c>
      <c r="BJ57" s="80">
        <f t="shared" si="15"/>
        <v>55522.439810449985</v>
      </c>
      <c r="BK57" s="80">
        <f t="shared" si="15"/>
        <v>65991.31949979208</v>
      </c>
      <c r="BL57" s="80">
        <f t="shared" si="15"/>
        <v>84332.080105922287</v>
      </c>
      <c r="BM57" s="80">
        <f t="shared" si="15"/>
        <v>88462.652544964571</v>
      </c>
      <c r="BN57" s="80">
        <f t="shared" si="15"/>
        <v>63024.616578091234</v>
      </c>
      <c r="BO57" s="80">
        <f t="shared" si="15"/>
        <v>60435.954955425201</v>
      </c>
      <c r="BP57" s="80">
        <f t="shared" ref="BP57:CO57" si="16">$C$52*$C$51*(BP56-$C$56)*$C$49</f>
        <v>71094.572013145138</v>
      </c>
      <c r="BQ57" s="80">
        <f t="shared" si="16"/>
        <v>81752.338685161929</v>
      </c>
      <c r="BR57" s="80">
        <f t="shared" si="16"/>
        <v>83962.543966600861</v>
      </c>
      <c r="BS57" s="80">
        <f t="shared" si="16"/>
        <v>75998.550254609901</v>
      </c>
      <c r="BT57" s="80">
        <f t="shared" si="16"/>
        <v>70146.724136853212</v>
      </c>
      <c r="BU57" s="80">
        <f t="shared" si="16"/>
        <v>81954.541578068514</v>
      </c>
      <c r="BV57" s="80">
        <f t="shared" si="16"/>
        <v>79941.768794149873</v>
      </c>
      <c r="BW57" s="80">
        <f t="shared" si="16"/>
        <v>88869.282931201902</v>
      </c>
      <c r="BX57" s="80">
        <f t="shared" si="16"/>
        <v>83401.791274776959</v>
      </c>
      <c r="BY57" s="80">
        <f t="shared" si="16"/>
        <v>86379.068646108513</v>
      </c>
      <c r="BZ57" s="80">
        <f t="shared" si="16"/>
        <v>94345.735737236348</v>
      </c>
      <c r="CA57" s="80">
        <f t="shared" si="16"/>
        <v>82929.814870633316</v>
      </c>
      <c r="CB57" s="80">
        <f t="shared" si="16"/>
        <v>85714.899821184765</v>
      </c>
      <c r="CC57" s="80">
        <f t="shared" si="16"/>
        <v>113061.04683446116</v>
      </c>
      <c r="CD57" s="80">
        <f t="shared" si="16"/>
        <v>98959.520763039938</v>
      </c>
      <c r="CE57" s="80">
        <f t="shared" si="16"/>
        <v>67399.04445433915</v>
      </c>
      <c r="CF57" s="80">
        <f t="shared" si="16"/>
        <v>56945.919572393526</v>
      </c>
      <c r="CG57" s="80">
        <f t="shared" si="16"/>
        <v>66062.742240655192</v>
      </c>
      <c r="CH57" s="80">
        <f t="shared" si="16"/>
        <v>69039.767913089323</v>
      </c>
      <c r="CI57" s="80">
        <f t="shared" si="16"/>
        <v>67987.965107261392</v>
      </c>
      <c r="CJ57" s="80">
        <f t="shared" si="16"/>
        <v>63483.31636791514</v>
      </c>
      <c r="CK57" s="80">
        <f t="shared" si="16"/>
        <v>55526.2430382811</v>
      </c>
      <c r="CL57" s="80">
        <f t="shared" si="16"/>
        <v>49104.349841297393</v>
      </c>
      <c r="CM57" s="80">
        <f t="shared" si="16"/>
        <v>64165.371284177665</v>
      </c>
      <c r="CN57" s="80">
        <f t="shared" si="16"/>
        <v>48920.918646594255</v>
      </c>
      <c r="CO57" s="80">
        <f t="shared" si="16"/>
        <v>47678.48864360329</v>
      </c>
      <c r="CP57" s="49"/>
      <c r="CQ57" s="49"/>
      <c r="CR57" s="49"/>
      <c r="CS57" s="49"/>
      <c r="CT57" s="49"/>
      <c r="CU57" s="49"/>
      <c r="CV57" s="49"/>
      <c r="CW57" s="49"/>
      <c r="CX57" s="49"/>
      <c r="CY57" s="49"/>
      <c r="CZ57" s="49"/>
      <c r="DA57" s="49"/>
    </row>
    <row r="58" spans="1:105" x14ac:dyDescent="0.35">
      <c r="A58" s="49"/>
      <c r="B58" s="62" t="s">
        <v>57</v>
      </c>
      <c r="C58" s="81">
        <f>C23</f>
        <v>5000000</v>
      </c>
      <c r="D58" s="81">
        <f t="shared" ref="D58:BO58" si="17">D23</f>
        <v>4985153.4616998695</v>
      </c>
      <c r="E58" s="81">
        <f t="shared" si="17"/>
        <v>5083257.935345551</v>
      </c>
      <c r="F58" s="81">
        <f t="shared" si="17"/>
        <v>5106849.9437727593</v>
      </c>
      <c r="G58" s="81">
        <f t="shared" si="17"/>
        <v>5086904.1660352163</v>
      </c>
      <c r="H58" s="81">
        <f t="shared" si="17"/>
        <v>5122810.9653444933</v>
      </c>
      <c r="I58" s="81">
        <f t="shared" si="17"/>
        <v>5106202.8143232074</v>
      </c>
      <c r="J58" s="81">
        <f t="shared" si="17"/>
        <v>5126070.1259868639</v>
      </c>
      <c r="K58" s="81">
        <f t="shared" si="17"/>
        <v>5192907.4882579716</v>
      </c>
      <c r="L58" s="81">
        <f t="shared" si="17"/>
        <v>5211919.5226743342</v>
      </c>
      <c r="M58" s="81">
        <f t="shared" si="17"/>
        <v>5229071.3636952462</v>
      </c>
      <c r="N58" s="81">
        <f t="shared" si="17"/>
        <v>5212124.237662863</v>
      </c>
      <c r="O58" s="81">
        <f t="shared" si="17"/>
        <v>5261240.5504336087</v>
      </c>
      <c r="P58" s="81">
        <f t="shared" si="17"/>
        <v>5096430.9656624505</v>
      </c>
      <c r="Q58" s="81">
        <f t="shared" si="17"/>
        <v>5020700.3013219507</v>
      </c>
      <c r="R58" s="81">
        <f t="shared" si="17"/>
        <v>5054546.9478488602</v>
      </c>
      <c r="S58" s="81">
        <f t="shared" si="17"/>
        <v>5075577.8197790533</v>
      </c>
      <c r="T58" s="81">
        <f t="shared" si="17"/>
        <v>5088350.2802833635</v>
      </c>
      <c r="U58" s="81">
        <f t="shared" si="17"/>
        <v>5003639.8139518732</v>
      </c>
      <c r="V58" s="81">
        <f t="shared" si="17"/>
        <v>5067339.919102571</v>
      </c>
      <c r="W58" s="81">
        <f t="shared" si="17"/>
        <v>5134996.1381655028</v>
      </c>
      <c r="X58" s="81">
        <f t="shared" si="17"/>
        <v>5200316.9028768437</v>
      </c>
      <c r="Y58" s="81">
        <f t="shared" si="17"/>
        <v>5264148.8145583831</v>
      </c>
      <c r="Z58" s="81">
        <f t="shared" si="17"/>
        <v>5230664.2123134248</v>
      </c>
      <c r="AA58" s="81">
        <f t="shared" si="17"/>
        <v>5187023.7649024269</v>
      </c>
      <c r="AB58" s="81">
        <f t="shared" si="17"/>
        <v>5167674.8320295541</v>
      </c>
      <c r="AC58" s="81">
        <f t="shared" si="17"/>
        <v>5226024.8304868797</v>
      </c>
      <c r="AD58" s="81">
        <f t="shared" si="17"/>
        <v>5176925.5977870636</v>
      </c>
      <c r="AE58" s="81">
        <f t="shared" si="17"/>
        <v>5231982.0438856911</v>
      </c>
      <c r="AF58" s="81">
        <f t="shared" si="17"/>
        <v>5142769.7789619844</v>
      </c>
      <c r="AG58" s="81">
        <f t="shared" si="17"/>
        <v>5163692.6358941589</v>
      </c>
      <c r="AH58" s="81">
        <f t="shared" si="17"/>
        <v>5123451.2776414473</v>
      </c>
      <c r="AI58" s="81">
        <f t="shared" si="17"/>
        <v>5072984.183312946</v>
      </c>
      <c r="AJ58" s="81">
        <f t="shared" si="17"/>
        <v>4902607.5779391928</v>
      </c>
      <c r="AK58" s="81">
        <f t="shared" si="17"/>
        <v>4755619.7188265482</v>
      </c>
      <c r="AL58" s="81">
        <f t="shared" si="17"/>
        <v>4755116.2071039593</v>
      </c>
      <c r="AM58" s="81">
        <f t="shared" si="17"/>
        <v>4545807.7167030098</v>
      </c>
      <c r="AN58" s="81">
        <f t="shared" si="17"/>
        <v>4534036.217996276</v>
      </c>
      <c r="AO58" s="81">
        <f t="shared" si="17"/>
        <v>4705875.0399132855</v>
      </c>
      <c r="AP58" s="81">
        <f t="shared" si="17"/>
        <v>4647982.1912939269</v>
      </c>
      <c r="AQ58" s="81">
        <f t="shared" si="17"/>
        <v>4850180.2818832751</v>
      </c>
      <c r="AR58" s="81">
        <f t="shared" si="17"/>
        <v>4682749.2116211047</v>
      </c>
      <c r="AS58" s="81">
        <f t="shared" si="17"/>
        <v>4624930.4606230771</v>
      </c>
      <c r="AT58" s="81">
        <f t="shared" si="17"/>
        <v>4219029.69079326</v>
      </c>
      <c r="AU58" s="81">
        <f t="shared" si="17"/>
        <v>4508905.1085108975</v>
      </c>
      <c r="AV58" s="81">
        <f t="shared" si="17"/>
        <v>4295099.2442648821</v>
      </c>
      <c r="AW58" s="81">
        <f t="shared" si="17"/>
        <v>3852170.7109054574</v>
      </c>
      <c r="AX58" s="81">
        <f t="shared" si="17"/>
        <v>4169338.7143974132</v>
      </c>
      <c r="AY58" s="81">
        <f t="shared" si="17"/>
        <v>3644356.5444209022</v>
      </c>
      <c r="AZ58" s="81">
        <f t="shared" si="17"/>
        <v>3859983.2079286361</v>
      </c>
      <c r="BA58" s="81">
        <f t="shared" si="17"/>
        <v>3635087.1865103249</v>
      </c>
      <c r="BB58" s="81">
        <f t="shared" si="17"/>
        <v>3720984.8152333358</v>
      </c>
      <c r="BC58" s="81">
        <f t="shared" si="17"/>
        <v>3494052.4600530337</v>
      </c>
      <c r="BD58" s="81">
        <f t="shared" si="17"/>
        <v>3405934.7469391506</v>
      </c>
      <c r="BE58" s="81">
        <f t="shared" si="17"/>
        <v>3736889.5150922327</v>
      </c>
      <c r="BF58" s="81">
        <f t="shared" si="17"/>
        <v>3769055.5220459299</v>
      </c>
      <c r="BG58" s="81">
        <f t="shared" si="17"/>
        <v>3960757.617756098</v>
      </c>
      <c r="BH58" s="81">
        <f t="shared" si="17"/>
        <v>3854452.5468192417</v>
      </c>
      <c r="BI58" s="81">
        <f t="shared" si="17"/>
        <v>3948685.4987802384</v>
      </c>
      <c r="BJ58" s="81">
        <f t="shared" si="17"/>
        <v>3895696.1495231399</v>
      </c>
      <c r="BK58" s="81">
        <f t="shared" si="17"/>
        <v>3719152.2346516727</v>
      </c>
      <c r="BL58" s="81">
        <f t="shared" si="17"/>
        <v>3757089.8834578283</v>
      </c>
      <c r="BM58" s="81">
        <f t="shared" si="17"/>
        <v>3728669.5710037644</v>
      </c>
      <c r="BN58" s="81">
        <f t="shared" si="17"/>
        <v>4026555.8512467551</v>
      </c>
      <c r="BO58" s="81">
        <f t="shared" si="17"/>
        <v>4002677.7598163425</v>
      </c>
      <c r="BP58" s="81">
        <f t="shared" ref="BP58:CO58" si="18">BP23</f>
        <v>4145106.2747279746</v>
      </c>
      <c r="BQ58" s="81">
        <f t="shared" si="18"/>
        <v>4149677.409755012</v>
      </c>
      <c r="BR58" s="81">
        <f t="shared" si="18"/>
        <v>4112813.9800346387</v>
      </c>
      <c r="BS58" s="81">
        <f t="shared" si="18"/>
        <v>4275196.4258756312</v>
      </c>
      <c r="BT58" s="81">
        <f t="shared" si="18"/>
        <v>4160729.367865283</v>
      </c>
      <c r="BU58" s="81">
        <f t="shared" si="18"/>
        <v>4192431.0013471302</v>
      </c>
      <c r="BV58" s="81">
        <f t="shared" si="18"/>
        <v>4283296.0937453816</v>
      </c>
      <c r="BW58" s="81">
        <f t="shared" si="18"/>
        <v>4205785.8498297306</v>
      </c>
      <c r="BX58" s="81">
        <f t="shared" si="18"/>
        <v>4074269.3845052575</v>
      </c>
      <c r="BY58" s="81">
        <f t="shared" si="18"/>
        <v>4189610.744471068</v>
      </c>
      <c r="BZ58" s="81">
        <f t="shared" si="18"/>
        <v>4168248.4197767959</v>
      </c>
      <c r="CA58" s="81">
        <f t="shared" si="18"/>
        <v>4252384.360106281</v>
      </c>
      <c r="CB58" s="81">
        <f t="shared" si="18"/>
        <v>4317514.7788926782</v>
      </c>
      <c r="CC58" s="81">
        <f t="shared" si="18"/>
        <v>4209384.9687366653</v>
      </c>
      <c r="CD58" s="81">
        <f t="shared" si="18"/>
        <v>4360918.4760454483</v>
      </c>
      <c r="CE58" s="81">
        <f t="shared" si="18"/>
        <v>4393636.3736937186</v>
      </c>
      <c r="CF58" s="81">
        <f t="shared" si="18"/>
        <v>4290589.4508611327</v>
      </c>
      <c r="CG58" s="81">
        <f t="shared" si="18"/>
        <v>4263618.025915904</v>
      </c>
      <c r="CH58" s="81">
        <f t="shared" si="18"/>
        <v>4335589.5227872329</v>
      </c>
      <c r="CI58" s="81">
        <f t="shared" si="18"/>
        <v>4299225.6605749819</v>
      </c>
      <c r="CJ58" s="81">
        <f t="shared" si="18"/>
        <v>4342050.6310774023</v>
      </c>
      <c r="CK58" s="81">
        <f t="shared" si="18"/>
        <v>4417048.1440775152</v>
      </c>
      <c r="CL58" s="81">
        <f t="shared" si="18"/>
        <v>4419836.766186255</v>
      </c>
      <c r="CM58" s="81">
        <f t="shared" si="18"/>
        <v>4302391.6031197021</v>
      </c>
      <c r="CN58" s="81">
        <f t="shared" si="18"/>
        <v>4294791.0538379485</v>
      </c>
      <c r="CO58" s="81">
        <f t="shared" si="18"/>
        <v>4305353.8016581656</v>
      </c>
      <c r="CP58" s="49"/>
      <c r="CQ58" s="49"/>
      <c r="CR58" s="49"/>
      <c r="CS58" s="49"/>
      <c r="CT58" s="49"/>
      <c r="CU58" s="49"/>
      <c r="CV58" s="49"/>
      <c r="CW58" s="49"/>
      <c r="CX58" s="49"/>
      <c r="CY58" s="49"/>
      <c r="CZ58" s="49"/>
      <c r="DA58" s="49"/>
    </row>
    <row r="59" spans="1:105" ht="18" x14ac:dyDescent="0.4">
      <c r="A59" s="49"/>
      <c r="B59" s="62" t="s">
        <v>54</v>
      </c>
      <c r="C59" s="82">
        <f>C57+C58</f>
        <v>5000000</v>
      </c>
      <c r="D59" s="82">
        <f t="shared" ref="D59:BO59" si="19">D57+D58</f>
        <v>4983522.2290923987</v>
      </c>
      <c r="E59" s="82">
        <f t="shared" si="19"/>
        <v>5053818.8647512225</v>
      </c>
      <c r="F59" s="82">
        <f t="shared" si="19"/>
        <v>5073086.4317267379</v>
      </c>
      <c r="G59" s="82">
        <f t="shared" si="19"/>
        <v>5056515.0003150664</v>
      </c>
      <c r="H59" s="82">
        <f t="shared" si="19"/>
        <v>5089829.8510407722</v>
      </c>
      <c r="I59" s="82">
        <f t="shared" si="19"/>
        <v>5092953.6047185222</v>
      </c>
      <c r="J59" s="82">
        <f t="shared" si="19"/>
        <v>5095410.8425303688</v>
      </c>
      <c r="K59" s="82">
        <f t="shared" si="19"/>
        <v>5148880.5710722692</v>
      </c>
      <c r="L59" s="82">
        <f t="shared" si="19"/>
        <v>5170497.0742517794</v>
      </c>
      <c r="M59" s="82">
        <f t="shared" si="19"/>
        <v>5181017.315653435</v>
      </c>
      <c r="N59" s="82">
        <f t="shared" si="19"/>
        <v>5173408.8606500784</v>
      </c>
      <c r="O59" s="82">
        <f t="shared" si="19"/>
        <v>5204157.721396069</v>
      </c>
      <c r="P59" s="82">
        <f t="shared" si="19"/>
        <v>5090050.4582569217</v>
      </c>
      <c r="Q59" s="82">
        <f t="shared" si="19"/>
        <v>4999992.5923492583</v>
      </c>
      <c r="R59" s="82">
        <f t="shared" si="19"/>
        <v>5059912.0033122804</v>
      </c>
      <c r="S59" s="82">
        <f t="shared" si="19"/>
        <v>5067578.2234861478</v>
      </c>
      <c r="T59" s="82">
        <f t="shared" si="19"/>
        <v>5064101.7311271569</v>
      </c>
      <c r="U59" s="82">
        <f t="shared" si="19"/>
        <v>4977954.7364258775</v>
      </c>
      <c r="V59" s="82">
        <f t="shared" si="19"/>
        <v>5041372.5092667341</v>
      </c>
      <c r="W59" s="82">
        <f t="shared" si="19"/>
        <v>5104899.7064453391</v>
      </c>
      <c r="X59" s="82">
        <f t="shared" si="19"/>
        <v>5158590.9822096797</v>
      </c>
      <c r="Y59" s="82">
        <f t="shared" si="19"/>
        <v>5213679.1722780028</v>
      </c>
      <c r="Z59" s="82">
        <f t="shared" si="19"/>
        <v>5191259.8165467959</v>
      </c>
      <c r="AA59" s="82">
        <f t="shared" si="19"/>
        <v>5177529.6564684464</v>
      </c>
      <c r="AB59" s="82">
        <f t="shared" si="19"/>
        <v>5166743.5830735387</v>
      </c>
      <c r="AC59" s="82">
        <f t="shared" si="19"/>
        <v>5227117.912184773</v>
      </c>
      <c r="AD59" s="82">
        <f t="shared" si="19"/>
        <v>5176774.0677466793</v>
      </c>
      <c r="AE59" s="82">
        <f t="shared" si="19"/>
        <v>5229624.6466766307</v>
      </c>
      <c r="AF59" s="82">
        <f t="shared" si="19"/>
        <v>5167046.6747290324</v>
      </c>
      <c r="AG59" s="82">
        <f t="shared" si="19"/>
        <v>5194799.0429401333</v>
      </c>
      <c r="AH59" s="82">
        <f t="shared" si="19"/>
        <v>5171191.454438651</v>
      </c>
      <c r="AI59" s="82">
        <f t="shared" si="19"/>
        <v>5112557.4364361037</v>
      </c>
      <c r="AJ59" s="82">
        <f t="shared" si="19"/>
        <v>4933437.876675982</v>
      </c>
      <c r="AK59" s="82">
        <f t="shared" si="19"/>
        <v>4793662.673954363</v>
      </c>
      <c r="AL59" s="82">
        <f t="shared" si="19"/>
        <v>4776151.5552853607</v>
      </c>
      <c r="AM59" s="82">
        <f t="shared" si="19"/>
        <v>4565406.0227261661</v>
      </c>
      <c r="AN59" s="82">
        <f t="shared" si="19"/>
        <v>4557579.3319966961</v>
      </c>
      <c r="AO59" s="82">
        <f t="shared" si="19"/>
        <v>4727020.1741220159</v>
      </c>
      <c r="AP59" s="82">
        <f t="shared" si="19"/>
        <v>4651546.6480822414</v>
      </c>
      <c r="AQ59" s="82">
        <f t="shared" si="19"/>
        <v>4845774.5449266331</v>
      </c>
      <c r="AR59" s="82">
        <f t="shared" si="19"/>
        <v>4672680.0188073739</v>
      </c>
      <c r="AS59" s="82">
        <f t="shared" si="19"/>
        <v>4613618.0887640798</v>
      </c>
      <c r="AT59" s="82">
        <f t="shared" si="19"/>
        <v>4217427.2375175115</v>
      </c>
      <c r="AU59" s="82">
        <f t="shared" si="19"/>
        <v>4488765.7827620097</v>
      </c>
      <c r="AV59" s="82">
        <f t="shared" si="19"/>
        <v>4268721.6513326755</v>
      </c>
      <c r="AW59" s="82">
        <f t="shared" si="19"/>
        <v>3850873.2512945239</v>
      </c>
      <c r="AX59" s="82">
        <f t="shared" si="19"/>
        <v>4167566.5537374606</v>
      </c>
      <c r="AY59" s="82">
        <f t="shared" si="19"/>
        <v>3664779.7392072249</v>
      </c>
      <c r="AZ59" s="82">
        <f t="shared" si="19"/>
        <v>3892418.098007815</v>
      </c>
      <c r="BA59" s="82">
        <f t="shared" si="19"/>
        <v>3671464.4832478203</v>
      </c>
      <c r="BB59" s="82">
        <f t="shared" si="19"/>
        <v>3735563.4413877721</v>
      </c>
      <c r="BC59" s="82">
        <f t="shared" si="19"/>
        <v>3528133.0170595478</v>
      </c>
      <c r="BD59" s="82">
        <f t="shared" si="19"/>
        <v>3444725.5283938278</v>
      </c>
      <c r="BE59" s="82">
        <f t="shared" si="19"/>
        <v>3775204.2110644658</v>
      </c>
      <c r="BF59" s="82">
        <f t="shared" si="19"/>
        <v>3811311.662099394</v>
      </c>
      <c r="BG59" s="82">
        <f t="shared" si="19"/>
        <v>4021743.2392683979</v>
      </c>
      <c r="BH59" s="82">
        <f t="shared" si="19"/>
        <v>3907471.3899834477</v>
      </c>
      <c r="BI59" s="82">
        <f t="shared" si="19"/>
        <v>4015630.877459846</v>
      </c>
      <c r="BJ59" s="82">
        <f t="shared" si="19"/>
        <v>3951218.5893335901</v>
      </c>
      <c r="BK59" s="82">
        <f t="shared" si="19"/>
        <v>3785143.5541514647</v>
      </c>
      <c r="BL59" s="82">
        <f t="shared" si="19"/>
        <v>3841421.9635637505</v>
      </c>
      <c r="BM59" s="82">
        <f t="shared" si="19"/>
        <v>3817132.223548729</v>
      </c>
      <c r="BN59" s="82">
        <f t="shared" si="19"/>
        <v>4089580.4678248465</v>
      </c>
      <c r="BO59" s="82">
        <f t="shared" si="19"/>
        <v>4063113.7147717676</v>
      </c>
      <c r="BP59" s="82">
        <f t="shared" ref="BP59:CO59" si="20">BP57+BP58</f>
        <v>4216200.8467411194</v>
      </c>
      <c r="BQ59" s="82">
        <f t="shared" si="20"/>
        <v>4231429.7484401744</v>
      </c>
      <c r="BR59" s="82">
        <f t="shared" si="20"/>
        <v>4196776.5240012398</v>
      </c>
      <c r="BS59" s="82">
        <f t="shared" si="20"/>
        <v>4351194.9761302415</v>
      </c>
      <c r="BT59" s="82">
        <f t="shared" si="20"/>
        <v>4230876.0920021366</v>
      </c>
      <c r="BU59" s="82">
        <f t="shared" si="20"/>
        <v>4274385.5429251986</v>
      </c>
      <c r="BV59" s="82">
        <f t="shared" si="20"/>
        <v>4363237.8625395317</v>
      </c>
      <c r="BW59" s="82">
        <f t="shared" si="20"/>
        <v>4294655.1327609327</v>
      </c>
      <c r="BX59" s="82">
        <f t="shared" si="20"/>
        <v>4157671.1757800346</v>
      </c>
      <c r="BY59" s="82">
        <f t="shared" si="20"/>
        <v>4275989.8131171763</v>
      </c>
      <c r="BZ59" s="82">
        <f t="shared" si="20"/>
        <v>4262594.1555140326</v>
      </c>
      <c r="CA59" s="82">
        <f t="shared" si="20"/>
        <v>4335314.1749769142</v>
      </c>
      <c r="CB59" s="82">
        <f t="shared" si="20"/>
        <v>4403229.6787138628</v>
      </c>
      <c r="CC59" s="82">
        <f t="shared" si="20"/>
        <v>4322446.0155711267</v>
      </c>
      <c r="CD59" s="82">
        <f t="shared" si="20"/>
        <v>4459877.9968084879</v>
      </c>
      <c r="CE59" s="82">
        <f t="shared" si="20"/>
        <v>4461035.4181480575</v>
      </c>
      <c r="CF59" s="82">
        <f t="shared" si="20"/>
        <v>4347535.3704335261</v>
      </c>
      <c r="CG59" s="82">
        <f t="shared" si="20"/>
        <v>4329680.7681565592</v>
      </c>
      <c r="CH59" s="82">
        <f t="shared" si="20"/>
        <v>4404629.290700322</v>
      </c>
      <c r="CI59" s="82">
        <f t="shared" si="20"/>
        <v>4367213.6256822431</v>
      </c>
      <c r="CJ59" s="82">
        <f t="shared" si="20"/>
        <v>4405533.9474453172</v>
      </c>
      <c r="CK59" s="82">
        <f t="shared" si="20"/>
        <v>4472574.3871157961</v>
      </c>
      <c r="CL59" s="82">
        <f t="shared" si="20"/>
        <v>4468941.1160275526</v>
      </c>
      <c r="CM59" s="82">
        <f t="shared" si="20"/>
        <v>4366556.9744038796</v>
      </c>
      <c r="CN59" s="82">
        <f t="shared" si="20"/>
        <v>4343711.972484543</v>
      </c>
      <c r="CO59" s="82">
        <f t="shared" si="20"/>
        <v>4353032.290301769</v>
      </c>
      <c r="CP59" s="49"/>
      <c r="CQ59" s="49"/>
      <c r="CR59" s="49"/>
      <c r="CS59" s="49"/>
      <c r="CT59" s="49"/>
      <c r="CU59" s="49"/>
      <c r="CV59" s="49"/>
      <c r="CW59" s="49"/>
      <c r="CX59" s="49"/>
      <c r="CY59" s="49"/>
      <c r="CZ59" s="49"/>
      <c r="DA59" s="49"/>
    </row>
    <row r="60" spans="1:105" x14ac:dyDescent="0.35">
      <c r="A60" s="49"/>
      <c r="B60" s="50"/>
      <c r="C60" s="49"/>
      <c r="D60" s="49"/>
      <c r="E60" s="49"/>
      <c r="F60" s="49"/>
      <c r="G60" s="49"/>
      <c r="H60" s="49"/>
      <c r="I60" s="49"/>
      <c r="J60" s="49"/>
      <c r="K60" s="49"/>
      <c r="L60" s="49"/>
      <c r="M60" s="49"/>
      <c r="N60" s="49"/>
      <c r="O60" s="49"/>
      <c r="P60" s="49"/>
      <c r="Q60" s="49"/>
      <c r="R60" s="49"/>
      <c r="S60" s="49"/>
      <c r="T60" s="49"/>
      <c r="U60" s="49"/>
      <c r="V60" s="49"/>
      <c r="W60" s="49"/>
      <c r="X60" s="49"/>
      <c r="Y60" s="49"/>
      <c r="Z60" s="49"/>
      <c r="AA60" s="49"/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9"/>
      <c r="AN60" s="49"/>
      <c r="AO60" s="49"/>
      <c r="AP60" s="49"/>
      <c r="AQ60" s="49"/>
      <c r="AR60" s="49"/>
      <c r="AS60" s="49"/>
      <c r="AT60" s="49"/>
      <c r="AU60" s="49"/>
      <c r="AV60" s="49"/>
      <c r="AW60" s="49"/>
      <c r="AX60" s="49"/>
      <c r="AY60" s="49"/>
      <c r="AZ60" s="49"/>
      <c r="BA60" s="49"/>
      <c r="BB60" s="49"/>
      <c r="BC60" s="49"/>
      <c r="BD60" s="49"/>
      <c r="BE60" s="49"/>
      <c r="BF60" s="49"/>
      <c r="BG60" s="49"/>
      <c r="BH60" s="49"/>
      <c r="BI60" s="49"/>
      <c r="BJ60" s="49"/>
      <c r="BK60" s="49"/>
      <c r="BL60" s="49"/>
      <c r="BM60" s="49"/>
      <c r="BN60" s="49"/>
      <c r="BO60" s="49"/>
      <c r="BP60" s="49"/>
      <c r="BQ60" s="49"/>
      <c r="BR60" s="49"/>
      <c r="BS60" s="49"/>
      <c r="BT60" s="49"/>
      <c r="BU60" s="49"/>
      <c r="BV60" s="49"/>
      <c r="BW60" s="49"/>
      <c r="BX60" s="49"/>
      <c r="BY60" s="49"/>
      <c r="BZ60" s="49"/>
      <c r="CA60" s="49"/>
      <c r="CB60" s="49"/>
      <c r="CC60" s="49"/>
      <c r="CD60" s="49"/>
      <c r="CE60" s="49"/>
      <c r="CF60" s="49"/>
      <c r="CG60" s="49"/>
      <c r="CH60" s="49"/>
      <c r="CI60" s="49"/>
      <c r="CJ60" s="49"/>
      <c r="CK60" s="49"/>
      <c r="CL60" s="49"/>
      <c r="CM60" s="49"/>
      <c r="CN60" s="49"/>
      <c r="CO60" s="49"/>
      <c r="CP60" s="49"/>
      <c r="CQ60" s="49"/>
      <c r="CR60" s="49"/>
      <c r="CS60" s="49"/>
      <c r="CT60" s="49"/>
      <c r="CU60" s="49"/>
      <c r="CV60" s="49"/>
      <c r="CW60" s="49"/>
      <c r="CX60" s="49"/>
      <c r="CY60" s="49"/>
      <c r="CZ60" s="49"/>
      <c r="DA60" s="49"/>
    </row>
    <row r="61" spans="1:105" ht="18" x14ac:dyDescent="0.4">
      <c r="A61" s="49"/>
      <c r="B61" s="61" t="s">
        <v>48</v>
      </c>
      <c r="C61" s="49"/>
      <c r="D61" s="49"/>
      <c r="E61" s="49"/>
      <c r="F61" s="49"/>
      <c r="G61" s="49"/>
      <c r="H61" s="49"/>
      <c r="I61" s="49"/>
      <c r="J61" s="49"/>
      <c r="K61" s="49"/>
      <c r="L61" s="49"/>
      <c r="M61" s="49"/>
      <c r="N61" s="49"/>
      <c r="O61" s="49"/>
      <c r="P61" s="49"/>
      <c r="Q61" s="49"/>
      <c r="R61" s="49"/>
      <c r="S61" s="49"/>
      <c r="T61" s="49"/>
      <c r="U61" s="49"/>
      <c r="V61" s="49"/>
      <c r="W61" s="49"/>
      <c r="X61" s="49"/>
      <c r="Y61" s="49"/>
      <c r="Z61" s="49"/>
      <c r="AA61" s="49"/>
      <c r="AB61" s="49"/>
      <c r="AC61" s="49"/>
      <c r="AD61" s="49"/>
      <c r="AE61" s="49"/>
      <c r="AF61" s="49"/>
      <c r="AG61" s="49"/>
      <c r="AH61" s="49"/>
      <c r="AI61" s="49"/>
      <c r="AJ61" s="49"/>
      <c r="AK61" s="49"/>
      <c r="AL61" s="49"/>
      <c r="AM61" s="49"/>
      <c r="AN61" s="49"/>
      <c r="AO61" s="49"/>
      <c r="AP61" s="49"/>
      <c r="AQ61" s="49"/>
      <c r="AR61" s="49"/>
      <c r="AS61" s="49"/>
      <c r="AT61" s="49"/>
      <c r="AU61" s="49"/>
      <c r="AV61" s="49"/>
      <c r="AW61" s="49"/>
      <c r="AX61" s="49"/>
      <c r="AY61" s="49"/>
      <c r="AZ61" s="49"/>
      <c r="BA61" s="49"/>
      <c r="BB61" s="49"/>
      <c r="BC61" s="49"/>
      <c r="BD61" s="49"/>
      <c r="BE61" s="49"/>
      <c r="BF61" s="49"/>
      <c r="BG61" s="49"/>
      <c r="BH61" s="49"/>
      <c r="BI61" s="49"/>
      <c r="BJ61" s="49"/>
      <c r="BK61" s="49"/>
      <c r="BL61" s="49"/>
      <c r="BM61" s="49"/>
      <c r="BN61" s="49"/>
      <c r="BO61" s="49"/>
      <c r="BP61" s="49"/>
      <c r="BQ61" s="49"/>
      <c r="BR61" s="49"/>
      <c r="BS61" s="49"/>
      <c r="BT61" s="49"/>
      <c r="BU61" s="49"/>
      <c r="BV61" s="49"/>
      <c r="BW61" s="49"/>
      <c r="BX61" s="49"/>
      <c r="BY61" s="49"/>
      <c r="BZ61" s="49"/>
      <c r="CA61" s="49"/>
      <c r="CB61" s="49"/>
      <c r="CC61" s="49"/>
      <c r="CD61" s="49"/>
      <c r="CE61" s="49"/>
      <c r="CF61" s="49"/>
      <c r="CG61" s="49"/>
      <c r="CH61" s="49"/>
      <c r="CI61" s="49"/>
      <c r="CJ61" s="49"/>
      <c r="CK61" s="49"/>
      <c r="CL61" s="49"/>
      <c r="CM61" s="49"/>
      <c r="CN61" s="49"/>
      <c r="CO61" s="49"/>
      <c r="CP61" s="49"/>
      <c r="CQ61" s="49"/>
      <c r="CR61" s="49"/>
      <c r="CS61" s="49"/>
      <c r="CT61" s="49"/>
      <c r="CU61" s="49"/>
      <c r="CV61" s="49"/>
      <c r="CW61" s="49"/>
      <c r="CX61" s="49"/>
      <c r="CY61" s="49"/>
      <c r="CZ61" s="49"/>
      <c r="DA61" s="49"/>
    </row>
    <row r="62" spans="1:105" ht="18" x14ac:dyDescent="0.4">
      <c r="A62" s="49"/>
      <c r="B62" s="66" t="s">
        <v>43</v>
      </c>
      <c r="C62" s="67">
        <v>0</v>
      </c>
      <c r="D62" s="67">
        <v>1</v>
      </c>
      <c r="E62" s="67">
        <v>2</v>
      </c>
      <c r="F62" s="67">
        <v>3</v>
      </c>
      <c r="G62" s="67">
        <v>4</v>
      </c>
      <c r="H62" s="67">
        <v>5</v>
      </c>
      <c r="I62" s="67">
        <v>6</v>
      </c>
      <c r="J62" s="67">
        <v>7</v>
      </c>
      <c r="K62" s="67">
        <v>8</v>
      </c>
      <c r="L62" s="67">
        <v>9</v>
      </c>
      <c r="M62" s="67">
        <v>10</v>
      </c>
      <c r="N62" s="67">
        <v>11</v>
      </c>
      <c r="O62" s="67">
        <v>12</v>
      </c>
      <c r="P62" s="67">
        <v>13</v>
      </c>
      <c r="Q62" s="67">
        <v>14</v>
      </c>
      <c r="R62" s="67">
        <v>15</v>
      </c>
      <c r="S62" s="67">
        <v>16</v>
      </c>
      <c r="T62" s="67">
        <v>17</v>
      </c>
      <c r="U62" s="67">
        <v>18</v>
      </c>
      <c r="V62" s="67">
        <v>19</v>
      </c>
      <c r="W62" s="67">
        <v>20</v>
      </c>
      <c r="X62" s="67">
        <v>21</v>
      </c>
      <c r="Y62" s="67">
        <v>22</v>
      </c>
      <c r="Z62" s="67">
        <v>23</v>
      </c>
      <c r="AA62" s="67">
        <v>24</v>
      </c>
      <c r="AB62" s="67">
        <v>25</v>
      </c>
      <c r="AC62" s="67">
        <v>26</v>
      </c>
      <c r="AD62" s="67">
        <v>27</v>
      </c>
      <c r="AE62" s="67">
        <v>28</v>
      </c>
      <c r="AF62" s="67">
        <v>29</v>
      </c>
      <c r="AG62" s="67">
        <v>30</v>
      </c>
      <c r="AH62" s="67">
        <v>31</v>
      </c>
      <c r="AI62" s="67">
        <v>32</v>
      </c>
      <c r="AJ62" s="67">
        <v>33</v>
      </c>
      <c r="AK62" s="67">
        <v>34</v>
      </c>
      <c r="AL62" s="67">
        <v>35</v>
      </c>
      <c r="AM62" s="67">
        <v>36</v>
      </c>
      <c r="AN62" s="67">
        <v>37</v>
      </c>
      <c r="AO62" s="67">
        <v>38</v>
      </c>
      <c r="AP62" s="67">
        <v>39</v>
      </c>
      <c r="AQ62" s="67">
        <v>40</v>
      </c>
      <c r="AR62" s="67">
        <v>41</v>
      </c>
      <c r="AS62" s="67">
        <v>42</v>
      </c>
      <c r="AT62" s="67">
        <v>43</v>
      </c>
      <c r="AU62" s="67">
        <v>44</v>
      </c>
      <c r="AV62" s="67">
        <v>45</v>
      </c>
      <c r="AW62" s="67">
        <v>46</v>
      </c>
      <c r="AX62" s="67">
        <v>47</v>
      </c>
      <c r="AY62" s="67">
        <v>48</v>
      </c>
      <c r="AZ62" s="67">
        <v>49</v>
      </c>
      <c r="BA62" s="67">
        <v>50</v>
      </c>
      <c r="BB62" s="67">
        <v>51</v>
      </c>
      <c r="BC62" s="67">
        <v>52</v>
      </c>
      <c r="BD62" s="67">
        <v>53</v>
      </c>
      <c r="BE62" s="67">
        <v>54</v>
      </c>
      <c r="BF62" s="67">
        <v>55</v>
      </c>
      <c r="BG62" s="67">
        <v>56</v>
      </c>
      <c r="BH62" s="67">
        <v>57</v>
      </c>
      <c r="BI62" s="67">
        <v>58</v>
      </c>
      <c r="BJ62" s="67">
        <v>59</v>
      </c>
      <c r="BK62" s="67">
        <v>60</v>
      </c>
      <c r="BL62" s="67">
        <v>61</v>
      </c>
      <c r="BM62" s="67">
        <v>62</v>
      </c>
      <c r="BN62" s="67">
        <v>63</v>
      </c>
      <c r="BO62" s="67">
        <v>64</v>
      </c>
      <c r="BP62" s="67">
        <v>65</v>
      </c>
      <c r="BQ62" s="67">
        <v>66</v>
      </c>
      <c r="BR62" s="67">
        <v>67</v>
      </c>
      <c r="BS62" s="67">
        <v>68</v>
      </c>
      <c r="BT62" s="67">
        <v>69</v>
      </c>
      <c r="BU62" s="67">
        <v>70</v>
      </c>
      <c r="BV62" s="67">
        <v>71</v>
      </c>
      <c r="BW62" s="67">
        <v>72</v>
      </c>
      <c r="BX62" s="67">
        <v>73</v>
      </c>
      <c r="BY62" s="67">
        <v>74</v>
      </c>
      <c r="BZ62" s="67">
        <v>75</v>
      </c>
      <c r="CA62" s="67">
        <v>76</v>
      </c>
      <c r="CB62" s="67">
        <v>77</v>
      </c>
      <c r="CC62" s="67">
        <v>78</v>
      </c>
      <c r="CD62" s="67">
        <v>79</v>
      </c>
      <c r="CE62" s="67">
        <v>80</v>
      </c>
      <c r="CF62" s="67">
        <v>81</v>
      </c>
      <c r="CG62" s="67">
        <v>82</v>
      </c>
      <c r="CH62" s="67">
        <v>83</v>
      </c>
      <c r="CI62" s="67">
        <v>84</v>
      </c>
      <c r="CJ62" s="67">
        <v>85</v>
      </c>
      <c r="CK62" s="67">
        <v>86</v>
      </c>
      <c r="CL62" s="67">
        <v>87</v>
      </c>
      <c r="CM62" s="67">
        <v>88</v>
      </c>
      <c r="CN62" s="67">
        <v>89</v>
      </c>
      <c r="CO62" s="67">
        <v>90</v>
      </c>
      <c r="CP62" s="49"/>
      <c r="CQ62" s="49"/>
      <c r="CR62" s="49"/>
      <c r="CS62" s="49"/>
      <c r="CT62" s="49"/>
      <c r="CU62" s="49"/>
      <c r="CV62" s="49"/>
      <c r="CW62" s="49"/>
      <c r="CX62" s="49"/>
      <c r="CY62" s="49"/>
      <c r="CZ62" s="49"/>
      <c r="DA62" s="49"/>
    </row>
    <row r="63" spans="1:105" ht="18" x14ac:dyDescent="0.4">
      <c r="A63" s="49"/>
      <c r="B63" s="62" t="s">
        <v>67</v>
      </c>
      <c r="C63" s="65">
        <f t="shared" ref="C63:AH63" si="21">C59/$C$135*100</f>
        <v>100</v>
      </c>
      <c r="D63" s="65">
        <f t="shared" si="21"/>
        <v>99.670444581847974</v>
      </c>
      <c r="E63" s="65">
        <f t="shared" si="21"/>
        <v>101.07637729502446</v>
      </c>
      <c r="F63" s="65">
        <f t="shared" si="21"/>
        <v>101.46172863453475</v>
      </c>
      <c r="G63" s="65">
        <f t="shared" si="21"/>
        <v>101.13030000630133</v>
      </c>
      <c r="H63" s="65">
        <f t="shared" si="21"/>
        <v>101.79659702081545</v>
      </c>
      <c r="I63" s="65">
        <f t="shared" si="21"/>
        <v>101.85907209437045</v>
      </c>
      <c r="J63" s="65">
        <f t="shared" si="21"/>
        <v>101.90821685060737</v>
      </c>
      <c r="K63" s="65">
        <f t="shared" si="21"/>
        <v>102.97761142144539</v>
      </c>
      <c r="L63" s="65">
        <f t="shared" si="21"/>
        <v>103.40994148503559</v>
      </c>
      <c r="M63" s="65">
        <f t="shared" si="21"/>
        <v>103.62034631306869</v>
      </c>
      <c r="N63" s="65">
        <f t="shared" si="21"/>
        <v>103.46817721300157</v>
      </c>
      <c r="O63" s="65">
        <f t="shared" si="21"/>
        <v>104.08315442792137</v>
      </c>
      <c r="P63" s="65">
        <f t="shared" si="21"/>
        <v>101.80100916513844</v>
      </c>
      <c r="Q63" s="65">
        <f t="shared" si="21"/>
        <v>99.999851846985166</v>
      </c>
      <c r="R63" s="65">
        <f t="shared" si="21"/>
        <v>101.1982400662456</v>
      </c>
      <c r="S63" s="65">
        <f t="shared" si="21"/>
        <v>101.35156446972296</v>
      </c>
      <c r="T63" s="65">
        <f t="shared" si="21"/>
        <v>101.28203462254312</v>
      </c>
      <c r="U63" s="65">
        <f t="shared" si="21"/>
        <v>99.55909472851755</v>
      </c>
      <c r="V63" s="65">
        <f t="shared" si="21"/>
        <v>100.82745018533468</v>
      </c>
      <c r="W63" s="65">
        <f t="shared" si="21"/>
        <v>102.09799412890679</v>
      </c>
      <c r="X63" s="65">
        <f t="shared" si="21"/>
        <v>103.17181964419359</v>
      </c>
      <c r="Y63" s="65">
        <f t="shared" si="21"/>
        <v>104.27358344556006</v>
      </c>
      <c r="Z63" s="65">
        <f t="shared" si="21"/>
        <v>103.82519633093592</v>
      </c>
      <c r="AA63" s="65">
        <f t="shared" si="21"/>
        <v>103.55059312936892</v>
      </c>
      <c r="AB63" s="65">
        <f t="shared" si="21"/>
        <v>103.33487166147077</v>
      </c>
      <c r="AC63" s="65">
        <f t="shared" si="21"/>
        <v>104.54235824369546</v>
      </c>
      <c r="AD63" s="65">
        <f t="shared" si="21"/>
        <v>103.53548135493358</v>
      </c>
      <c r="AE63" s="65">
        <f t="shared" si="21"/>
        <v>104.59249293353261</v>
      </c>
      <c r="AF63" s="65">
        <f t="shared" si="21"/>
        <v>103.34093349458064</v>
      </c>
      <c r="AG63" s="65">
        <f t="shared" si="21"/>
        <v>103.89598085880267</v>
      </c>
      <c r="AH63" s="65">
        <f t="shared" si="21"/>
        <v>103.423829088773</v>
      </c>
      <c r="AI63" s="65">
        <f t="shared" ref="AI63:BN63" si="22">AI59/$C$135*100</f>
        <v>102.25114872872207</v>
      </c>
      <c r="AJ63" s="65">
        <f t="shared" si="22"/>
        <v>98.668757533519639</v>
      </c>
      <c r="AK63" s="65">
        <f t="shared" si="22"/>
        <v>95.873253479087268</v>
      </c>
      <c r="AL63" s="65">
        <f t="shared" si="22"/>
        <v>95.523031105707219</v>
      </c>
      <c r="AM63" s="65">
        <f t="shared" si="22"/>
        <v>91.308120454523319</v>
      </c>
      <c r="AN63" s="65">
        <f t="shared" si="22"/>
        <v>91.151586639933925</v>
      </c>
      <c r="AO63" s="65">
        <f t="shared" si="22"/>
        <v>94.540403482440311</v>
      </c>
      <c r="AP63" s="65">
        <f t="shared" si="22"/>
        <v>93.030932961644837</v>
      </c>
      <c r="AQ63" s="65">
        <f t="shared" si="22"/>
        <v>96.915490898532667</v>
      </c>
      <c r="AR63" s="65">
        <f t="shared" si="22"/>
        <v>93.453600376147477</v>
      </c>
      <c r="AS63" s="65">
        <f t="shared" si="22"/>
        <v>92.272361775281595</v>
      </c>
      <c r="AT63" s="65">
        <f t="shared" si="22"/>
        <v>84.348544750350229</v>
      </c>
      <c r="AU63" s="65">
        <f t="shared" si="22"/>
        <v>89.775315655240192</v>
      </c>
      <c r="AV63" s="65">
        <f t="shared" si="22"/>
        <v>85.374433026653506</v>
      </c>
      <c r="AW63" s="65">
        <f t="shared" si="22"/>
        <v>77.017465025890473</v>
      </c>
      <c r="AX63" s="65">
        <f t="shared" si="22"/>
        <v>83.351331074749211</v>
      </c>
      <c r="AY63" s="65">
        <f t="shared" si="22"/>
        <v>73.295594784144498</v>
      </c>
      <c r="AZ63" s="65">
        <f t="shared" si="22"/>
        <v>77.848361960156296</v>
      </c>
      <c r="BA63" s="65">
        <f t="shared" si="22"/>
        <v>73.429289664956414</v>
      </c>
      <c r="BB63" s="65">
        <f t="shared" si="22"/>
        <v>74.711268827755433</v>
      </c>
      <c r="BC63" s="65">
        <f t="shared" si="22"/>
        <v>70.562660341190949</v>
      </c>
      <c r="BD63" s="65">
        <f t="shared" si="22"/>
        <v>68.894510567876551</v>
      </c>
      <c r="BE63" s="65">
        <f t="shared" si="22"/>
        <v>75.504084221289318</v>
      </c>
      <c r="BF63" s="65">
        <f t="shared" si="22"/>
        <v>76.226233241987885</v>
      </c>
      <c r="BG63" s="65">
        <f t="shared" si="22"/>
        <v>80.434864785367949</v>
      </c>
      <c r="BH63" s="65">
        <f t="shared" si="22"/>
        <v>78.149427799668956</v>
      </c>
      <c r="BI63" s="65">
        <f t="shared" si="22"/>
        <v>80.312617549196915</v>
      </c>
      <c r="BJ63" s="65">
        <f t="shared" si="22"/>
        <v>79.024371786671793</v>
      </c>
      <c r="BK63" s="65">
        <f t="shared" si="22"/>
        <v>75.702871083029294</v>
      </c>
      <c r="BL63" s="65">
        <f t="shared" si="22"/>
        <v>76.828439271275002</v>
      </c>
      <c r="BM63" s="65">
        <f t="shared" si="22"/>
        <v>76.342644470974577</v>
      </c>
      <c r="BN63" s="65">
        <f t="shared" si="22"/>
        <v>81.791609356496934</v>
      </c>
      <c r="BO63" s="65">
        <f t="shared" ref="BO63:CO63" si="23">BO59/$C$135*100</f>
        <v>81.262274295435361</v>
      </c>
      <c r="BP63" s="65">
        <f t="shared" si="23"/>
        <v>84.324016934822382</v>
      </c>
      <c r="BQ63" s="65">
        <f t="shared" si="23"/>
        <v>84.628594968803483</v>
      </c>
      <c r="BR63" s="65">
        <f t="shared" si="23"/>
        <v>83.935530480024795</v>
      </c>
      <c r="BS63" s="65">
        <f t="shared" si="23"/>
        <v>87.023899522604836</v>
      </c>
      <c r="BT63" s="65">
        <f t="shared" si="23"/>
        <v>84.617521840042727</v>
      </c>
      <c r="BU63" s="65">
        <f t="shared" si="23"/>
        <v>85.487710858503974</v>
      </c>
      <c r="BV63" s="65">
        <f t="shared" si="23"/>
        <v>87.264757250790637</v>
      </c>
      <c r="BW63" s="65">
        <f t="shared" si="23"/>
        <v>85.893102655218655</v>
      </c>
      <c r="BX63" s="65">
        <f t="shared" si="23"/>
        <v>83.153423515600693</v>
      </c>
      <c r="BY63" s="65">
        <f t="shared" si="23"/>
        <v>85.519796262343533</v>
      </c>
      <c r="BZ63" s="65">
        <f t="shared" si="23"/>
        <v>85.251883110280644</v>
      </c>
      <c r="CA63" s="65">
        <f t="shared" si="23"/>
        <v>86.706283499538287</v>
      </c>
      <c r="CB63" s="65">
        <f t="shared" si="23"/>
        <v>88.064593574277268</v>
      </c>
      <c r="CC63" s="65">
        <f t="shared" si="23"/>
        <v>86.44892031142254</v>
      </c>
      <c r="CD63" s="65">
        <f t="shared" si="23"/>
        <v>89.197559936169753</v>
      </c>
      <c r="CE63" s="65">
        <f t="shared" si="23"/>
        <v>89.220708362961147</v>
      </c>
      <c r="CF63" s="65">
        <f t="shared" si="23"/>
        <v>86.950707408670525</v>
      </c>
      <c r="CG63" s="65">
        <f t="shared" si="23"/>
        <v>86.593615363131178</v>
      </c>
      <c r="CH63" s="65">
        <f t="shared" si="23"/>
        <v>88.092585814006441</v>
      </c>
      <c r="CI63" s="65">
        <f t="shared" si="23"/>
        <v>87.344272513644867</v>
      </c>
      <c r="CJ63" s="65">
        <f t="shared" si="23"/>
        <v>88.11067894890634</v>
      </c>
      <c r="CK63" s="65">
        <f t="shared" si="23"/>
        <v>89.451487742315933</v>
      </c>
      <c r="CL63" s="65">
        <f t="shared" si="23"/>
        <v>89.378822320551052</v>
      </c>
      <c r="CM63" s="65">
        <f t="shared" si="23"/>
        <v>87.331139488077596</v>
      </c>
      <c r="CN63" s="65">
        <f t="shared" si="23"/>
        <v>86.874239449690862</v>
      </c>
      <c r="CO63" s="65">
        <f t="shared" si="23"/>
        <v>87.060645806035382</v>
      </c>
      <c r="CP63" s="49"/>
      <c r="CQ63" s="49"/>
      <c r="CR63" s="49"/>
      <c r="CS63" s="49"/>
      <c r="CT63" s="49"/>
      <c r="CU63" s="49"/>
      <c r="CV63" s="49"/>
      <c r="CW63" s="49"/>
      <c r="CX63" s="49"/>
      <c r="CY63" s="49"/>
      <c r="CZ63" s="49"/>
      <c r="DA63" s="49"/>
    </row>
    <row r="64" spans="1:105" ht="18" x14ac:dyDescent="0.4">
      <c r="A64" s="49"/>
      <c r="B64" s="62" t="s">
        <v>58</v>
      </c>
      <c r="C64" s="65">
        <f t="shared" ref="C64:AH64" si="24">C58/$C$7*100</f>
        <v>100</v>
      </c>
      <c r="D64" s="65">
        <f t="shared" si="24"/>
        <v>99.703069233997383</v>
      </c>
      <c r="E64" s="65">
        <f t="shared" si="24"/>
        <v>101.66515870691101</v>
      </c>
      <c r="F64" s="65">
        <f t="shared" si="24"/>
        <v>102.13699887545518</v>
      </c>
      <c r="G64" s="65">
        <f t="shared" si="24"/>
        <v>101.73808332070433</v>
      </c>
      <c r="H64" s="65">
        <f t="shared" si="24"/>
        <v>102.45621930688986</v>
      </c>
      <c r="I64" s="65">
        <f t="shared" si="24"/>
        <v>102.12405628646415</v>
      </c>
      <c r="J64" s="65">
        <f t="shared" si="24"/>
        <v>102.52140251973726</v>
      </c>
      <c r="K64" s="65">
        <f t="shared" si="24"/>
        <v>103.85814976515944</v>
      </c>
      <c r="L64" s="65">
        <f t="shared" si="24"/>
        <v>104.23839045348669</v>
      </c>
      <c r="M64" s="65">
        <f t="shared" si="24"/>
        <v>104.58142727390492</v>
      </c>
      <c r="N64" s="65">
        <f t="shared" si="24"/>
        <v>104.24248475325726</v>
      </c>
      <c r="O64" s="65">
        <f t="shared" si="24"/>
        <v>105.22481100867218</v>
      </c>
      <c r="P64" s="65">
        <f t="shared" si="24"/>
        <v>101.92861931324902</v>
      </c>
      <c r="Q64" s="65">
        <f t="shared" si="24"/>
        <v>100.41400602643901</v>
      </c>
      <c r="R64" s="65">
        <f t="shared" si="24"/>
        <v>101.09093895697721</v>
      </c>
      <c r="S64" s="65">
        <f t="shared" si="24"/>
        <v>101.51155639558107</v>
      </c>
      <c r="T64" s="65">
        <f t="shared" si="24"/>
        <v>101.76700560566726</v>
      </c>
      <c r="U64" s="65">
        <f t="shared" si="24"/>
        <v>100.07279627903746</v>
      </c>
      <c r="V64" s="65">
        <f t="shared" si="24"/>
        <v>101.34679838205143</v>
      </c>
      <c r="W64" s="65">
        <f t="shared" si="24"/>
        <v>102.69992276331006</v>
      </c>
      <c r="X64" s="65">
        <f t="shared" si="24"/>
        <v>104.00633805753688</v>
      </c>
      <c r="Y64" s="65">
        <f t="shared" si="24"/>
        <v>105.28297629116766</v>
      </c>
      <c r="Z64" s="65">
        <f t="shared" si="24"/>
        <v>104.61328424626851</v>
      </c>
      <c r="AA64" s="65">
        <f t="shared" si="24"/>
        <v>103.74047529804852</v>
      </c>
      <c r="AB64" s="65">
        <f t="shared" si="24"/>
        <v>103.35349664059108</v>
      </c>
      <c r="AC64" s="65">
        <f t="shared" si="24"/>
        <v>104.52049660973759</v>
      </c>
      <c r="AD64" s="65">
        <f t="shared" si="24"/>
        <v>103.53851195574126</v>
      </c>
      <c r="AE64" s="65">
        <f t="shared" si="24"/>
        <v>104.63964087771383</v>
      </c>
      <c r="AF64" s="65">
        <f t="shared" si="24"/>
        <v>102.85539557923968</v>
      </c>
      <c r="AG64" s="65">
        <f t="shared" si="24"/>
        <v>103.27385271788319</v>
      </c>
      <c r="AH64" s="65">
        <f t="shared" si="24"/>
        <v>102.46902555282895</v>
      </c>
      <c r="AI64" s="65">
        <f t="shared" ref="AI64:BN64" si="25">AI58/$C$7*100</f>
        <v>101.45968366625893</v>
      </c>
      <c r="AJ64" s="65">
        <f t="shared" si="25"/>
        <v>98.052151558783848</v>
      </c>
      <c r="AK64" s="65">
        <f t="shared" si="25"/>
        <v>95.112394376530958</v>
      </c>
      <c r="AL64" s="65">
        <f t="shared" si="25"/>
        <v>95.102324142079183</v>
      </c>
      <c r="AM64" s="65">
        <f t="shared" si="25"/>
        <v>90.916154334060195</v>
      </c>
      <c r="AN64" s="65">
        <f t="shared" si="25"/>
        <v>90.68072435992552</v>
      </c>
      <c r="AO64" s="65">
        <f t="shared" si="25"/>
        <v>94.117500798265709</v>
      </c>
      <c r="AP64" s="65">
        <f t="shared" si="25"/>
        <v>92.95964382587853</v>
      </c>
      <c r="AQ64" s="65">
        <f t="shared" si="25"/>
        <v>97.003605637665501</v>
      </c>
      <c r="AR64" s="65">
        <f t="shared" si="25"/>
        <v>93.654984232422095</v>
      </c>
      <c r="AS64" s="65">
        <f t="shared" si="25"/>
        <v>92.498609212461545</v>
      </c>
      <c r="AT64" s="65">
        <f t="shared" si="25"/>
        <v>84.380593815865197</v>
      </c>
      <c r="AU64" s="65">
        <f t="shared" si="25"/>
        <v>90.178102170217954</v>
      </c>
      <c r="AV64" s="65">
        <f t="shared" si="25"/>
        <v>85.901984885297651</v>
      </c>
      <c r="AW64" s="65">
        <f t="shared" si="25"/>
        <v>77.043414218109149</v>
      </c>
      <c r="AX64" s="65">
        <f t="shared" si="25"/>
        <v>83.386774287948256</v>
      </c>
      <c r="AY64" s="65">
        <f t="shared" si="25"/>
        <v>72.887130888418042</v>
      </c>
      <c r="AZ64" s="65">
        <f t="shared" si="25"/>
        <v>77.199664158572716</v>
      </c>
      <c r="BA64" s="65">
        <f t="shared" si="25"/>
        <v>72.701743730206502</v>
      </c>
      <c r="BB64" s="65">
        <f t="shared" si="25"/>
        <v>74.419696304666715</v>
      </c>
      <c r="BC64" s="65">
        <f t="shared" si="25"/>
        <v>69.881049201060677</v>
      </c>
      <c r="BD64" s="65">
        <f t="shared" si="25"/>
        <v>68.118694938783008</v>
      </c>
      <c r="BE64" s="65">
        <f t="shared" si="25"/>
        <v>74.737790301844655</v>
      </c>
      <c r="BF64" s="65">
        <f t="shared" si="25"/>
        <v>75.381110440918604</v>
      </c>
      <c r="BG64" s="65">
        <f t="shared" si="25"/>
        <v>79.215152355121958</v>
      </c>
      <c r="BH64" s="65">
        <f t="shared" si="25"/>
        <v>77.089050936384837</v>
      </c>
      <c r="BI64" s="65">
        <f t="shared" si="25"/>
        <v>78.973709975604763</v>
      </c>
      <c r="BJ64" s="65">
        <f t="shared" si="25"/>
        <v>77.913922990462808</v>
      </c>
      <c r="BK64" s="65">
        <f t="shared" si="25"/>
        <v>74.383044693033455</v>
      </c>
      <c r="BL64" s="65">
        <f t="shared" si="25"/>
        <v>75.14179766915656</v>
      </c>
      <c r="BM64" s="65">
        <f t="shared" si="25"/>
        <v>74.573391420075282</v>
      </c>
      <c r="BN64" s="65">
        <f t="shared" si="25"/>
        <v>80.531117024935099</v>
      </c>
      <c r="BO64" s="65">
        <f t="shared" ref="BO64:CO64" si="26">BO58/$C$7*100</f>
        <v>80.053555196326855</v>
      </c>
      <c r="BP64" s="65">
        <f t="shared" si="26"/>
        <v>82.902125494559485</v>
      </c>
      <c r="BQ64" s="65">
        <f t="shared" si="26"/>
        <v>82.993548195100246</v>
      </c>
      <c r="BR64" s="65">
        <f t="shared" si="26"/>
        <v>82.256279600692778</v>
      </c>
      <c r="BS64" s="65">
        <f t="shared" si="26"/>
        <v>85.503928517512634</v>
      </c>
      <c r="BT64" s="65">
        <f t="shared" si="26"/>
        <v>83.21458735730566</v>
      </c>
      <c r="BU64" s="65">
        <f t="shared" si="26"/>
        <v>83.848620026942598</v>
      </c>
      <c r="BV64" s="65">
        <f t="shared" si="26"/>
        <v>85.665921874907639</v>
      </c>
      <c r="BW64" s="65">
        <f t="shared" si="26"/>
        <v>84.115716996594614</v>
      </c>
      <c r="BX64" s="65">
        <f t="shared" si="26"/>
        <v>81.485387690105142</v>
      </c>
      <c r="BY64" s="65">
        <f t="shared" si="26"/>
        <v>83.792214889421359</v>
      </c>
      <c r="BZ64" s="65">
        <f t="shared" si="26"/>
        <v>83.364968395535925</v>
      </c>
      <c r="CA64" s="65">
        <f t="shared" si="26"/>
        <v>85.047687202125616</v>
      </c>
      <c r="CB64" s="65">
        <f t="shared" si="26"/>
        <v>86.350295577853558</v>
      </c>
      <c r="CC64" s="65">
        <f t="shared" si="26"/>
        <v>84.187699374733299</v>
      </c>
      <c r="CD64" s="65">
        <f t="shared" si="26"/>
        <v>87.218369520908965</v>
      </c>
      <c r="CE64" s="65">
        <f t="shared" si="26"/>
        <v>87.872727473874363</v>
      </c>
      <c r="CF64" s="65">
        <f t="shared" si="26"/>
        <v>85.811789017222651</v>
      </c>
      <c r="CG64" s="65">
        <f t="shared" si="26"/>
        <v>85.272360518318081</v>
      </c>
      <c r="CH64" s="65">
        <f t="shared" si="26"/>
        <v>86.711790455744648</v>
      </c>
      <c r="CI64" s="65">
        <f t="shared" si="26"/>
        <v>85.984513211499632</v>
      </c>
      <c r="CJ64" s="65">
        <f t="shared" si="26"/>
        <v>86.841012621548046</v>
      </c>
      <c r="CK64" s="65">
        <f t="shared" si="26"/>
        <v>88.340962881550297</v>
      </c>
      <c r="CL64" s="65">
        <f t="shared" si="26"/>
        <v>88.396735323725096</v>
      </c>
      <c r="CM64" s="65">
        <f t="shared" si="26"/>
        <v>86.047832062394036</v>
      </c>
      <c r="CN64" s="65">
        <f t="shared" si="26"/>
        <v>85.895821076758978</v>
      </c>
      <c r="CO64" s="65">
        <f t="shared" si="26"/>
        <v>86.10707603316331</v>
      </c>
      <c r="CP64" s="49"/>
      <c r="CQ64" s="49"/>
      <c r="CR64" s="49"/>
      <c r="CS64" s="49"/>
      <c r="CT64" s="49"/>
      <c r="CU64" s="49"/>
      <c r="CV64" s="49"/>
      <c r="CW64" s="49"/>
      <c r="CX64" s="49"/>
      <c r="CY64" s="49"/>
      <c r="CZ64" s="49"/>
      <c r="DA64" s="49"/>
    </row>
    <row r="65" spans="1:105" x14ac:dyDescent="0.35">
      <c r="A65" s="49"/>
      <c r="B65" s="50"/>
      <c r="C65" s="49"/>
      <c r="D65" s="49"/>
      <c r="E65" s="49"/>
      <c r="F65" s="49"/>
      <c r="G65" s="49"/>
      <c r="H65" s="49"/>
      <c r="I65" s="49"/>
      <c r="J65" s="49"/>
      <c r="K65" s="49"/>
      <c r="L65" s="49"/>
      <c r="M65" s="49"/>
      <c r="N65" s="49"/>
      <c r="O65" s="49"/>
      <c r="P65" s="49"/>
      <c r="Q65" s="49"/>
      <c r="R65" s="49"/>
      <c r="S65" s="49"/>
      <c r="T65" s="49"/>
      <c r="U65" s="49"/>
      <c r="V65" s="49"/>
      <c r="W65" s="49"/>
      <c r="X65" s="49"/>
      <c r="Y65" s="49"/>
      <c r="Z65" s="49"/>
      <c r="AA65" s="49"/>
      <c r="AB65" s="49"/>
      <c r="AC65" s="49"/>
      <c r="AD65" s="49"/>
      <c r="AE65" s="49"/>
      <c r="AF65" s="49"/>
      <c r="AG65" s="49"/>
      <c r="AH65" s="49"/>
      <c r="AI65" s="49"/>
      <c r="AJ65" s="49"/>
      <c r="AK65" s="49"/>
      <c r="AL65" s="49"/>
      <c r="AM65" s="49"/>
      <c r="AN65" s="49"/>
      <c r="AO65" s="49"/>
      <c r="AP65" s="49"/>
      <c r="AQ65" s="49"/>
      <c r="AR65" s="49"/>
      <c r="AS65" s="49"/>
      <c r="AT65" s="49"/>
      <c r="AU65" s="49"/>
      <c r="AV65" s="49"/>
      <c r="AW65" s="49"/>
      <c r="AX65" s="49"/>
      <c r="AY65" s="49"/>
      <c r="AZ65" s="49"/>
      <c r="BA65" s="49"/>
      <c r="BB65" s="49"/>
      <c r="BC65" s="49"/>
      <c r="BD65" s="49"/>
      <c r="BE65" s="49"/>
      <c r="BF65" s="49"/>
      <c r="BG65" s="49"/>
      <c r="BH65" s="49"/>
      <c r="BI65" s="49"/>
      <c r="BJ65" s="49"/>
      <c r="BK65" s="49"/>
      <c r="BL65" s="49"/>
      <c r="BM65" s="49"/>
      <c r="BN65" s="49"/>
      <c r="BO65" s="49"/>
      <c r="BP65" s="49"/>
      <c r="BQ65" s="49"/>
      <c r="BR65" s="49"/>
      <c r="BS65" s="49"/>
      <c r="BT65" s="49"/>
      <c r="BU65" s="49"/>
      <c r="BV65" s="49"/>
      <c r="BW65" s="49"/>
      <c r="BX65" s="49"/>
      <c r="BY65" s="49"/>
      <c r="BZ65" s="49"/>
      <c r="CA65" s="49"/>
      <c r="CB65" s="49"/>
      <c r="CC65" s="49"/>
      <c r="CD65" s="49"/>
      <c r="CE65" s="49"/>
      <c r="CF65" s="49"/>
      <c r="CG65" s="49"/>
      <c r="CH65" s="49"/>
      <c r="CI65" s="49"/>
      <c r="CJ65" s="49"/>
      <c r="CK65" s="49"/>
      <c r="CL65" s="49"/>
      <c r="CM65" s="49"/>
      <c r="CN65" s="49"/>
      <c r="CO65" s="49"/>
      <c r="CP65" s="49"/>
      <c r="CQ65" s="49"/>
      <c r="CR65" s="49"/>
      <c r="CS65" s="49"/>
      <c r="CT65" s="49"/>
      <c r="CU65" s="49"/>
      <c r="CV65" s="49"/>
      <c r="CW65" s="49"/>
      <c r="CX65" s="49"/>
      <c r="CY65" s="49"/>
      <c r="CZ65" s="49"/>
      <c r="DA65" s="49"/>
    </row>
    <row r="66" spans="1:105" x14ac:dyDescent="0.35">
      <c r="A66" s="49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49"/>
      <c r="R66" s="49"/>
      <c r="S66" s="49"/>
      <c r="T66" s="49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49"/>
      <c r="AH66" s="49"/>
      <c r="AI66" s="49"/>
      <c r="AJ66" s="49"/>
      <c r="AK66" s="49"/>
      <c r="AL66" s="49"/>
      <c r="AM66" s="49"/>
      <c r="AN66" s="49"/>
      <c r="AO66" s="49"/>
      <c r="AP66" s="49"/>
      <c r="AQ66" s="49"/>
      <c r="AR66" s="49"/>
      <c r="AS66" s="49"/>
      <c r="AT66" s="49"/>
      <c r="AU66" s="49"/>
      <c r="AV66" s="49"/>
      <c r="AW66" s="49"/>
      <c r="AX66" s="49"/>
      <c r="AY66" s="49"/>
      <c r="AZ66" s="49"/>
      <c r="BA66" s="49"/>
      <c r="BB66" s="49"/>
      <c r="BC66" s="49"/>
      <c r="BD66" s="49"/>
      <c r="BE66" s="49"/>
      <c r="BF66" s="49"/>
      <c r="BG66" s="49"/>
      <c r="BH66" s="49"/>
      <c r="BI66" s="49"/>
      <c r="BJ66" s="49"/>
      <c r="BK66" s="49"/>
      <c r="BL66" s="49"/>
      <c r="BM66" s="49"/>
      <c r="BN66" s="49"/>
      <c r="BO66" s="49"/>
      <c r="BP66" s="49"/>
      <c r="BQ66" s="49"/>
      <c r="BR66" s="49"/>
      <c r="BS66" s="49"/>
      <c r="BT66" s="49"/>
      <c r="BU66" s="49"/>
      <c r="BV66" s="49"/>
      <c r="BW66" s="49"/>
      <c r="BX66" s="49"/>
      <c r="BY66" s="49"/>
      <c r="BZ66" s="49"/>
      <c r="CA66" s="49"/>
      <c r="CB66" s="49"/>
      <c r="CC66" s="49"/>
      <c r="CD66" s="49"/>
      <c r="CE66" s="49"/>
      <c r="CF66" s="49"/>
      <c r="CG66" s="49"/>
      <c r="CH66" s="49"/>
      <c r="CI66" s="49"/>
      <c r="CJ66" s="49"/>
      <c r="CK66" s="49"/>
      <c r="CL66" s="49"/>
      <c r="CM66" s="49"/>
      <c r="CN66" s="49"/>
      <c r="CO66" s="49"/>
      <c r="CP66" s="49"/>
      <c r="CQ66" s="49"/>
      <c r="CR66" s="49"/>
      <c r="CS66" s="49"/>
      <c r="CT66" s="49"/>
      <c r="CU66" s="49"/>
      <c r="CV66" s="49"/>
      <c r="CW66" s="49"/>
      <c r="CX66" s="49"/>
      <c r="CY66" s="49"/>
      <c r="CZ66" s="49"/>
      <c r="DA66" s="49"/>
    </row>
    <row r="67" spans="1:105" x14ac:dyDescent="0.35">
      <c r="A67" s="49"/>
      <c r="B67" s="50"/>
      <c r="C67" s="49"/>
      <c r="D67" s="49"/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49"/>
      <c r="R67" s="49"/>
      <c r="S67" s="49"/>
      <c r="T67" s="49"/>
      <c r="U67" s="49"/>
      <c r="V67" s="49"/>
      <c r="W67" s="49"/>
      <c r="X67" s="49"/>
      <c r="Y67" s="49"/>
      <c r="Z67" s="49"/>
      <c r="AA67" s="49"/>
      <c r="AB67" s="49"/>
      <c r="AC67" s="49"/>
      <c r="AD67" s="49"/>
      <c r="AE67" s="49"/>
      <c r="AF67" s="49"/>
      <c r="AG67" s="49"/>
      <c r="AH67" s="49"/>
      <c r="AI67" s="49"/>
      <c r="AJ67" s="49"/>
      <c r="AK67" s="49"/>
      <c r="AL67" s="49"/>
      <c r="AM67" s="49"/>
      <c r="AN67" s="49"/>
      <c r="AO67" s="49"/>
      <c r="AP67" s="49"/>
      <c r="AQ67" s="49"/>
      <c r="AR67" s="49"/>
      <c r="AS67" s="49"/>
      <c r="AT67" s="49"/>
      <c r="AU67" s="49"/>
      <c r="AV67" s="49"/>
      <c r="AW67" s="49"/>
      <c r="AX67" s="49"/>
      <c r="AY67" s="49"/>
      <c r="AZ67" s="49"/>
      <c r="BA67" s="49"/>
      <c r="BB67" s="49"/>
      <c r="BC67" s="49"/>
      <c r="BD67" s="49"/>
      <c r="BE67" s="49"/>
      <c r="BF67" s="49"/>
      <c r="BG67" s="49"/>
      <c r="BH67" s="49"/>
      <c r="BI67" s="49"/>
      <c r="BJ67" s="49"/>
      <c r="BK67" s="49"/>
      <c r="BL67" s="49"/>
      <c r="BM67" s="49"/>
      <c r="BN67" s="49"/>
      <c r="BO67" s="49"/>
      <c r="BP67" s="49"/>
      <c r="BQ67" s="49"/>
      <c r="BR67" s="49"/>
      <c r="BS67" s="49"/>
      <c r="BT67" s="49"/>
      <c r="BU67" s="49"/>
      <c r="BV67" s="49"/>
      <c r="BW67" s="49"/>
      <c r="BX67" s="49"/>
      <c r="BY67" s="49"/>
      <c r="BZ67" s="49"/>
      <c r="CA67" s="49"/>
      <c r="CB67" s="49"/>
      <c r="CC67" s="49"/>
      <c r="CD67" s="49"/>
      <c r="CE67" s="49"/>
      <c r="CF67" s="49"/>
      <c r="CG67" s="49"/>
      <c r="CH67" s="49"/>
      <c r="CI67" s="49"/>
      <c r="CJ67" s="49"/>
      <c r="CK67" s="49"/>
      <c r="CL67" s="49"/>
      <c r="CM67" s="49"/>
      <c r="CN67" s="49"/>
      <c r="CO67" s="49"/>
      <c r="CP67" s="49"/>
      <c r="CQ67" s="49"/>
      <c r="CR67" s="49"/>
      <c r="CS67" s="49"/>
      <c r="CT67" s="49"/>
      <c r="CU67" s="49"/>
      <c r="CV67" s="49"/>
      <c r="CW67" s="49"/>
      <c r="CX67" s="49"/>
      <c r="CY67" s="49"/>
      <c r="CZ67" s="49"/>
      <c r="DA67" s="49"/>
    </row>
    <row r="68" spans="1:105" x14ac:dyDescent="0.35">
      <c r="A68" s="49"/>
      <c r="B68" s="50"/>
      <c r="C68" s="49"/>
      <c r="D68" s="49"/>
      <c r="E68" s="49"/>
      <c r="F68" s="49"/>
      <c r="G68" s="49"/>
      <c r="H68" s="49"/>
      <c r="I68" s="49"/>
      <c r="J68" s="49"/>
      <c r="K68" s="49"/>
      <c r="L68" s="49"/>
      <c r="M68" s="49"/>
      <c r="N68" s="49"/>
      <c r="O68" s="49"/>
      <c r="P68" s="49"/>
      <c r="Q68" s="49"/>
      <c r="R68" s="49"/>
      <c r="S68" s="49"/>
      <c r="T68" s="49"/>
      <c r="U68" s="49"/>
      <c r="V68" s="49"/>
      <c r="W68" s="49"/>
      <c r="X68" s="49"/>
      <c r="Y68" s="49"/>
      <c r="Z68" s="49"/>
      <c r="AA68" s="49"/>
      <c r="AB68" s="49"/>
      <c r="AC68" s="49"/>
      <c r="AD68" s="49"/>
      <c r="AE68" s="49"/>
      <c r="AF68" s="49"/>
      <c r="AG68" s="49"/>
      <c r="AH68" s="49"/>
      <c r="AI68" s="49"/>
      <c r="AJ68" s="49"/>
      <c r="AK68" s="49"/>
      <c r="AL68" s="49"/>
      <c r="AM68" s="49"/>
      <c r="AN68" s="49"/>
      <c r="AO68" s="49"/>
      <c r="AP68" s="49"/>
      <c r="AQ68" s="49"/>
      <c r="AR68" s="49"/>
      <c r="AS68" s="49"/>
      <c r="AT68" s="49"/>
      <c r="AU68" s="49"/>
      <c r="AV68" s="49"/>
      <c r="AW68" s="49"/>
      <c r="AX68" s="49"/>
      <c r="AY68" s="49"/>
      <c r="AZ68" s="49"/>
      <c r="BA68" s="49"/>
      <c r="BB68" s="49"/>
      <c r="BC68" s="49"/>
      <c r="BD68" s="49"/>
      <c r="BE68" s="49"/>
      <c r="BF68" s="49"/>
      <c r="BG68" s="49"/>
      <c r="BH68" s="49"/>
      <c r="BI68" s="49"/>
      <c r="BJ68" s="49"/>
      <c r="BK68" s="49"/>
      <c r="BL68" s="49"/>
      <c r="BM68" s="49"/>
      <c r="BN68" s="49"/>
      <c r="BO68" s="49"/>
      <c r="BP68" s="49"/>
      <c r="BQ68" s="49"/>
      <c r="BR68" s="49"/>
      <c r="BS68" s="49"/>
      <c r="BT68" s="49"/>
      <c r="BU68" s="49"/>
      <c r="BV68" s="49"/>
      <c r="BW68" s="49"/>
      <c r="BX68" s="49"/>
      <c r="BY68" s="49"/>
      <c r="BZ68" s="49"/>
      <c r="CA68" s="49"/>
      <c r="CB68" s="49"/>
      <c r="CC68" s="49"/>
      <c r="CD68" s="49"/>
      <c r="CE68" s="49"/>
      <c r="CF68" s="49"/>
      <c r="CG68" s="49"/>
      <c r="CH68" s="49"/>
      <c r="CI68" s="49"/>
      <c r="CJ68" s="49"/>
      <c r="CK68" s="49"/>
      <c r="CL68" s="49"/>
      <c r="CM68" s="49"/>
      <c r="CN68" s="49"/>
      <c r="CO68" s="49"/>
      <c r="CP68" s="49"/>
      <c r="CQ68" s="49"/>
      <c r="CR68" s="49"/>
      <c r="CS68" s="49"/>
      <c r="CT68" s="49"/>
      <c r="CU68" s="49"/>
      <c r="CV68" s="49"/>
      <c r="CW68" s="49"/>
      <c r="CX68" s="49"/>
      <c r="CY68" s="49"/>
      <c r="CZ68" s="49"/>
      <c r="DA68" s="49"/>
    </row>
    <row r="69" spans="1:105" x14ac:dyDescent="0.35">
      <c r="A69" s="49"/>
      <c r="B69" s="50"/>
      <c r="C69" s="49"/>
      <c r="D69" s="49"/>
      <c r="E69" s="49"/>
      <c r="F69" s="49"/>
      <c r="G69" s="49"/>
      <c r="H69" s="49"/>
      <c r="I69" s="49"/>
      <c r="J69" s="49"/>
      <c r="K69" s="49"/>
      <c r="L69" s="49"/>
      <c r="M69" s="49"/>
      <c r="N69" s="49"/>
      <c r="O69" s="49"/>
      <c r="P69" s="49"/>
      <c r="Q69" s="49"/>
      <c r="R69" s="49"/>
      <c r="S69" s="49"/>
      <c r="T69" s="49"/>
      <c r="U69" s="49"/>
      <c r="V69" s="49"/>
      <c r="W69" s="49"/>
      <c r="X69" s="49"/>
      <c r="Y69" s="49"/>
      <c r="Z69" s="49"/>
      <c r="AA69" s="49"/>
      <c r="AB69" s="49"/>
      <c r="AC69" s="49"/>
      <c r="AD69" s="49"/>
      <c r="AE69" s="49"/>
      <c r="AF69" s="49"/>
      <c r="AG69" s="49"/>
      <c r="AH69" s="49"/>
      <c r="AI69" s="49"/>
      <c r="AJ69" s="49"/>
      <c r="AK69" s="49"/>
      <c r="AL69" s="49"/>
      <c r="AM69" s="49"/>
      <c r="AN69" s="49"/>
      <c r="AO69" s="49"/>
      <c r="AP69" s="49"/>
      <c r="AQ69" s="49"/>
      <c r="AR69" s="49"/>
      <c r="AS69" s="49"/>
      <c r="AT69" s="49"/>
      <c r="AU69" s="49"/>
      <c r="AV69" s="49"/>
      <c r="AW69" s="49"/>
      <c r="AX69" s="49"/>
      <c r="AY69" s="49"/>
      <c r="AZ69" s="49"/>
      <c r="BA69" s="49"/>
      <c r="BB69" s="49"/>
      <c r="BC69" s="49"/>
      <c r="BD69" s="49"/>
      <c r="BE69" s="49"/>
      <c r="BF69" s="49"/>
      <c r="BG69" s="49"/>
      <c r="BH69" s="49"/>
      <c r="BI69" s="49"/>
      <c r="BJ69" s="49"/>
      <c r="BK69" s="49"/>
      <c r="BL69" s="49"/>
      <c r="BM69" s="49"/>
      <c r="BN69" s="49"/>
      <c r="BO69" s="49"/>
      <c r="BP69" s="49"/>
      <c r="BQ69" s="49"/>
      <c r="BR69" s="49"/>
      <c r="BS69" s="49"/>
      <c r="BT69" s="49"/>
      <c r="BU69" s="49"/>
      <c r="BV69" s="49"/>
      <c r="BW69" s="49"/>
      <c r="BX69" s="49"/>
      <c r="BY69" s="49"/>
      <c r="BZ69" s="49"/>
      <c r="CA69" s="49"/>
      <c r="CB69" s="49"/>
      <c r="CC69" s="49"/>
      <c r="CD69" s="49"/>
      <c r="CE69" s="49"/>
      <c r="CF69" s="49"/>
      <c r="CG69" s="49"/>
      <c r="CH69" s="49"/>
      <c r="CI69" s="49"/>
      <c r="CJ69" s="49"/>
      <c r="CK69" s="49"/>
      <c r="CL69" s="49"/>
      <c r="CM69" s="49"/>
      <c r="CN69" s="49"/>
      <c r="CO69" s="49"/>
      <c r="CP69" s="49"/>
      <c r="CQ69" s="49"/>
      <c r="CR69" s="49"/>
      <c r="CS69" s="49"/>
      <c r="CT69" s="49"/>
      <c r="CU69" s="49"/>
      <c r="CV69" s="49"/>
      <c r="CW69" s="49"/>
      <c r="CX69" s="49"/>
      <c r="CY69" s="49"/>
      <c r="CZ69" s="49"/>
      <c r="DA69" s="49"/>
    </row>
    <row r="70" spans="1:105" x14ac:dyDescent="0.35">
      <c r="A70" s="49"/>
      <c r="B70" s="50"/>
      <c r="C70" s="49"/>
      <c r="D70" s="49"/>
      <c r="E70" s="49"/>
      <c r="F70" s="49"/>
      <c r="G70" s="49"/>
      <c r="H70" s="49"/>
      <c r="I70" s="49"/>
      <c r="J70" s="49"/>
      <c r="K70" s="49"/>
      <c r="L70" s="49"/>
      <c r="M70" s="49"/>
      <c r="N70" s="49"/>
      <c r="O70" s="49"/>
      <c r="P70" s="49"/>
      <c r="Q70" s="49"/>
      <c r="R70" s="49"/>
      <c r="S70" s="49"/>
      <c r="T70" s="49"/>
      <c r="U70" s="49"/>
      <c r="V70" s="49"/>
      <c r="W70" s="49"/>
      <c r="X70" s="49"/>
      <c r="Y70" s="49"/>
      <c r="Z70" s="49"/>
      <c r="AA70" s="49"/>
      <c r="AB70" s="49"/>
      <c r="AC70" s="49"/>
      <c r="AD70" s="49"/>
      <c r="AE70" s="49"/>
      <c r="AF70" s="49"/>
      <c r="AG70" s="49"/>
      <c r="AH70" s="49"/>
      <c r="AI70" s="49"/>
      <c r="AJ70" s="49"/>
      <c r="AK70" s="49"/>
      <c r="AL70" s="49"/>
      <c r="AM70" s="49"/>
      <c r="AN70" s="49"/>
      <c r="AO70" s="49"/>
      <c r="AP70" s="49"/>
      <c r="AQ70" s="49"/>
      <c r="AR70" s="49"/>
      <c r="AS70" s="49"/>
      <c r="AT70" s="49"/>
      <c r="AU70" s="49"/>
      <c r="AV70" s="49"/>
      <c r="AW70" s="49"/>
      <c r="AX70" s="49"/>
      <c r="AY70" s="49"/>
      <c r="AZ70" s="49"/>
      <c r="BA70" s="49"/>
      <c r="BB70" s="49"/>
      <c r="BC70" s="49"/>
      <c r="BD70" s="49"/>
      <c r="BE70" s="49"/>
      <c r="BF70" s="49"/>
      <c r="BG70" s="49"/>
      <c r="BH70" s="49"/>
      <c r="BI70" s="49"/>
      <c r="BJ70" s="49"/>
      <c r="BK70" s="49"/>
      <c r="BL70" s="49"/>
      <c r="BM70" s="49"/>
      <c r="BN70" s="49"/>
      <c r="BO70" s="49"/>
      <c r="BP70" s="49"/>
      <c r="BQ70" s="49"/>
      <c r="BR70" s="49"/>
      <c r="BS70" s="49"/>
      <c r="BT70" s="49"/>
      <c r="BU70" s="49"/>
      <c r="BV70" s="49"/>
      <c r="BW70" s="49"/>
      <c r="BX70" s="49"/>
      <c r="BY70" s="49"/>
      <c r="BZ70" s="49"/>
      <c r="CA70" s="49"/>
      <c r="CB70" s="49"/>
      <c r="CC70" s="49"/>
      <c r="CD70" s="49"/>
      <c r="CE70" s="49"/>
      <c r="CF70" s="49"/>
      <c r="CG70" s="49"/>
      <c r="CH70" s="49"/>
      <c r="CI70" s="49"/>
      <c r="CJ70" s="49"/>
      <c r="CK70" s="49"/>
      <c r="CL70" s="49"/>
      <c r="CM70" s="49"/>
      <c r="CN70" s="49"/>
      <c r="CO70" s="49"/>
      <c r="CP70" s="49"/>
      <c r="CQ70" s="49"/>
      <c r="CR70" s="49"/>
      <c r="CS70" s="49"/>
      <c r="CT70" s="49"/>
      <c r="CU70" s="49"/>
      <c r="CV70" s="49"/>
      <c r="CW70" s="49"/>
      <c r="CX70" s="49"/>
      <c r="CY70" s="49"/>
      <c r="CZ70" s="49"/>
      <c r="DA70" s="49"/>
    </row>
    <row r="71" spans="1:105" x14ac:dyDescent="0.35">
      <c r="A71" s="49"/>
      <c r="B71" s="50"/>
      <c r="C71" s="49"/>
      <c r="D71" s="49"/>
      <c r="E71" s="49"/>
      <c r="F71" s="49"/>
      <c r="G71" s="49"/>
      <c r="H71" s="49"/>
      <c r="I71" s="49"/>
      <c r="J71" s="49"/>
      <c r="K71" s="49"/>
      <c r="L71" s="49"/>
      <c r="M71" s="49"/>
      <c r="N71" s="49"/>
      <c r="O71" s="49"/>
      <c r="P71" s="49"/>
      <c r="Q71" s="49"/>
      <c r="R71" s="49"/>
      <c r="S71" s="49"/>
      <c r="T71" s="49"/>
      <c r="U71" s="49"/>
      <c r="V71" s="49"/>
      <c r="W71" s="49"/>
      <c r="X71" s="49"/>
      <c r="Y71" s="49"/>
      <c r="Z71" s="49"/>
      <c r="AA71" s="49"/>
      <c r="AB71" s="49"/>
      <c r="AC71" s="49"/>
      <c r="AD71" s="49"/>
      <c r="AE71" s="49"/>
      <c r="AF71" s="49"/>
      <c r="AG71" s="49"/>
      <c r="AH71" s="49"/>
      <c r="AI71" s="49"/>
      <c r="AJ71" s="49"/>
      <c r="AK71" s="49"/>
      <c r="AL71" s="49"/>
      <c r="AM71" s="49"/>
      <c r="AN71" s="49"/>
      <c r="AO71" s="49"/>
      <c r="AP71" s="49"/>
      <c r="AQ71" s="49"/>
      <c r="AR71" s="49"/>
      <c r="AS71" s="49"/>
      <c r="AT71" s="49"/>
      <c r="AU71" s="49"/>
      <c r="AV71" s="49"/>
      <c r="AW71" s="49"/>
      <c r="AX71" s="49"/>
      <c r="AY71" s="49"/>
      <c r="AZ71" s="49"/>
      <c r="BA71" s="49"/>
      <c r="BB71" s="49"/>
      <c r="BC71" s="49"/>
      <c r="BD71" s="49"/>
      <c r="BE71" s="49"/>
      <c r="BF71" s="49"/>
      <c r="BG71" s="49"/>
      <c r="BH71" s="49"/>
      <c r="BI71" s="49"/>
      <c r="BJ71" s="49"/>
      <c r="BK71" s="49"/>
      <c r="BL71" s="49"/>
      <c r="BM71" s="49"/>
      <c r="BN71" s="49"/>
      <c r="BO71" s="49"/>
      <c r="BP71" s="49"/>
      <c r="BQ71" s="49"/>
      <c r="BR71" s="49"/>
      <c r="BS71" s="49"/>
      <c r="BT71" s="49"/>
      <c r="BU71" s="49"/>
      <c r="BV71" s="49"/>
      <c r="BW71" s="49"/>
      <c r="BX71" s="49"/>
      <c r="BY71" s="49"/>
      <c r="BZ71" s="49"/>
      <c r="CA71" s="49"/>
      <c r="CB71" s="49"/>
      <c r="CC71" s="49"/>
      <c r="CD71" s="49"/>
      <c r="CE71" s="49"/>
      <c r="CF71" s="49"/>
      <c r="CG71" s="49"/>
      <c r="CH71" s="49"/>
      <c r="CI71" s="49"/>
      <c r="CJ71" s="49"/>
      <c r="CK71" s="49"/>
      <c r="CL71" s="49"/>
      <c r="CM71" s="49"/>
      <c r="CN71" s="49"/>
      <c r="CO71" s="49"/>
      <c r="CP71" s="49"/>
      <c r="CQ71" s="49"/>
      <c r="CR71" s="49"/>
      <c r="CS71" s="49"/>
      <c r="CT71" s="49"/>
      <c r="CU71" s="49"/>
      <c r="CV71" s="49"/>
      <c r="CW71" s="49"/>
      <c r="CX71" s="49"/>
      <c r="CY71" s="49"/>
      <c r="CZ71" s="49"/>
      <c r="DA71" s="49"/>
    </row>
    <row r="72" spans="1:105" x14ac:dyDescent="0.35">
      <c r="A72" s="49"/>
      <c r="B72" s="50"/>
      <c r="C72" s="49"/>
      <c r="D72" s="49"/>
      <c r="E72" s="49"/>
      <c r="F72" s="49"/>
      <c r="G72" s="49"/>
      <c r="H72" s="49"/>
      <c r="I72" s="49"/>
      <c r="J72" s="49"/>
      <c r="K72" s="49"/>
      <c r="L72" s="49"/>
      <c r="M72" s="49"/>
      <c r="N72" s="49"/>
      <c r="O72" s="49"/>
      <c r="P72" s="49"/>
      <c r="Q72" s="49"/>
      <c r="R72" s="49"/>
      <c r="S72" s="49"/>
      <c r="T72" s="49"/>
      <c r="U72" s="49"/>
      <c r="V72" s="49"/>
      <c r="W72" s="49"/>
      <c r="X72" s="49"/>
      <c r="Y72" s="49"/>
      <c r="Z72" s="49"/>
      <c r="AA72" s="49"/>
      <c r="AB72" s="49"/>
      <c r="AC72" s="49"/>
      <c r="AD72" s="49"/>
      <c r="AE72" s="49"/>
      <c r="AF72" s="49"/>
      <c r="AG72" s="49"/>
      <c r="AH72" s="49"/>
      <c r="AI72" s="49"/>
      <c r="AJ72" s="49"/>
      <c r="AK72" s="49"/>
      <c r="AL72" s="49"/>
      <c r="AM72" s="49"/>
      <c r="AN72" s="49"/>
      <c r="AO72" s="49"/>
      <c r="AP72" s="49"/>
      <c r="AQ72" s="49"/>
      <c r="AR72" s="49"/>
      <c r="AS72" s="49"/>
      <c r="AT72" s="49"/>
      <c r="AU72" s="49"/>
      <c r="AV72" s="49"/>
      <c r="AW72" s="49"/>
      <c r="AX72" s="49"/>
      <c r="AY72" s="49"/>
      <c r="AZ72" s="49"/>
      <c r="BA72" s="49"/>
      <c r="BB72" s="49"/>
      <c r="BC72" s="49"/>
      <c r="BD72" s="49"/>
      <c r="BE72" s="49"/>
      <c r="BF72" s="49"/>
      <c r="BG72" s="49"/>
      <c r="BH72" s="49"/>
      <c r="BI72" s="49"/>
      <c r="BJ72" s="49"/>
      <c r="BK72" s="49"/>
      <c r="BL72" s="49"/>
      <c r="BM72" s="49"/>
      <c r="BN72" s="49"/>
      <c r="BO72" s="49"/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49"/>
      <c r="CA72" s="49"/>
      <c r="CB72" s="49"/>
      <c r="CC72" s="49"/>
      <c r="CD72" s="49"/>
      <c r="CE72" s="49"/>
      <c r="CF72" s="49"/>
      <c r="CG72" s="49"/>
      <c r="CH72" s="49"/>
      <c r="CI72" s="49"/>
      <c r="CJ72" s="49"/>
      <c r="CK72" s="49"/>
      <c r="CL72" s="49"/>
      <c r="CM72" s="49"/>
      <c r="CN72" s="49"/>
      <c r="CO72" s="49"/>
      <c r="CP72" s="49"/>
      <c r="CQ72" s="49"/>
      <c r="CR72" s="49"/>
      <c r="CS72" s="49"/>
      <c r="CT72" s="49"/>
      <c r="CU72" s="49"/>
      <c r="CV72" s="49"/>
      <c r="CW72" s="49"/>
      <c r="CX72" s="49"/>
      <c r="CY72" s="49"/>
      <c r="CZ72" s="49"/>
      <c r="DA72" s="49"/>
    </row>
    <row r="73" spans="1:105" x14ac:dyDescent="0.35">
      <c r="A73" s="49"/>
      <c r="B73" s="50"/>
      <c r="C73" s="49"/>
      <c r="D73" s="49"/>
      <c r="E73" s="49"/>
      <c r="F73" s="49"/>
      <c r="G73" s="49"/>
      <c r="H73" s="49"/>
      <c r="I73" s="49"/>
      <c r="J73" s="49"/>
      <c r="K73" s="49"/>
      <c r="L73" s="49"/>
      <c r="M73" s="49"/>
      <c r="N73" s="49"/>
      <c r="O73" s="49"/>
      <c r="P73" s="49"/>
      <c r="Q73" s="49"/>
      <c r="R73" s="49"/>
      <c r="S73" s="49"/>
      <c r="T73" s="49"/>
      <c r="U73" s="49"/>
      <c r="V73" s="49"/>
      <c r="W73" s="49"/>
      <c r="X73" s="49"/>
      <c r="Y73" s="49"/>
      <c r="Z73" s="49"/>
      <c r="AA73" s="49"/>
      <c r="AB73" s="49"/>
      <c r="AC73" s="49"/>
      <c r="AD73" s="49"/>
      <c r="AE73" s="49"/>
      <c r="AF73" s="49"/>
      <c r="AG73" s="49"/>
      <c r="AH73" s="49"/>
      <c r="AI73" s="49"/>
      <c r="AJ73" s="49"/>
      <c r="AK73" s="49"/>
      <c r="AL73" s="49"/>
      <c r="AM73" s="49"/>
      <c r="AN73" s="49"/>
      <c r="AO73" s="49"/>
      <c r="AP73" s="49"/>
      <c r="AQ73" s="49"/>
      <c r="AR73" s="49"/>
      <c r="AS73" s="49"/>
      <c r="AT73" s="49"/>
      <c r="AU73" s="49"/>
      <c r="AV73" s="49"/>
      <c r="AW73" s="49"/>
      <c r="AX73" s="49"/>
      <c r="AY73" s="49"/>
      <c r="AZ73" s="49"/>
      <c r="BA73" s="49"/>
      <c r="BB73" s="49"/>
      <c r="BC73" s="49"/>
      <c r="BD73" s="49"/>
      <c r="BE73" s="49"/>
      <c r="BF73" s="49"/>
      <c r="BG73" s="49"/>
      <c r="BH73" s="49"/>
      <c r="BI73" s="49"/>
      <c r="BJ73" s="49"/>
      <c r="BK73" s="49"/>
      <c r="BL73" s="49"/>
      <c r="BM73" s="49"/>
      <c r="BN73" s="49"/>
      <c r="BO73" s="49"/>
      <c r="BP73" s="49"/>
      <c r="BQ73" s="49"/>
      <c r="BR73" s="49"/>
      <c r="BS73" s="49"/>
      <c r="BT73" s="49"/>
      <c r="BU73" s="49"/>
      <c r="BV73" s="49"/>
      <c r="BW73" s="49"/>
      <c r="BX73" s="49"/>
      <c r="BY73" s="49"/>
      <c r="BZ73" s="49"/>
      <c r="CA73" s="49"/>
      <c r="CB73" s="49"/>
      <c r="CC73" s="49"/>
      <c r="CD73" s="49"/>
      <c r="CE73" s="49"/>
      <c r="CF73" s="49"/>
      <c r="CG73" s="49"/>
      <c r="CH73" s="49"/>
      <c r="CI73" s="49"/>
      <c r="CJ73" s="49"/>
      <c r="CK73" s="49"/>
      <c r="CL73" s="49"/>
      <c r="CM73" s="49"/>
      <c r="CN73" s="49"/>
      <c r="CO73" s="49"/>
      <c r="CP73" s="49"/>
      <c r="CQ73" s="49"/>
      <c r="CR73" s="49"/>
      <c r="CS73" s="49"/>
      <c r="CT73" s="49"/>
      <c r="CU73" s="49"/>
      <c r="CV73" s="49"/>
      <c r="CW73" s="49"/>
      <c r="CX73" s="49"/>
      <c r="CY73" s="49"/>
      <c r="CZ73" s="49"/>
      <c r="DA73" s="49"/>
    </row>
    <row r="74" spans="1:105" x14ac:dyDescent="0.35">
      <c r="A74" s="49"/>
      <c r="B74" s="50"/>
      <c r="C74" s="49"/>
      <c r="D74" s="49"/>
      <c r="E74" s="49"/>
      <c r="F74" s="49"/>
      <c r="G74" s="49"/>
      <c r="H74" s="49"/>
      <c r="I74" s="49"/>
      <c r="J74" s="49"/>
      <c r="K74" s="49"/>
      <c r="L74" s="49"/>
      <c r="M74" s="49"/>
      <c r="N74" s="49"/>
      <c r="O74" s="49"/>
      <c r="P74" s="49"/>
      <c r="Q74" s="49"/>
      <c r="R74" s="49"/>
      <c r="S74" s="49"/>
      <c r="T74" s="49"/>
      <c r="U74" s="49"/>
      <c r="V74" s="49"/>
      <c r="W74" s="49"/>
      <c r="X74" s="49"/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49"/>
      <c r="AP74" s="49"/>
      <c r="AQ74" s="49"/>
      <c r="AR74" s="49"/>
      <c r="AS74" s="49"/>
      <c r="AT74" s="49"/>
      <c r="AU74" s="49"/>
      <c r="AV74" s="49"/>
      <c r="AW74" s="49"/>
      <c r="AX74" s="49"/>
      <c r="AY74" s="49"/>
      <c r="AZ74" s="49"/>
      <c r="BA74" s="49"/>
      <c r="BB74" s="49"/>
      <c r="BC74" s="49"/>
      <c r="BD74" s="49"/>
      <c r="BE74" s="49"/>
      <c r="BF74" s="49"/>
      <c r="BG74" s="49"/>
      <c r="BH74" s="49"/>
      <c r="BI74" s="49"/>
      <c r="BJ74" s="49"/>
      <c r="BK74" s="49"/>
      <c r="BL74" s="49"/>
      <c r="BM74" s="49"/>
      <c r="BN74" s="49"/>
      <c r="BO74" s="49"/>
      <c r="BP74" s="49"/>
      <c r="BQ74" s="49"/>
      <c r="BR74" s="49"/>
      <c r="BS74" s="49"/>
      <c r="BT74" s="49"/>
      <c r="BU74" s="49"/>
      <c r="BV74" s="49"/>
      <c r="BW74" s="49"/>
      <c r="BX74" s="49"/>
      <c r="BY74" s="49"/>
      <c r="BZ74" s="49"/>
      <c r="CA74" s="49"/>
      <c r="CB74" s="49"/>
      <c r="CC74" s="49"/>
      <c r="CD74" s="49"/>
      <c r="CE74" s="49"/>
      <c r="CF74" s="49"/>
      <c r="CG74" s="49"/>
      <c r="CH74" s="49"/>
      <c r="CI74" s="49"/>
      <c r="CJ74" s="49"/>
      <c r="CK74" s="49"/>
      <c r="CL74" s="49"/>
      <c r="CM74" s="49"/>
      <c r="CN74" s="49"/>
      <c r="CO74" s="49"/>
      <c r="CP74" s="49"/>
      <c r="CQ74" s="49"/>
      <c r="CR74" s="49"/>
      <c r="CS74" s="49"/>
      <c r="CT74" s="49"/>
      <c r="CU74" s="49"/>
      <c r="CV74" s="49"/>
      <c r="CW74" s="49"/>
      <c r="CX74" s="49"/>
      <c r="CY74" s="49"/>
      <c r="CZ74" s="49"/>
      <c r="DA74" s="49"/>
    </row>
    <row r="75" spans="1:105" x14ac:dyDescent="0.35">
      <c r="A75" s="49"/>
      <c r="B75" s="50"/>
      <c r="C75" s="49"/>
      <c r="D75" s="49"/>
      <c r="E75" s="49"/>
      <c r="F75" s="49"/>
      <c r="G75" s="49"/>
      <c r="H75" s="49"/>
      <c r="I75" s="49"/>
      <c r="J75" s="49"/>
      <c r="K75" s="49"/>
      <c r="L75" s="49"/>
      <c r="M75" s="49"/>
      <c r="N75" s="49"/>
      <c r="O75" s="49"/>
      <c r="P75" s="49"/>
      <c r="Q75" s="49"/>
      <c r="R75" s="49"/>
      <c r="S75" s="49"/>
      <c r="T75" s="49"/>
      <c r="U75" s="49"/>
      <c r="V75" s="49"/>
      <c r="W75" s="49"/>
      <c r="X75" s="49"/>
      <c r="Y75" s="49"/>
      <c r="Z75" s="49"/>
      <c r="AA75" s="49"/>
      <c r="AB75" s="49"/>
      <c r="AC75" s="49"/>
      <c r="AD75" s="49"/>
      <c r="AE75" s="49"/>
      <c r="AF75" s="49"/>
      <c r="AG75" s="49"/>
      <c r="AH75" s="49"/>
      <c r="AI75" s="49"/>
      <c r="AJ75" s="49"/>
      <c r="AK75" s="49"/>
      <c r="AL75" s="49"/>
      <c r="AM75" s="49"/>
      <c r="AN75" s="49"/>
      <c r="AO75" s="49"/>
      <c r="AP75" s="49"/>
      <c r="AQ75" s="49"/>
      <c r="AR75" s="49"/>
      <c r="AS75" s="49"/>
      <c r="AT75" s="49"/>
      <c r="AU75" s="49"/>
      <c r="AV75" s="49"/>
      <c r="AW75" s="49"/>
      <c r="AX75" s="49"/>
      <c r="AY75" s="49"/>
      <c r="AZ75" s="49"/>
      <c r="BA75" s="49"/>
      <c r="BB75" s="49"/>
      <c r="BC75" s="49"/>
      <c r="BD75" s="49"/>
      <c r="BE75" s="49"/>
      <c r="BF75" s="49"/>
      <c r="BG75" s="49"/>
      <c r="BH75" s="49"/>
      <c r="BI75" s="49"/>
      <c r="BJ75" s="49"/>
      <c r="BK75" s="49"/>
      <c r="BL75" s="49"/>
      <c r="BM75" s="49"/>
      <c r="BN75" s="49"/>
      <c r="BO75" s="49"/>
      <c r="BP75" s="49"/>
      <c r="BQ75" s="49"/>
      <c r="BR75" s="49"/>
      <c r="BS75" s="49"/>
      <c r="BT75" s="49"/>
      <c r="BU75" s="49"/>
      <c r="BV75" s="49"/>
      <c r="BW75" s="49"/>
      <c r="BX75" s="49"/>
      <c r="BY75" s="49"/>
      <c r="BZ75" s="49"/>
      <c r="CA75" s="49"/>
      <c r="CB75" s="49"/>
      <c r="CC75" s="49"/>
      <c r="CD75" s="49"/>
      <c r="CE75" s="49"/>
      <c r="CF75" s="49"/>
      <c r="CG75" s="49"/>
      <c r="CH75" s="49"/>
      <c r="CI75" s="49"/>
      <c r="CJ75" s="49"/>
      <c r="CK75" s="49"/>
      <c r="CL75" s="49"/>
      <c r="CM75" s="49"/>
      <c r="CN75" s="49"/>
      <c r="CO75" s="49"/>
      <c r="CP75" s="49"/>
      <c r="CQ75" s="49"/>
      <c r="CR75" s="49"/>
      <c r="CS75" s="49"/>
      <c r="CT75" s="49"/>
      <c r="CU75" s="49"/>
      <c r="CV75" s="49"/>
      <c r="CW75" s="49"/>
      <c r="CX75" s="49"/>
      <c r="CY75" s="49"/>
      <c r="CZ75" s="49"/>
      <c r="DA75" s="49"/>
    </row>
    <row r="76" spans="1:105" x14ac:dyDescent="0.35">
      <c r="A76" s="49"/>
      <c r="B76" s="50"/>
      <c r="C76" s="49"/>
      <c r="D76" s="49"/>
      <c r="E76" s="49"/>
      <c r="F76" s="49"/>
      <c r="G76" s="49"/>
      <c r="H76" s="49"/>
      <c r="I76" s="49"/>
      <c r="J76" s="49"/>
      <c r="K76" s="49"/>
      <c r="L76" s="49"/>
      <c r="M76" s="49"/>
      <c r="N76" s="49"/>
      <c r="O76" s="49"/>
      <c r="P76" s="49"/>
      <c r="Q76" s="49"/>
      <c r="R76" s="49"/>
      <c r="S76" s="49"/>
      <c r="T76" s="49"/>
      <c r="U76" s="49"/>
      <c r="V76" s="49"/>
      <c r="W76" s="49"/>
      <c r="X76" s="49"/>
      <c r="Y76" s="49"/>
      <c r="Z76" s="49"/>
      <c r="AA76" s="49"/>
      <c r="AB76" s="49"/>
      <c r="AC76" s="49"/>
      <c r="AD76" s="49"/>
      <c r="AE76" s="49"/>
      <c r="AF76" s="49"/>
      <c r="AG76" s="49"/>
      <c r="AH76" s="49"/>
      <c r="AI76" s="49"/>
      <c r="AJ76" s="49"/>
      <c r="AK76" s="49"/>
      <c r="AL76" s="49"/>
      <c r="AM76" s="49"/>
      <c r="AN76" s="49"/>
      <c r="AO76" s="49"/>
      <c r="AP76" s="49"/>
      <c r="AQ76" s="49"/>
      <c r="AR76" s="49"/>
      <c r="AS76" s="49"/>
      <c r="AT76" s="49"/>
      <c r="AU76" s="49"/>
      <c r="AV76" s="49"/>
      <c r="AW76" s="49"/>
      <c r="AX76" s="49"/>
      <c r="AY76" s="49"/>
      <c r="AZ76" s="49"/>
      <c r="BA76" s="49"/>
      <c r="BB76" s="49"/>
      <c r="BC76" s="49"/>
      <c r="BD76" s="49"/>
      <c r="BE76" s="49"/>
      <c r="BF76" s="49"/>
      <c r="BG76" s="49"/>
      <c r="BH76" s="49"/>
      <c r="BI76" s="49"/>
      <c r="BJ76" s="49"/>
      <c r="BK76" s="49"/>
      <c r="BL76" s="49"/>
      <c r="BM76" s="49"/>
      <c r="BN76" s="49"/>
      <c r="BO76" s="49"/>
      <c r="BP76" s="49"/>
      <c r="BQ76" s="49"/>
      <c r="BR76" s="49"/>
      <c r="BS76" s="49"/>
      <c r="BT76" s="49"/>
      <c r="BU76" s="49"/>
      <c r="BV76" s="49"/>
      <c r="BW76" s="49"/>
      <c r="BX76" s="49"/>
      <c r="BY76" s="49"/>
      <c r="BZ76" s="49"/>
      <c r="CA76" s="49"/>
      <c r="CB76" s="49"/>
      <c r="CC76" s="49"/>
      <c r="CD76" s="49"/>
      <c r="CE76" s="49"/>
      <c r="CF76" s="49"/>
      <c r="CG76" s="49"/>
      <c r="CH76" s="49"/>
      <c r="CI76" s="49"/>
      <c r="CJ76" s="49"/>
      <c r="CK76" s="49"/>
      <c r="CL76" s="49"/>
      <c r="CM76" s="49"/>
      <c r="CN76" s="49"/>
      <c r="CO76" s="49"/>
      <c r="CP76" s="49"/>
      <c r="CQ76" s="49"/>
      <c r="CR76" s="49"/>
      <c r="CS76" s="49"/>
      <c r="CT76" s="49"/>
      <c r="CU76" s="49"/>
      <c r="CV76" s="49"/>
      <c r="CW76" s="49"/>
      <c r="CX76" s="49"/>
      <c r="CY76" s="49"/>
      <c r="CZ76" s="49"/>
      <c r="DA76" s="49"/>
    </row>
    <row r="77" spans="1:105" x14ac:dyDescent="0.35">
      <c r="A77" s="49"/>
      <c r="B77" s="50"/>
      <c r="C77" s="49"/>
      <c r="D77" s="49"/>
      <c r="E77" s="49"/>
      <c r="F77" s="49"/>
      <c r="G77" s="49"/>
      <c r="H77" s="49"/>
      <c r="I77" s="49"/>
      <c r="J77" s="49"/>
      <c r="K77" s="49"/>
      <c r="L77" s="49"/>
      <c r="M77" s="49"/>
      <c r="N77" s="49"/>
      <c r="O77" s="49"/>
      <c r="P77" s="49"/>
      <c r="Q77" s="49"/>
      <c r="R77" s="49"/>
      <c r="S77" s="49"/>
      <c r="T77" s="49"/>
      <c r="U77" s="49"/>
      <c r="V77" s="49"/>
      <c r="W77" s="49"/>
      <c r="X77" s="49"/>
      <c r="Y77" s="49"/>
      <c r="Z77" s="49"/>
      <c r="AA77" s="49"/>
      <c r="AB77" s="49"/>
      <c r="AC77" s="49"/>
      <c r="AD77" s="49"/>
      <c r="AE77" s="49"/>
      <c r="AF77" s="49"/>
      <c r="AG77" s="49"/>
      <c r="AH77" s="49"/>
      <c r="AI77" s="49"/>
      <c r="AJ77" s="49"/>
      <c r="AK77" s="49"/>
      <c r="AL77" s="49"/>
      <c r="AM77" s="49"/>
      <c r="AN77" s="49"/>
      <c r="AO77" s="49"/>
      <c r="AP77" s="49"/>
      <c r="AQ77" s="49"/>
      <c r="AR77" s="49"/>
      <c r="AS77" s="49"/>
      <c r="AT77" s="49"/>
      <c r="AU77" s="49"/>
      <c r="AV77" s="49"/>
      <c r="AW77" s="49"/>
      <c r="AX77" s="49"/>
      <c r="AY77" s="49"/>
      <c r="AZ77" s="49"/>
      <c r="BA77" s="49"/>
      <c r="BB77" s="49"/>
      <c r="BC77" s="49"/>
      <c r="BD77" s="49"/>
      <c r="BE77" s="49"/>
      <c r="BF77" s="49"/>
      <c r="BG77" s="49"/>
      <c r="BH77" s="49"/>
      <c r="BI77" s="49"/>
      <c r="BJ77" s="49"/>
      <c r="BK77" s="49"/>
      <c r="BL77" s="49"/>
      <c r="BM77" s="49"/>
      <c r="BN77" s="49"/>
      <c r="BO77" s="49"/>
      <c r="BP77" s="49"/>
      <c r="BQ77" s="49"/>
      <c r="BR77" s="49"/>
      <c r="BS77" s="49"/>
      <c r="BT77" s="49"/>
      <c r="BU77" s="49"/>
      <c r="BV77" s="49"/>
      <c r="BW77" s="49"/>
      <c r="BX77" s="49"/>
      <c r="BY77" s="49"/>
      <c r="BZ77" s="49"/>
      <c r="CA77" s="49"/>
      <c r="CB77" s="49"/>
      <c r="CC77" s="49"/>
      <c r="CD77" s="49"/>
      <c r="CE77" s="49"/>
      <c r="CF77" s="49"/>
      <c r="CG77" s="49"/>
      <c r="CH77" s="49"/>
      <c r="CI77" s="49"/>
      <c r="CJ77" s="49"/>
      <c r="CK77" s="49"/>
      <c r="CL77" s="49"/>
      <c r="CM77" s="49"/>
      <c r="CN77" s="49"/>
      <c r="CO77" s="49"/>
      <c r="CP77" s="49"/>
      <c r="CQ77" s="49"/>
      <c r="CR77" s="49"/>
      <c r="CS77" s="49"/>
      <c r="CT77" s="49"/>
      <c r="CU77" s="49"/>
      <c r="CV77" s="49"/>
      <c r="CW77" s="49"/>
      <c r="CX77" s="49"/>
      <c r="CY77" s="49"/>
      <c r="CZ77" s="49"/>
      <c r="DA77" s="49"/>
    </row>
    <row r="78" spans="1:105" x14ac:dyDescent="0.35">
      <c r="A78" s="49"/>
      <c r="B78" s="50"/>
      <c r="C78" s="49"/>
      <c r="D78" s="49"/>
      <c r="E78" s="49"/>
      <c r="F78" s="49"/>
      <c r="G78" s="49"/>
      <c r="H78" s="49"/>
      <c r="I78" s="49"/>
      <c r="J78" s="49"/>
      <c r="K78" s="49"/>
      <c r="L78" s="49"/>
      <c r="M78" s="49"/>
      <c r="N78" s="49"/>
      <c r="O78" s="49"/>
      <c r="P78" s="49"/>
      <c r="Q78" s="49"/>
      <c r="R78" s="49"/>
      <c r="S78" s="49"/>
      <c r="T78" s="49"/>
      <c r="U78" s="49"/>
      <c r="V78" s="49"/>
      <c r="W78" s="49"/>
      <c r="X78" s="49"/>
      <c r="Y78" s="49"/>
      <c r="Z78" s="49"/>
      <c r="AA78" s="49"/>
      <c r="AB78" s="49"/>
      <c r="AC78" s="49"/>
      <c r="AD78" s="49"/>
      <c r="AE78" s="49"/>
      <c r="AF78" s="49"/>
      <c r="AG78" s="49"/>
      <c r="AH78" s="49"/>
      <c r="AI78" s="49"/>
      <c r="AJ78" s="49"/>
      <c r="AK78" s="49"/>
      <c r="AL78" s="49"/>
      <c r="AM78" s="49"/>
      <c r="AN78" s="49"/>
      <c r="AO78" s="49"/>
      <c r="AP78" s="49"/>
      <c r="AQ78" s="49"/>
      <c r="AR78" s="49"/>
      <c r="AS78" s="49"/>
      <c r="AT78" s="49"/>
      <c r="AU78" s="49"/>
      <c r="AV78" s="49"/>
      <c r="AW78" s="49"/>
      <c r="AX78" s="49"/>
      <c r="AY78" s="49"/>
      <c r="AZ78" s="49"/>
      <c r="BA78" s="49"/>
      <c r="BB78" s="49"/>
      <c r="BC78" s="49"/>
      <c r="BD78" s="49"/>
      <c r="BE78" s="49"/>
      <c r="BF78" s="49"/>
      <c r="BG78" s="49"/>
      <c r="BH78" s="49"/>
      <c r="BI78" s="49"/>
      <c r="BJ78" s="49"/>
      <c r="BK78" s="49"/>
      <c r="BL78" s="49"/>
      <c r="BM78" s="49"/>
      <c r="BN78" s="49"/>
      <c r="BO78" s="49"/>
      <c r="BP78" s="49"/>
      <c r="BQ78" s="49"/>
      <c r="BR78" s="49"/>
      <c r="BS78" s="49"/>
      <c r="BT78" s="49"/>
      <c r="BU78" s="49"/>
      <c r="BV78" s="49"/>
      <c r="BW78" s="49"/>
      <c r="BX78" s="49"/>
      <c r="BY78" s="49"/>
      <c r="BZ78" s="49"/>
      <c r="CA78" s="49"/>
      <c r="CB78" s="49"/>
      <c r="CC78" s="49"/>
      <c r="CD78" s="49"/>
      <c r="CE78" s="49"/>
      <c r="CF78" s="49"/>
      <c r="CG78" s="49"/>
      <c r="CH78" s="49"/>
      <c r="CI78" s="49"/>
      <c r="CJ78" s="49"/>
      <c r="CK78" s="49"/>
      <c r="CL78" s="49"/>
      <c r="CM78" s="49"/>
      <c r="CN78" s="49"/>
      <c r="CO78" s="49"/>
      <c r="CP78" s="49"/>
      <c r="CQ78" s="49"/>
      <c r="CR78" s="49"/>
      <c r="CS78" s="49"/>
      <c r="CT78" s="49"/>
      <c r="CU78" s="49"/>
      <c r="CV78" s="49"/>
      <c r="CW78" s="49"/>
      <c r="CX78" s="49"/>
      <c r="CY78" s="49"/>
      <c r="CZ78" s="49"/>
      <c r="DA78" s="49"/>
    </row>
    <row r="79" spans="1:105" x14ac:dyDescent="0.35">
      <c r="A79" s="49"/>
      <c r="B79" s="50"/>
      <c r="C79" s="49"/>
      <c r="D79" s="49"/>
      <c r="E79" s="49"/>
      <c r="F79" s="49"/>
      <c r="G79" s="49"/>
      <c r="H79" s="49"/>
      <c r="I79" s="49"/>
      <c r="J79" s="49"/>
      <c r="K79" s="49"/>
      <c r="L79" s="49"/>
      <c r="M79" s="49"/>
      <c r="N79" s="49"/>
      <c r="O79" s="49"/>
      <c r="P79" s="49"/>
      <c r="Q79" s="49"/>
      <c r="R79" s="49"/>
      <c r="S79" s="49"/>
      <c r="T79" s="49"/>
      <c r="U79" s="49"/>
      <c r="V79" s="49"/>
      <c r="W79" s="49"/>
      <c r="X79" s="49"/>
      <c r="Y79" s="49"/>
      <c r="Z79" s="49"/>
      <c r="AA79" s="49"/>
      <c r="AB79" s="49"/>
      <c r="AC79" s="49"/>
      <c r="AD79" s="49"/>
      <c r="AE79" s="49"/>
      <c r="AF79" s="49"/>
      <c r="AG79" s="49"/>
      <c r="AH79" s="49"/>
      <c r="AI79" s="49"/>
      <c r="AJ79" s="49"/>
      <c r="AK79" s="49"/>
      <c r="AL79" s="49"/>
      <c r="AM79" s="49"/>
      <c r="AN79" s="49"/>
      <c r="AO79" s="49"/>
      <c r="AP79" s="49"/>
      <c r="AQ79" s="49"/>
      <c r="AR79" s="49"/>
      <c r="AS79" s="49"/>
      <c r="AT79" s="49"/>
      <c r="AU79" s="49"/>
      <c r="AV79" s="49"/>
      <c r="AW79" s="49"/>
      <c r="AX79" s="49"/>
      <c r="AY79" s="49"/>
      <c r="AZ79" s="49"/>
      <c r="BA79" s="49"/>
      <c r="BB79" s="49"/>
      <c r="BC79" s="49"/>
      <c r="BD79" s="49"/>
      <c r="BE79" s="49"/>
      <c r="BF79" s="49"/>
      <c r="BG79" s="49"/>
      <c r="BH79" s="49"/>
      <c r="BI79" s="49"/>
      <c r="BJ79" s="49"/>
      <c r="BK79" s="49"/>
      <c r="BL79" s="49"/>
      <c r="BM79" s="49"/>
      <c r="BN79" s="49"/>
      <c r="BO79" s="49"/>
      <c r="BP79" s="49"/>
      <c r="BQ79" s="49"/>
      <c r="BR79" s="49"/>
      <c r="BS79" s="49"/>
      <c r="BT79" s="49"/>
      <c r="BU79" s="49"/>
      <c r="BV79" s="49"/>
      <c r="BW79" s="49"/>
      <c r="BX79" s="49"/>
      <c r="BY79" s="49"/>
      <c r="BZ79" s="49"/>
      <c r="CA79" s="49"/>
      <c r="CB79" s="49"/>
      <c r="CC79" s="49"/>
      <c r="CD79" s="49"/>
      <c r="CE79" s="49"/>
      <c r="CF79" s="49"/>
      <c r="CG79" s="49"/>
      <c r="CH79" s="49"/>
      <c r="CI79" s="49"/>
      <c r="CJ79" s="49"/>
      <c r="CK79" s="49"/>
      <c r="CL79" s="49"/>
      <c r="CM79" s="49"/>
      <c r="CN79" s="49"/>
      <c r="CO79" s="49"/>
      <c r="CP79" s="49"/>
      <c r="CQ79" s="49"/>
      <c r="CR79" s="49"/>
      <c r="CS79" s="49"/>
      <c r="CT79" s="49"/>
      <c r="CU79" s="49"/>
      <c r="CV79" s="49"/>
      <c r="CW79" s="49"/>
      <c r="CX79" s="49"/>
      <c r="CY79" s="49"/>
      <c r="CZ79" s="49"/>
      <c r="DA79" s="49"/>
    </row>
    <row r="80" spans="1:105" x14ac:dyDescent="0.35">
      <c r="A80" s="49"/>
      <c r="B80" s="49"/>
      <c r="C80" s="49"/>
      <c r="D80" s="49"/>
      <c r="E80" s="49"/>
      <c r="F80" s="49"/>
      <c r="G80" s="49"/>
      <c r="H80" s="49"/>
      <c r="I80" s="49"/>
      <c r="J80" s="49"/>
      <c r="K80" s="49"/>
      <c r="L80" s="49"/>
      <c r="M80" s="49"/>
      <c r="N80" s="49"/>
      <c r="O80" s="49"/>
      <c r="P80" s="49"/>
      <c r="Q80" s="49"/>
      <c r="R80" s="49"/>
      <c r="S80" s="49"/>
      <c r="T80" s="49"/>
      <c r="U80" s="49"/>
      <c r="V80" s="49"/>
      <c r="W80" s="49"/>
      <c r="X80" s="49"/>
      <c r="Y80" s="49"/>
      <c r="Z80" s="49"/>
      <c r="AA80" s="49"/>
      <c r="AB80" s="49"/>
      <c r="AC80" s="49"/>
      <c r="AD80" s="49"/>
      <c r="AE80" s="49"/>
      <c r="AF80" s="49"/>
      <c r="AG80" s="49"/>
      <c r="AH80" s="49"/>
      <c r="AI80" s="49"/>
      <c r="AJ80" s="49"/>
      <c r="AK80" s="49"/>
      <c r="AL80" s="49"/>
      <c r="AM80" s="49"/>
      <c r="AN80" s="49"/>
      <c r="AO80" s="49"/>
      <c r="AP80" s="49"/>
      <c r="AQ80" s="49"/>
      <c r="AR80" s="49"/>
      <c r="AS80" s="49"/>
      <c r="AT80" s="49"/>
      <c r="AU80" s="49"/>
      <c r="AV80" s="49"/>
      <c r="AW80" s="49"/>
      <c r="AX80" s="49"/>
      <c r="AY80" s="49"/>
      <c r="AZ80" s="49"/>
      <c r="BA80" s="49"/>
      <c r="BB80" s="49"/>
      <c r="BC80" s="49"/>
      <c r="BD80" s="49"/>
      <c r="BE80" s="49"/>
      <c r="BF80" s="49"/>
      <c r="BG80" s="49"/>
      <c r="BH80" s="49"/>
      <c r="BI80" s="49"/>
      <c r="BJ80" s="49"/>
      <c r="BK80" s="49"/>
      <c r="BL80" s="49"/>
      <c r="BM80" s="49"/>
      <c r="BN80" s="49"/>
      <c r="BO80" s="49"/>
      <c r="BP80" s="49"/>
      <c r="BQ80" s="49"/>
      <c r="BR80" s="49"/>
      <c r="BS80" s="49"/>
      <c r="BT80" s="49"/>
      <c r="BU80" s="49"/>
      <c r="BV80" s="49"/>
      <c r="BW80" s="49"/>
      <c r="BX80" s="49"/>
      <c r="BY80" s="49"/>
      <c r="BZ80" s="49"/>
      <c r="CA80" s="49"/>
      <c r="CB80" s="49"/>
      <c r="CC80" s="49"/>
      <c r="CD80" s="49"/>
      <c r="CE80" s="49"/>
      <c r="CF80" s="49"/>
      <c r="CG80" s="49"/>
      <c r="CH80" s="49"/>
      <c r="CI80" s="49"/>
      <c r="CJ80" s="49"/>
      <c r="CK80" s="49"/>
      <c r="CL80" s="49"/>
      <c r="CM80" s="49"/>
      <c r="CN80" s="49"/>
      <c r="CO80" s="49"/>
      <c r="CP80" s="49"/>
      <c r="CQ80" s="49"/>
      <c r="CR80" s="49"/>
      <c r="CS80" s="49"/>
      <c r="CT80" s="49"/>
      <c r="CU80" s="49"/>
      <c r="CV80" s="49"/>
      <c r="CW80" s="49"/>
      <c r="CX80" s="49"/>
      <c r="CY80" s="49"/>
      <c r="CZ80" s="49"/>
      <c r="DA80" s="49"/>
    </row>
    <row r="81" spans="1:105" x14ac:dyDescent="0.35">
      <c r="A81" s="49"/>
      <c r="B81" s="49"/>
      <c r="C81" s="49"/>
      <c r="D81" s="49"/>
      <c r="E81" s="49"/>
      <c r="F81" s="49"/>
      <c r="G81" s="49"/>
      <c r="H81" s="49"/>
      <c r="I81" s="49"/>
      <c r="J81" s="49"/>
      <c r="K81" s="49"/>
      <c r="L81" s="49"/>
      <c r="M81" s="49"/>
      <c r="N81" s="49"/>
      <c r="O81" s="49"/>
      <c r="P81" s="49"/>
      <c r="Q81" s="49"/>
      <c r="R81" s="49"/>
      <c r="S81" s="49"/>
      <c r="T81" s="49"/>
      <c r="U81" s="49"/>
      <c r="V81" s="49"/>
      <c r="W81" s="49"/>
      <c r="X81" s="49"/>
      <c r="Y81" s="49"/>
      <c r="Z81" s="49"/>
      <c r="AA81" s="49"/>
      <c r="AB81" s="49"/>
      <c r="AC81" s="49"/>
      <c r="AD81" s="49"/>
      <c r="AE81" s="49"/>
      <c r="AF81" s="49"/>
      <c r="AG81" s="49"/>
      <c r="AH81" s="49"/>
      <c r="AI81" s="49"/>
      <c r="AJ81" s="49"/>
      <c r="AK81" s="49"/>
      <c r="AL81" s="49"/>
      <c r="AM81" s="49"/>
      <c r="AN81" s="49"/>
      <c r="AO81" s="49"/>
      <c r="AP81" s="49"/>
      <c r="AQ81" s="49"/>
      <c r="AR81" s="49"/>
      <c r="AS81" s="49"/>
      <c r="AT81" s="49"/>
      <c r="AU81" s="49"/>
      <c r="AV81" s="49"/>
      <c r="AW81" s="49"/>
      <c r="AX81" s="49"/>
      <c r="AY81" s="49"/>
      <c r="AZ81" s="49"/>
      <c r="BA81" s="49"/>
      <c r="BB81" s="49"/>
      <c r="BC81" s="49"/>
      <c r="BD81" s="49"/>
      <c r="BE81" s="49"/>
      <c r="BF81" s="49"/>
      <c r="BG81" s="49"/>
      <c r="BH81" s="49"/>
      <c r="BI81" s="49"/>
      <c r="BJ81" s="49"/>
      <c r="BK81" s="49"/>
      <c r="BL81" s="49"/>
      <c r="BM81" s="49"/>
      <c r="BN81" s="49"/>
      <c r="BO81" s="49"/>
      <c r="BP81" s="49"/>
      <c r="BQ81" s="49"/>
      <c r="BR81" s="49"/>
      <c r="BS81" s="49"/>
      <c r="BT81" s="49"/>
      <c r="BU81" s="49"/>
      <c r="BV81" s="49"/>
      <c r="BW81" s="49"/>
      <c r="BX81" s="49"/>
      <c r="BY81" s="49"/>
      <c r="BZ81" s="49"/>
      <c r="CA81" s="49"/>
      <c r="CB81" s="49"/>
      <c r="CC81" s="49"/>
      <c r="CD81" s="49"/>
      <c r="CE81" s="49"/>
      <c r="CF81" s="49"/>
      <c r="CG81" s="49"/>
      <c r="CH81" s="49"/>
      <c r="CI81" s="49"/>
      <c r="CJ81" s="49"/>
      <c r="CK81" s="49"/>
      <c r="CL81" s="49"/>
      <c r="CM81" s="49"/>
      <c r="CN81" s="49"/>
      <c r="CO81" s="49"/>
      <c r="CP81" s="49"/>
      <c r="CQ81" s="49"/>
      <c r="CR81" s="49"/>
      <c r="CS81" s="49"/>
      <c r="CT81" s="49"/>
      <c r="CU81" s="49"/>
      <c r="CV81" s="49"/>
      <c r="CW81" s="49"/>
      <c r="CX81" s="49"/>
      <c r="CY81" s="49"/>
      <c r="CZ81" s="49"/>
      <c r="DA81" s="49"/>
    </row>
    <row r="82" spans="1:105" x14ac:dyDescent="0.35">
      <c r="A82" s="49"/>
      <c r="B82" s="49"/>
      <c r="C82" s="49"/>
      <c r="D82" s="49"/>
      <c r="E82" s="49"/>
      <c r="F82" s="49"/>
      <c r="G82" s="49"/>
      <c r="H82" s="49"/>
      <c r="I82" s="49"/>
      <c r="J82" s="49"/>
      <c r="K82" s="49"/>
      <c r="L82" s="49"/>
      <c r="M82" s="49"/>
      <c r="N82" s="49"/>
      <c r="O82" s="49"/>
      <c r="P82" s="49"/>
      <c r="Q82" s="49"/>
      <c r="R82" s="49"/>
      <c r="S82" s="49"/>
      <c r="T82" s="49"/>
      <c r="U82" s="49"/>
      <c r="V82" s="49"/>
      <c r="W82" s="49"/>
      <c r="X82" s="49"/>
      <c r="Y82" s="49"/>
      <c r="Z82" s="49"/>
      <c r="AA82" s="49"/>
      <c r="AB82" s="49"/>
      <c r="AC82" s="49"/>
      <c r="AD82" s="49"/>
      <c r="AE82" s="49"/>
      <c r="AF82" s="49"/>
      <c r="AG82" s="49"/>
      <c r="AH82" s="49"/>
      <c r="AI82" s="49"/>
      <c r="AJ82" s="49"/>
      <c r="AK82" s="49"/>
      <c r="AL82" s="49"/>
      <c r="AM82" s="49"/>
      <c r="AN82" s="49"/>
      <c r="AO82" s="49"/>
      <c r="AP82" s="49"/>
      <c r="AQ82" s="49"/>
      <c r="AR82" s="49"/>
      <c r="AS82" s="49"/>
      <c r="AT82" s="49"/>
      <c r="AU82" s="49"/>
      <c r="AV82" s="49"/>
      <c r="AW82" s="49"/>
      <c r="AX82" s="49"/>
      <c r="AY82" s="49"/>
      <c r="AZ82" s="49"/>
      <c r="BA82" s="49"/>
      <c r="BB82" s="49"/>
      <c r="BC82" s="49"/>
      <c r="BD82" s="49"/>
      <c r="BE82" s="49"/>
      <c r="BF82" s="49"/>
      <c r="BG82" s="49"/>
      <c r="BH82" s="49"/>
      <c r="BI82" s="49"/>
      <c r="BJ82" s="49"/>
      <c r="BK82" s="49"/>
      <c r="BL82" s="49"/>
      <c r="BM82" s="49"/>
      <c r="BN82" s="49"/>
      <c r="BO82" s="49"/>
      <c r="BP82" s="49"/>
      <c r="BQ82" s="49"/>
      <c r="BR82" s="49"/>
      <c r="BS82" s="49"/>
      <c r="BT82" s="49"/>
      <c r="BU82" s="49"/>
      <c r="BV82" s="49"/>
      <c r="BW82" s="49"/>
      <c r="BX82" s="49"/>
      <c r="BY82" s="49"/>
      <c r="BZ82" s="49"/>
      <c r="CA82" s="49"/>
      <c r="CB82" s="49"/>
      <c r="CC82" s="49"/>
      <c r="CD82" s="49"/>
      <c r="CE82" s="49"/>
      <c r="CF82" s="49"/>
      <c r="CG82" s="49"/>
      <c r="CH82" s="49"/>
      <c r="CI82" s="49"/>
      <c r="CJ82" s="49"/>
      <c r="CK82" s="49"/>
      <c r="CL82" s="49"/>
      <c r="CM82" s="49"/>
      <c r="CN82" s="49"/>
      <c r="CO82" s="49"/>
      <c r="CP82" s="49"/>
      <c r="CQ82" s="49"/>
      <c r="CR82" s="49"/>
      <c r="CS82" s="49"/>
      <c r="CT82" s="49"/>
      <c r="CU82" s="49"/>
      <c r="CV82" s="49"/>
      <c r="CW82" s="49"/>
      <c r="CX82" s="49"/>
      <c r="CY82" s="49"/>
      <c r="CZ82" s="49"/>
      <c r="DA82" s="49"/>
    </row>
    <row r="83" spans="1:105" s="56" customFormat="1" ht="18" x14ac:dyDescent="0.4">
      <c r="B83" s="57" t="s">
        <v>68</v>
      </c>
    </row>
    <row r="84" spans="1:105" x14ac:dyDescent="0.35">
      <c r="A84" s="49"/>
      <c r="B84" s="49"/>
      <c r="C84" s="49"/>
      <c r="D84" s="49"/>
      <c r="E84" s="49"/>
      <c r="F84" s="49"/>
      <c r="G84" s="49"/>
      <c r="H84" s="49"/>
      <c r="I84" s="49"/>
      <c r="J84" s="49"/>
      <c r="K84" s="49"/>
      <c r="L84" s="49"/>
      <c r="M84" s="49"/>
      <c r="N84" s="49"/>
      <c r="O84" s="49"/>
      <c r="P84" s="49"/>
      <c r="Q84" s="49"/>
      <c r="R84" s="49"/>
      <c r="S84" s="49"/>
      <c r="T84" s="49"/>
      <c r="U84" s="49"/>
      <c r="V84" s="49"/>
      <c r="W84" s="49"/>
      <c r="X84" s="49"/>
      <c r="Y84" s="49"/>
      <c r="Z84" s="49"/>
      <c r="AA84" s="49"/>
      <c r="AB84" s="49"/>
      <c r="AC84" s="49"/>
      <c r="AD84" s="49"/>
      <c r="AE84" s="49"/>
      <c r="AF84" s="49"/>
      <c r="AG84" s="49"/>
      <c r="AH84" s="49"/>
      <c r="AI84" s="49"/>
      <c r="AJ84" s="49"/>
      <c r="AK84" s="49"/>
      <c r="AL84" s="49"/>
      <c r="AM84" s="49"/>
      <c r="AN84" s="49"/>
      <c r="AO84" s="49"/>
      <c r="AP84" s="49"/>
      <c r="AQ84" s="49"/>
      <c r="AR84" s="49"/>
      <c r="AS84" s="49"/>
      <c r="AT84" s="49"/>
      <c r="AU84" s="49"/>
      <c r="AV84" s="49"/>
      <c r="AW84" s="49"/>
      <c r="AX84" s="49"/>
      <c r="AY84" s="49"/>
      <c r="AZ84" s="49"/>
      <c r="BA84" s="49"/>
      <c r="BB84" s="49"/>
      <c r="BC84" s="49"/>
      <c r="BD84" s="49"/>
      <c r="BE84" s="49"/>
      <c r="BF84" s="49"/>
      <c r="BG84" s="49"/>
      <c r="BH84" s="49"/>
      <c r="BI84" s="49"/>
      <c r="BJ84" s="49"/>
      <c r="BK84" s="49"/>
      <c r="BL84" s="49"/>
      <c r="BM84" s="49"/>
      <c r="BN84" s="49"/>
      <c r="BO84" s="49"/>
      <c r="BP84" s="49"/>
      <c r="BQ84" s="49"/>
      <c r="BR84" s="49"/>
      <c r="BS84" s="49"/>
      <c r="BT84" s="49"/>
      <c r="BU84" s="49"/>
      <c r="BV84" s="49"/>
      <c r="BW84" s="49"/>
      <c r="BX84" s="49"/>
      <c r="BY84" s="49"/>
      <c r="BZ84" s="49"/>
      <c r="CA84" s="49"/>
      <c r="CB84" s="49"/>
      <c r="CC84" s="49"/>
      <c r="CD84" s="49"/>
      <c r="CE84" s="49"/>
      <c r="CF84" s="49"/>
      <c r="CG84" s="49"/>
      <c r="CH84" s="49"/>
      <c r="CI84" s="49"/>
      <c r="CJ84" s="49"/>
      <c r="CK84" s="49"/>
      <c r="CL84" s="49"/>
      <c r="CM84" s="49"/>
      <c r="CN84" s="49"/>
      <c r="CO84" s="49"/>
      <c r="CP84" s="49"/>
      <c r="CQ84" s="49"/>
      <c r="CR84" s="49"/>
      <c r="CS84" s="49"/>
      <c r="CT84" s="49"/>
      <c r="CU84" s="49"/>
      <c r="CV84" s="49"/>
      <c r="CW84" s="49"/>
      <c r="CX84" s="49"/>
      <c r="CY84" s="49"/>
      <c r="CZ84" s="49"/>
      <c r="DA84" s="49"/>
    </row>
    <row r="85" spans="1:105" ht="18" x14ac:dyDescent="0.4">
      <c r="A85" s="49"/>
      <c r="B85" s="58" t="s">
        <v>49</v>
      </c>
      <c r="C85" s="49"/>
      <c r="D85" s="49"/>
      <c r="E85" s="49"/>
      <c r="F85" s="49"/>
      <c r="G85" s="49"/>
      <c r="H85" s="49"/>
      <c r="I85" s="49"/>
      <c r="J85" s="49"/>
      <c r="K85" s="49"/>
      <c r="L85" s="49"/>
      <c r="M85" s="49"/>
      <c r="N85" s="49"/>
      <c r="O85" s="49"/>
      <c r="P85" s="49"/>
      <c r="Q85" s="49"/>
      <c r="R85" s="49"/>
      <c r="S85" s="49"/>
      <c r="T85" s="49"/>
      <c r="U85" s="49"/>
      <c r="V85" s="49"/>
      <c r="W85" s="49"/>
      <c r="X85" s="49"/>
      <c r="Y85" s="49"/>
      <c r="Z85" s="49"/>
      <c r="AA85" s="49"/>
      <c r="AB85" s="49"/>
      <c r="AC85" s="49"/>
      <c r="AD85" s="49"/>
      <c r="AE85" s="49"/>
      <c r="AF85" s="49"/>
      <c r="AG85" s="49"/>
      <c r="AH85" s="49"/>
      <c r="AI85" s="49"/>
      <c r="AJ85" s="49"/>
      <c r="AK85" s="49"/>
      <c r="AL85" s="49"/>
      <c r="AM85" s="49"/>
      <c r="AN85" s="49"/>
      <c r="AO85" s="49"/>
      <c r="AP85" s="49"/>
      <c r="AQ85" s="49"/>
      <c r="AR85" s="49"/>
      <c r="AS85" s="49"/>
      <c r="AT85" s="49"/>
      <c r="AU85" s="49"/>
      <c r="AV85" s="49"/>
      <c r="AW85" s="49"/>
      <c r="AX85" s="49"/>
      <c r="AY85" s="49"/>
      <c r="AZ85" s="49"/>
      <c r="BA85" s="49"/>
      <c r="BB85" s="49"/>
      <c r="BC85" s="49"/>
      <c r="BD85" s="49"/>
      <c r="BE85" s="49"/>
      <c r="BF85" s="49"/>
      <c r="BG85" s="49"/>
      <c r="BH85" s="49"/>
      <c r="BI85" s="49"/>
      <c r="BJ85" s="49"/>
      <c r="BK85" s="49"/>
      <c r="BL85" s="49"/>
      <c r="BM85" s="49"/>
      <c r="BN85" s="49"/>
      <c r="BO85" s="49"/>
      <c r="BP85" s="49"/>
      <c r="BQ85" s="49"/>
      <c r="BR85" s="49"/>
      <c r="BS85" s="49"/>
      <c r="BT85" s="49"/>
      <c r="BU85" s="49"/>
      <c r="BV85" s="49"/>
      <c r="BW85" s="49"/>
      <c r="BX85" s="49"/>
      <c r="BY85" s="49"/>
      <c r="BZ85" s="49"/>
      <c r="CA85" s="49"/>
      <c r="CB85" s="49"/>
      <c r="CC85" s="49"/>
      <c r="CD85" s="49"/>
      <c r="CE85" s="49"/>
      <c r="CF85" s="49"/>
      <c r="CG85" s="49"/>
      <c r="CH85" s="49"/>
      <c r="CI85" s="49"/>
      <c r="CJ85" s="49"/>
      <c r="CK85" s="49"/>
      <c r="CL85" s="49"/>
      <c r="CM85" s="49"/>
      <c r="CN85" s="49"/>
      <c r="CO85" s="49"/>
      <c r="CP85" s="49"/>
      <c r="CQ85" s="49"/>
      <c r="CR85" s="49"/>
      <c r="CS85" s="49"/>
      <c r="CT85" s="49"/>
      <c r="CU85" s="49"/>
      <c r="CV85" s="49"/>
      <c r="CW85" s="49"/>
      <c r="CX85" s="49"/>
      <c r="CY85" s="49"/>
      <c r="CZ85" s="49"/>
      <c r="DA85" s="49"/>
    </row>
    <row r="86" spans="1:105" ht="18" x14ac:dyDescent="0.4">
      <c r="A86" s="49"/>
      <c r="B86" s="58"/>
      <c r="C86" s="49"/>
      <c r="D86" s="49"/>
      <c r="E86" s="49"/>
      <c r="F86" s="49"/>
      <c r="G86" s="49"/>
      <c r="H86" s="49"/>
      <c r="I86" s="49"/>
      <c r="J86" s="49"/>
      <c r="K86" s="49"/>
      <c r="L86" s="49"/>
      <c r="M86" s="49"/>
      <c r="N86" s="49"/>
      <c r="O86" s="49"/>
      <c r="P86" s="49"/>
      <c r="Q86" s="49"/>
      <c r="R86" s="49"/>
      <c r="S86" s="49"/>
      <c r="T86" s="49"/>
      <c r="U86" s="49"/>
      <c r="V86" s="49"/>
      <c r="W86" s="49"/>
      <c r="X86" s="49"/>
      <c r="Y86" s="49"/>
      <c r="Z86" s="49"/>
      <c r="AA86" s="49"/>
      <c r="AB86" s="49"/>
      <c r="AC86" s="49"/>
      <c r="AD86" s="49"/>
      <c r="AE86" s="49"/>
      <c r="AF86" s="49"/>
      <c r="AG86" s="49"/>
      <c r="AH86" s="49"/>
      <c r="AI86" s="49"/>
      <c r="AJ86" s="49"/>
      <c r="AK86" s="49"/>
      <c r="AL86" s="49"/>
      <c r="AM86" s="49"/>
      <c r="AN86" s="49"/>
      <c r="AO86" s="49"/>
      <c r="AP86" s="49"/>
      <c r="AQ86" s="49"/>
      <c r="AR86" s="49"/>
      <c r="AS86" s="49"/>
      <c r="AT86" s="49"/>
      <c r="AU86" s="49"/>
      <c r="AV86" s="49"/>
      <c r="AW86" s="49"/>
      <c r="AX86" s="49"/>
      <c r="AY86" s="49"/>
      <c r="AZ86" s="49"/>
      <c r="BA86" s="49"/>
      <c r="BB86" s="49"/>
      <c r="BC86" s="49"/>
      <c r="BD86" s="49"/>
      <c r="BE86" s="49"/>
      <c r="BF86" s="49"/>
      <c r="BG86" s="49"/>
      <c r="BH86" s="49"/>
      <c r="BI86" s="49"/>
      <c r="BJ86" s="49"/>
      <c r="BK86" s="49"/>
      <c r="BL86" s="49"/>
      <c r="BM86" s="49"/>
      <c r="BN86" s="49"/>
      <c r="BO86" s="49"/>
      <c r="BP86" s="49"/>
      <c r="BQ86" s="49"/>
      <c r="BR86" s="49"/>
      <c r="BS86" s="49"/>
      <c r="BT86" s="49"/>
      <c r="BU86" s="49"/>
      <c r="BV86" s="49"/>
      <c r="BW86" s="49"/>
      <c r="BX86" s="49"/>
      <c r="BY86" s="49"/>
      <c r="BZ86" s="49"/>
      <c r="CA86" s="49"/>
      <c r="CB86" s="49"/>
      <c r="CC86" s="49"/>
      <c r="CD86" s="49"/>
      <c r="CE86" s="49"/>
      <c r="CF86" s="49"/>
      <c r="CG86" s="49"/>
      <c r="CH86" s="49"/>
      <c r="CI86" s="49"/>
      <c r="CJ86" s="49"/>
      <c r="CK86" s="49"/>
      <c r="CL86" s="49"/>
      <c r="CM86" s="49"/>
      <c r="CN86" s="49"/>
      <c r="CO86" s="49"/>
      <c r="CP86" s="49"/>
      <c r="CQ86" s="49"/>
      <c r="CR86" s="49"/>
      <c r="CS86" s="49"/>
      <c r="CT86" s="49"/>
      <c r="CU86" s="49"/>
      <c r="CV86" s="49"/>
      <c r="CW86" s="49"/>
      <c r="CX86" s="49"/>
      <c r="CY86" s="49"/>
      <c r="CZ86" s="49"/>
      <c r="DA86" s="49"/>
    </row>
    <row r="87" spans="1:105" ht="18.5" thickBot="1" x14ac:dyDescent="0.45">
      <c r="A87" s="49"/>
      <c r="B87" s="61" t="s">
        <v>50</v>
      </c>
      <c r="C87" s="73"/>
      <c r="D87" s="49"/>
      <c r="E87" s="49"/>
      <c r="F87" s="49"/>
      <c r="G87" s="49"/>
      <c r="H87" s="49"/>
      <c r="I87" s="49"/>
      <c r="J87" s="49"/>
      <c r="K87" s="49"/>
      <c r="L87" s="49"/>
      <c r="M87" s="49"/>
      <c r="N87" s="49"/>
      <c r="O87" s="49"/>
      <c r="P87" s="49"/>
      <c r="Q87" s="49"/>
      <c r="R87" s="49"/>
      <c r="S87" s="49"/>
      <c r="T87" s="49"/>
      <c r="U87" s="49"/>
      <c r="V87" s="49"/>
      <c r="W87" s="49"/>
      <c r="X87" s="49"/>
      <c r="Y87" s="49"/>
      <c r="Z87" s="49"/>
      <c r="AA87" s="49"/>
      <c r="AB87" s="49"/>
      <c r="AC87" s="49"/>
      <c r="AD87" s="49"/>
      <c r="AE87" s="49"/>
      <c r="AF87" s="49"/>
      <c r="AG87" s="49"/>
      <c r="AH87" s="49"/>
      <c r="AI87" s="49"/>
      <c r="AJ87" s="49"/>
      <c r="AK87" s="49"/>
      <c r="AL87" s="49"/>
      <c r="AM87" s="49"/>
      <c r="AN87" s="49"/>
      <c r="AO87" s="49"/>
      <c r="AP87" s="49"/>
      <c r="AQ87" s="49"/>
      <c r="AR87" s="49"/>
      <c r="AS87" s="49"/>
      <c r="AT87" s="49"/>
      <c r="AU87" s="49"/>
      <c r="AV87" s="49"/>
      <c r="AW87" s="49"/>
      <c r="AX87" s="49"/>
      <c r="AY87" s="49"/>
      <c r="AZ87" s="49"/>
      <c r="BA87" s="49"/>
      <c r="BB87" s="49"/>
      <c r="BC87" s="49"/>
      <c r="BD87" s="49"/>
      <c r="BE87" s="49"/>
      <c r="BF87" s="49"/>
      <c r="BG87" s="49"/>
      <c r="BH87" s="49"/>
      <c r="BI87" s="49"/>
      <c r="BJ87" s="49"/>
      <c r="BK87" s="49"/>
      <c r="BL87" s="49"/>
      <c r="BM87" s="49"/>
      <c r="BN87" s="49"/>
      <c r="BO87" s="49"/>
      <c r="BP87" s="49"/>
      <c r="BQ87" s="49"/>
      <c r="BR87" s="49"/>
      <c r="BS87" s="49"/>
      <c r="BT87" s="49"/>
      <c r="BU87" s="49"/>
      <c r="BV87" s="49"/>
      <c r="BW87" s="49"/>
      <c r="BX87" s="49"/>
      <c r="BY87" s="49"/>
      <c r="BZ87" s="49"/>
      <c r="CA87" s="49"/>
      <c r="CB87" s="49"/>
      <c r="CC87" s="49"/>
      <c r="CD87" s="49"/>
      <c r="CE87" s="49"/>
      <c r="CF87" s="49"/>
      <c r="CG87" s="49"/>
      <c r="CH87" s="49"/>
      <c r="CI87" s="49"/>
      <c r="CJ87" s="49"/>
      <c r="CK87" s="49"/>
      <c r="CL87" s="49"/>
      <c r="CM87" s="49"/>
      <c r="CN87" s="49"/>
      <c r="CO87" s="49"/>
      <c r="CP87" s="49"/>
      <c r="CQ87" s="49"/>
      <c r="CR87" s="49"/>
      <c r="CS87" s="49"/>
      <c r="CT87" s="49"/>
      <c r="CU87" s="49"/>
      <c r="CV87" s="49"/>
      <c r="CW87" s="49"/>
      <c r="CX87" s="49"/>
      <c r="CY87" s="49"/>
      <c r="CZ87" s="49"/>
      <c r="DA87" s="49"/>
    </row>
    <row r="88" spans="1:105" ht="18" thickBot="1" x14ac:dyDescent="0.4">
      <c r="A88" s="49"/>
      <c r="B88" s="74" t="s">
        <v>77</v>
      </c>
      <c r="C88" s="75">
        <v>500000</v>
      </c>
      <c r="D88" s="49"/>
      <c r="E88" s="49"/>
      <c r="F88" s="49"/>
      <c r="G88" s="49"/>
      <c r="H88" s="49"/>
      <c r="I88" s="49"/>
      <c r="J88" s="49"/>
      <c r="K88" s="49"/>
      <c r="L88" s="49"/>
      <c r="M88" s="49"/>
      <c r="N88" s="49"/>
      <c r="O88" s="49"/>
      <c r="P88" s="49"/>
      <c r="Q88" s="49"/>
      <c r="R88" s="49"/>
      <c r="S88" s="49"/>
      <c r="T88" s="49"/>
      <c r="U88" s="49"/>
      <c r="V88" s="49"/>
      <c r="W88" s="49"/>
      <c r="X88" s="49"/>
      <c r="Y88" s="49"/>
      <c r="Z88" s="49"/>
      <c r="AA88" s="49"/>
      <c r="AB88" s="49"/>
      <c r="AC88" s="49"/>
      <c r="AD88" s="49"/>
      <c r="AE88" s="49"/>
      <c r="AF88" s="49"/>
      <c r="AG88" s="49"/>
      <c r="AH88" s="49"/>
      <c r="AI88" s="49"/>
      <c r="AJ88" s="49"/>
      <c r="AK88" s="49"/>
      <c r="AL88" s="49"/>
      <c r="AM88" s="49"/>
      <c r="AN88" s="49"/>
      <c r="AO88" s="49"/>
      <c r="AP88" s="49"/>
      <c r="AQ88" s="49"/>
      <c r="AR88" s="49"/>
      <c r="AS88" s="49"/>
      <c r="AT88" s="49"/>
      <c r="AU88" s="49"/>
      <c r="AV88" s="49"/>
      <c r="AW88" s="49"/>
      <c r="AX88" s="49"/>
      <c r="AY88" s="49"/>
      <c r="AZ88" s="49"/>
      <c r="BA88" s="49"/>
      <c r="BB88" s="49"/>
      <c r="BC88" s="49"/>
      <c r="BD88" s="49"/>
      <c r="BE88" s="49"/>
      <c r="BF88" s="49"/>
      <c r="BG88" s="49"/>
      <c r="BH88" s="49"/>
      <c r="BI88" s="49"/>
      <c r="BJ88" s="49"/>
      <c r="BK88" s="49"/>
      <c r="BL88" s="49"/>
      <c r="BM88" s="49"/>
      <c r="BN88" s="49"/>
      <c r="BO88" s="49"/>
      <c r="BP88" s="49"/>
      <c r="BQ88" s="49"/>
      <c r="BR88" s="49"/>
      <c r="BS88" s="49"/>
      <c r="BT88" s="49"/>
      <c r="BU88" s="49"/>
      <c r="BV88" s="49"/>
      <c r="BW88" s="49"/>
      <c r="BX88" s="49"/>
      <c r="BY88" s="49"/>
      <c r="BZ88" s="49"/>
      <c r="CA88" s="49"/>
      <c r="CB88" s="49"/>
      <c r="CC88" s="49"/>
      <c r="CD88" s="49"/>
      <c r="CE88" s="49"/>
      <c r="CF88" s="49"/>
      <c r="CG88" s="49"/>
      <c r="CH88" s="49"/>
      <c r="CI88" s="49"/>
      <c r="CJ88" s="49"/>
      <c r="CK88" s="49"/>
      <c r="CL88" s="49"/>
      <c r="CM88" s="49"/>
      <c r="CN88" s="49"/>
      <c r="CO88" s="49"/>
      <c r="CP88" s="49"/>
      <c r="CQ88" s="49"/>
      <c r="CR88" s="49"/>
      <c r="CS88" s="49"/>
      <c r="CT88" s="49"/>
      <c r="CU88" s="49"/>
      <c r="CV88" s="49"/>
      <c r="CW88" s="49"/>
      <c r="CX88" s="49"/>
      <c r="CY88" s="49"/>
      <c r="CZ88" s="49"/>
      <c r="DA88" s="49"/>
    </row>
    <row r="89" spans="1:105" ht="18" thickBot="1" x14ac:dyDescent="0.4">
      <c r="A89" s="49"/>
      <c r="B89" s="74" t="s">
        <v>51</v>
      </c>
      <c r="C89" s="76">
        <v>1</v>
      </c>
      <c r="D89" s="49"/>
      <c r="E89" s="49"/>
      <c r="F89" s="49"/>
      <c r="G89" s="49"/>
      <c r="H89" s="49"/>
      <c r="I89" s="49"/>
      <c r="J89" s="49"/>
      <c r="K89" s="49"/>
      <c r="L89" s="49"/>
      <c r="M89" s="49"/>
      <c r="N89" s="49"/>
      <c r="O89" s="49"/>
      <c r="P89" s="49"/>
      <c r="Q89" s="49"/>
      <c r="R89" s="49"/>
      <c r="S89" s="49"/>
      <c r="T89" s="49"/>
      <c r="U89" s="49"/>
      <c r="V89" s="49"/>
      <c r="W89" s="49"/>
      <c r="X89" s="49"/>
      <c r="Y89" s="49"/>
      <c r="Z89" s="49"/>
      <c r="AA89" s="49"/>
      <c r="AB89" s="49"/>
      <c r="AC89" s="49"/>
      <c r="AD89" s="49"/>
      <c r="AE89" s="49"/>
      <c r="AF89" s="49"/>
      <c r="AG89" s="49"/>
      <c r="AH89" s="49"/>
      <c r="AI89" s="49"/>
      <c r="AJ89" s="49"/>
      <c r="AK89" s="49"/>
      <c r="AL89" s="49"/>
      <c r="AM89" s="49"/>
      <c r="AN89" s="49"/>
      <c r="AO89" s="49"/>
      <c r="AP89" s="49"/>
      <c r="AQ89" s="49"/>
      <c r="AR89" s="49"/>
      <c r="AS89" s="49"/>
      <c r="AT89" s="49"/>
      <c r="AU89" s="49"/>
      <c r="AV89" s="49"/>
      <c r="AW89" s="49"/>
      <c r="AX89" s="49"/>
      <c r="AY89" s="49"/>
      <c r="AZ89" s="49"/>
      <c r="BA89" s="49"/>
      <c r="BB89" s="49"/>
      <c r="BC89" s="49"/>
      <c r="BD89" s="49"/>
      <c r="BE89" s="49"/>
      <c r="BF89" s="49"/>
      <c r="BG89" s="49"/>
      <c r="BH89" s="49"/>
      <c r="BI89" s="49"/>
      <c r="BJ89" s="49"/>
      <c r="BK89" s="49"/>
      <c r="BL89" s="49"/>
      <c r="BM89" s="49"/>
      <c r="BN89" s="49"/>
      <c r="BO89" s="49"/>
      <c r="BP89" s="49"/>
      <c r="BQ89" s="49"/>
      <c r="BR89" s="49"/>
      <c r="BS89" s="49"/>
      <c r="BT89" s="49"/>
      <c r="BU89" s="49"/>
      <c r="BV89" s="49"/>
      <c r="BW89" s="49"/>
      <c r="BX89" s="49"/>
      <c r="BY89" s="49"/>
      <c r="BZ89" s="49"/>
      <c r="CA89" s="49"/>
      <c r="CB89" s="49"/>
      <c r="CC89" s="49"/>
      <c r="CD89" s="49"/>
      <c r="CE89" s="49"/>
      <c r="CF89" s="49"/>
      <c r="CG89" s="49"/>
      <c r="CH89" s="49"/>
      <c r="CI89" s="49"/>
      <c r="CJ89" s="49"/>
      <c r="CK89" s="49"/>
      <c r="CL89" s="49"/>
      <c r="CM89" s="49"/>
      <c r="CN89" s="49"/>
      <c r="CO89" s="49"/>
      <c r="CP89" s="49"/>
      <c r="CQ89" s="49"/>
      <c r="CR89" s="49"/>
      <c r="CS89" s="49"/>
      <c r="CT89" s="49"/>
      <c r="CU89" s="49"/>
      <c r="CV89" s="49"/>
      <c r="CW89" s="49"/>
      <c r="CX89" s="49"/>
      <c r="CY89" s="49"/>
      <c r="CZ89" s="49"/>
      <c r="DA89" s="49"/>
    </row>
    <row r="90" spans="1:105" ht="18.5" thickBot="1" x14ac:dyDescent="0.45">
      <c r="A90" s="49"/>
      <c r="B90" s="74" t="s">
        <v>52</v>
      </c>
      <c r="C90" s="77">
        <f>C22/C88*C89</f>
        <v>7.6716532412734946</v>
      </c>
      <c r="D90" s="49"/>
      <c r="E90" s="49"/>
      <c r="F90" s="49"/>
      <c r="G90" s="49"/>
      <c r="H90" s="49"/>
      <c r="I90" s="49"/>
      <c r="J90" s="49"/>
      <c r="K90" s="49"/>
      <c r="L90" s="49"/>
      <c r="M90" s="49"/>
      <c r="N90" s="49"/>
      <c r="O90" s="49"/>
      <c r="P90" s="49"/>
      <c r="Q90" s="49"/>
      <c r="R90" s="49"/>
      <c r="S90" s="49"/>
      <c r="T90" s="49"/>
      <c r="U90" s="49"/>
      <c r="V90" s="49"/>
      <c r="W90" s="49"/>
      <c r="X90" s="49"/>
      <c r="Y90" s="49"/>
      <c r="Z90" s="49"/>
      <c r="AA90" s="49"/>
      <c r="AB90" s="49"/>
      <c r="AC90" s="49"/>
      <c r="AD90" s="49"/>
      <c r="AE90" s="49"/>
      <c r="AF90" s="49"/>
      <c r="AG90" s="49"/>
      <c r="AH90" s="49"/>
      <c r="AI90" s="49"/>
      <c r="AJ90" s="49"/>
      <c r="AK90" s="49"/>
      <c r="AL90" s="49"/>
      <c r="AM90" s="49"/>
      <c r="AN90" s="49"/>
      <c r="AO90" s="49"/>
      <c r="AP90" s="49"/>
      <c r="AQ90" s="49"/>
      <c r="AR90" s="49"/>
      <c r="AS90" s="49"/>
      <c r="AT90" s="49"/>
      <c r="AU90" s="49"/>
      <c r="AV90" s="49"/>
      <c r="AW90" s="49"/>
      <c r="AX90" s="49"/>
      <c r="AY90" s="49"/>
      <c r="AZ90" s="49"/>
      <c r="BA90" s="49"/>
      <c r="BB90" s="49"/>
      <c r="BC90" s="49"/>
      <c r="BD90" s="49"/>
      <c r="BE90" s="49"/>
      <c r="BF90" s="49"/>
      <c r="BG90" s="49"/>
      <c r="BH90" s="49"/>
      <c r="BI90" s="49"/>
      <c r="BJ90" s="49"/>
      <c r="BK90" s="49"/>
      <c r="BL90" s="49"/>
      <c r="BM90" s="49"/>
      <c r="BN90" s="49"/>
      <c r="BO90" s="49"/>
      <c r="BP90" s="49"/>
      <c r="BQ90" s="49"/>
      <c r="BR90" s="49"/>
      <c r="BS90" s="49"/>
      <c r="BT90" s="49"/>
      <c r="BU90" s="49"/>
      <c r="BV90" s="49"/>
      <c r="BW90" s="49"/>
      <c r="BX90" s="49"/>
      <c r="BY90" s="49"/>
      <c r="BZ90" s="49"/>
      <c r="CA90" s="49"/>
      <c r="CB90" s="49"/>
      <c r="CC90" s="49"/>
      <c r="CD90" s="49"/>
      <c r="CE90" s="49"/>
      <c r="CF90" s="49"/>
      <c r="CG90" s="49"/>
      <c r="CH90" s="49"/>
      <c r="CI90" s="49"/>
      <c r="CJ90" s="49"/>
      <c r="CK90" s="49"/>
      <c r="CL90" s="49"/>
      <c r="CM90" s="49"/>
      <c r="CN90" s="49"/>
      <c r="CO90" s="49"/>
      <c r="CP90" s="49"/>
      <c r="CQ90" s="49"/>
      <c r="CR90" s="49"/>
      <c r="CS90" s="49"/>
      <c r="CT90" s="49"/>
      <c r="CU90" s="49"/>
      <c r="CV90" s="49"/>
      <c r="CW90" s="49"/>
      <c r="CX90" s="49"/>
      <c r="CY90" s="49"/>
      <c r="CZ90" s="49"/>
      <c r="DA90" s="49"/>
    </row>
    <row r="91" spans="1:105" ht="18" thickBot="1" x14ac:dyDescent="0.4">
      <c r="A91" s="49"/>
      <c r="B91" s="74" t="s">
        <v>53</v>
      </c>
      <c r="C91" s="78">
        <v>-1</v>
      </c>
      <c r="D91" s="49"/>
      <c r="E91" s="49"/>
      <c r="F91" s="49"/>
      <c r="G91" s="49"/>
      <c r="H91" s="49"/>
      <c r="I91" s="49"/>
      <c r="J91" s="49"/>
      <c r="K91" s="49"/>
      <c r="L91" s="49"/>
      <c r="M91" s="49"/>
      <c r="N91" s="49"/>
      <c r="O91" s="49"/>
      <c r="P91" s="49"/>
      <c r="Q91" s="49"/>
      <c r="R91" s="49"/>
      <c r="S91" s="49"/>
      <c r="T91" s="49"/>
      <c r="U91" s="49"/>
      <c r="V91" s="49"/>
      <c r="W91" s="49"/>
      <c r="X91" s="49"/>
      <c r="Y91" s="49"/>
      <c r="Z91" s="49"/>
      <c r="AA91" s="49"/>
      <c r="AB91" s="49"/>
      <c r="AC91" s="49"/>
      <c r="AD91" s="49"/>
      <c r="AE91" s="49"/>
      <c r="AF91" s="49"/>
      <c r="AG91" s="49"/>
      <c r="AH91" s="49"/>
      <c r="AI91" s="49"/>
      <c r="AJ91" s="49"/>
      <c r="AK91" s="49"/>
      <c r="AL91" s="49"/>
      <c r="AM91" s="49"/>
      <c r="AN91" s="49"/>
      <c r="AO91" s="49"/>
      <c r="AP91" s="49"/>
      <c r="AQ91" s="49"/>
      <c r="AR91" s="49"/>
      <c r="AS91" s="49"/>
      <c r="AT91" s="49"/>
      <c r="AU91" s="49"/>
      <c r="AV91" s="49"/>
      <c r="AW91" s="49"/>
      <c r="AX91" s="49"/>
      <c r="AY91" s="49"/>
      <c r="AZ91" s="49"/>
      <c r="BA91" s="49"/>
      <c r="BB91" s="49"/>
      <c r="BC91" s="49"/>
      <c r="BD91" s="49"/>
      <c r="BE91" s="49"/>
      <c r="BF91" s="49"/>
      <c r="BG91" s="49"/>
      <c r="BH91" s="49"/>
      <c r="BI91" s="49"/>
      <c r="BJ91" s="49"/>
      <c r="BK91" s="49"/>
      <c r="BL91" s="49"/>
      <c r="BM91" s="49"/>
      <c r="BN91" s="49"/>
      <c r="BO91" s="49"/>
      <c r="BP91" s="49"/>
      <c r="BQ91" s="49"/>
      <c r="BR91" s="49"/>
      <c r="BS91" s="49"/>
      <c r="BT91" s="49"/>
      <c r="BU91" s="49"/>
      <c r="BV91" s="49"/>
      <c r="BW91" s="49"/>
      <c r="BX91" s="49"/>
      <c r="BY91" s="49"/>
      <c r="BZ91" s="49"/>
      <c r="CA91" s="49"/>
      <c r="CB91" s="49"/>
      <c r="CC91" s="49"/>
      <c r="CD91" s="49"/>
      <c r="CE91" s="49"/>
      <c r="CF91" s="49"/>
      <c r="CG91" s="49"/>
      <c r="CH91" s="49"/>
      <c r="CI91" s="49"/>
      <c r="CJ91" s="49"/>
      <c r="CK91" s="49"/>
      <c r="CL91" s="49"/>
      <c r="CM91" s="49"/>
      <c r="CN91" s="49"/>
      <c r="CO91" s="49"/>
      <c r="CP91" s="49"/>
      <c r="CQ91" s="49"/>
      <c r="CR91" s="49"/>
      <c r="CS91" s="49"/>
      <c r="CT91" s="49"/>
      <c r="CU91" s="49"/>
      <c r="CV91" s="49"/>
      <c r="CW91" s="49"/>
      <c r="CX91" s="49"/>
      <c r="CY91" s="49"/>
      <c r="CZ91" s="49"/>
      <c r="DA91" s="49"/>
    </row>
    <row r="92" spans="1:105" x14ac:dyDescent="0.35">
      <c r="A92" s="49"/>
      <c r="B92" s="50"/>
      <c r="C92" s="49"/>
      <c r="D92" s="49"/>
      <c r="E92" s="49"/>
      <c r="F92" s="49"/>
      <c r="G92" s="49"/>
      <c r="H92" s="49"/>
      <c r="I92" s="49"/>
      <c r="J92" s="49"/>
      <c r="K92" s="49"/>
      <c r="L92" s="49"/>
      <c r="M92" s="49"/>
      <c r="N92" s="49"/>
      <c r="O92" s="49"/>
      <c r="P92" s="49"/>
      <c r="Q92" s="49"/>
      <c r="R92" s="49"/>
      <c r="S92" s="49"/>
      <c r="T92" s="49"/>
      <c r="U92" s="49"/>
      <c r="V92" s="49"/>
      <c r="W92" s="49"/>
      <c r="X92" s="49"/>
      <c r="Y92" s="49"/>
      <c r="Z92" s="49"/>
      <c r="AA92" s="49"/>
      <c r="AB92" s="49"/>
      <c r="AC92" s="49"/>
      <c r="AD92" s="49"/>
      <c r="AE92" s="49"/>
      <c r="AF92" s="49"/>
      <c r="AG92" s="49"/>
      <c r="AH92" s="49"/>
      <c r="AI92" s="49"/>
      <c r="AJ92" s="49"/>
      <c r="AK92" s="49"/>
      <c r="AL92" s="49"/>
      <c r="AM92" s="49"/>
      <c r="AN92" s="49"/>
      <c r="AO92" s="49"/>
      <c r="AP92" s="49"/>
      <c r="AQ92" s="49"/>
      <c r="AR92" s="49"/>
      <c r="AS92" s="49"/>
      <c r="AT92" s="49"/>
      <c r="AU92" s="49"/>
      <c r="AV92" s="49"/>
      <c r="AW92" s="49"/>
      <c r="AX92" s="49"/>
      <c r="AY92" s="49"/>
      <c r="AZ92" s="49"/>
      <c r="BA92" s="49"/>
      <c r="BB92" s="49"/>
      <c r="BC92" s="49"/>
      <c r="BD92" s="49"/>
      <c r="BE92" s="49"/>
      <c r="BF92" s="49"/>
      <c r="BG92" s="49"/>
      <c r="BH92" s="49"/>
      <c r="BI92" s="49"/>
      <c r="BJ92" s="49"/>
      <c r="BK92" s="49"/>
      <c r="BL92" s="49"/>
      <c r="BM92" s="49"/>
      <c r="BN92" s="49"/>
      <c r="BO92" s="49"/>
      <c r="BP92" s="49"/>
      <c r="BQ92" s="49"/>
      <c r="BR92" s="49"/>
      <c r="BS92" s="49"/>
      <c r="BT92" s="49"/>
      <c r="BU92" s="49"/>
      <c r="BV92" s="49"/>
      <c r="BW92" s="49"/>
      <c r="BX92" s="49"/>
      <c r="BY92" s="49"/>
      <c r="BZ92" s="49"/>
      <c r="CA92" s="49"/>
      <c r="CB92" s="49"/>
      <c r="CC92" s="49"/>
      <c r="CD92" s="49"/>
      <c r="CE92" s="49"/>
      <c r="CF92" s="49"/>
      <c r="CG92" s="49"/>
      <c r="CH92" s="49"/>
      <c r="CI92" s="49"/>
      <c r="CJ92" s="49"/>
      <c r="CK92" s="49"/>
      <c r="CL92" s="49"/>
      <c r="CM92" s="49"/>
      <c r="CN92" s="49"/>
      <c r="CO92" s="49"/>
      <c r="CP92" s="49"/>
      <c r="CQ92" s="49"/>
      <c r="CR92" s="49"/>
      <c r="CS92" s="49"/>
      <c r="CT92" s="49"/>
      <c r="CU92" s="49"/>
      <c r="CV92" s="49"/>
      <c r="CW92" s="49"/>
      <c r="CX92" s="49"/>
      <c r="CY92" s="49"/>
      <c r="CZ92" s="49"/>
      <c r="DA92" s="49"/>
    </row>
    <row r="93" spans="1:105" ht="18" x14ac:dyDescent="0.4">
      <c r="A93" s="49"/>
      <c r="B93" s="61" t="s">
        <v>54</v>
      </c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X93" s="49"/>
      <c r="Y93" s="49"/>
      <c r="Z93" s="49"/>
      <c r="AA93" s="49"/>
      <c r="AB93" s="49"/>
      <c r="AC93" s="49"/>
      <c r="AD93" s="49"/>
      <c r="AE93" s="49"/>
      <c r="AF93" s="49"/>
      <c r="AG93" s="49"/>
      <c r="AH93" s="49"/>
      <c r="AI93" s="49"/>
      <c r="AJ93" s="49"/>
      <c r="AK93" s="49"/>
      <c r="AL93" s="49"/>
      <c r="AM93" s="49"/>
      <c r="AN93" s="49"/>
      <c r="AO93" s="49"/>
      <c r="AP93" s="49"/>
      <c r="AQ93" s="49"/>
      <c r="AR93" s="49"/>
      <c r="AS93" s="49"/>
      <c r="AT93" s="49"/>
      <c r="AU93" s="49"/>
      <c r="AV93" s="49"/>
      <c r="AW93" s="49"/>
      <c r="AX93" s="49"/>
      <c r="AY93" s="49"/>
      <c r="AZ93" s="49"/>
      <c r="BA93" s="49"/>
      <c r="BB93" s="49"/>
      <c r="BC93" s="49"/>
      <c r="BD93" s="49"/>
      <c r="BE93" s="49"/>
      <c r="BF93" s="49"/>
      <c r="BG93" s="49"/>
      <c r="BH93" s="49"/>
      <c r="BI93" s="49"/>
      <c r="BJ93" s="49"/>
      <c r="BK93" s="49"/>
      <c r="BL93" s="49"/>
      <c r="BM93" s="49"/>
      <c r="BN93" s="49"/>
      <c r="BO93" s="49"/>
      <c r="BP93" s="49"/>
      <c r="BQ93" s="49"/>
      <c r="BR93" s="49"/>
      <c r="BS93" s="49"/>
      <c r="BT93" s="49"/>
      <c r="BU93" s="49"/>
      <c r="BV93" s="49"/>
      <c r="BW93" s="49"/>
      <c r="BX93" s="49"/>
      <c r="BY93" s="49"/>
      <c r="BZ93" s="49"/>
      <c r="CA93" s="49"/>
      <c r="CB93" s="49"/>
      <c r="CC93" s="49"/>
      <c r="CD93" s="49"/>
      <c r="CE93" s="49"/>
      <c r="CF93" s="49"/>
      <c r="CG93" s="49"/>
      <c r="CH93" s="49"/>
      <c r="CI93" s="49"/>
      <c r="CJ93" s="49"/>
      <c r="CK93" s="49"/>
      <c r="CL93" s="49"/>
      <c r="CM93" s="49"/>
      <c r="CN93" s="49"/>
      <c r="CO93" s="49"/>
    </row>
    <row r="94" spans="1:105" ht="18" x14ac:dyDescent="0.4">
      <c r="A94" s="49"/>
      <c r="B94" s="66" t="s">
        <v>43</v>
      </c>
      <c r="C94" s="67">
        <v>0</v>
      </c>
      <c r="D94" s="67">
        <v>1</v>
      </c>
      <c r="E94" s="67">
        <v>2</v>
      </c>
      <c r="F94" s="67">
        <v>3</v>
      </c>
      <c r="G94" s="67">
        <v>4</v>
      </c>
      <c r="H94" s="67">
        <v>5</v>
      </c>
      <c r="I94" s="67">
        <v>6</v>
      </c>
      <c r="J94" s="67">
        <v>7</v>
      </c>
      <c r="K94" s="67">
        <v>8</v>
      </c>
      <c r="L94" s="67">
        <v>9</v>
      </c>
      <c r="M94" s="67">
        <v>10</v>
      </c>
      <c r="N94" s="67">
        <v>11</v>
      </c>
      <c r="O94" s="67">
        <v>12</v>
      </c>
      <c r="P94" s="67">
        <v>13</v>
      </c>
      <c r="Q94" s="67">
        <v>14</v>
      </c>
      <c r="R94" s="67">
        <v>15</v>
      </c>
      <c r="S94" s="67">
        <v>16</v>
      </c>
      <c r="T94" s="67">
        <v>17</v>
      </c>
      <c r="U94" s="67">
        <v>18</v>
      </c>
      <c r="V94" s="67">
        <v>19</v>
      </c>
      <c r="W94" s="67">
        <v>20</v>
      </c>
      <c r="X94" s="67">
        <v>21</v>
      </c>
      <c r="Y94" s="67">
        <v>22</v>
      </c>
      <c r="Z94" s="67">
        <v>23</v>
      </c>
      <c r="AA94" s="67">
        <v>24</v>
      </c>
      <c r="AB94" s="67">
        <v>25</v>
      </c>
      <c r="AC94" s="67">
        <v>26</v>
      </c>
      <c r="AD94" s="67">
        <v>27</v>
      </c>
      <c r="AE94" s="67">
        <v>28</v>
      </c>
      <c r="AF94" s="67">
        <v>29</v>
      </c>
      <c r="AG94" s="67">
        <v>30</v>
      </c>
      <c r="AH94" s="67">
        <v>31</v>
      </c>
      <c r="AI94" s="67">
        <v>32</v>
      </c>
      <c r="AJ94" s="67">
        <v>33</v>
      </c>
      <c r="AK94" s="67">
        <v>34</v>
      </c>
      <c r="AL94" s="67">
        <v>35</v>
      </c>
      <c r="AM94" s="67">
        <v>36</v>
      </c>
      <c r="AN94" s="67">
        <v>37</v>
      </c>
      <c r="AO94" s="67">
        <v>38</v>
      </c>
      <c r="AP94" s="67">
        <v>39</v>
      </c>
      <c r="AQ94" s="67">
        <v>40</v>
      </c>
      <c r="AR94" s="67">
        <v>41</v>
      </c>
      <c r="AS94" s="67">
        <v>42</v>
      </c>
      <c r="AT94" s="67">
        <v>43</v>
      </c>
      <c r="AU94" s="67">
        <v>44</v>
      </c>
      <c r="AV94" s="67">
        <v>45</v>
      </c>
      <c r="AW94" s="67">
        <v>46</v>
      </c>
      <c r="AX94" s="67">
        <v>47</v>
      </c>
      <c r="AY94" s="67">
        <v>48</v>
      </c>
      <c r="AZ94" s="67">
        <v>49</v>
      </c>
      <c r="BA94" s="67">
        <v>50</v>
      </c>
      <c r="BB94" s="67">
        <v>51</v>
      </c>
      <c r="BC94" s="67">
        <v>52</v>
      </c>
      <c r="BD94" s="67">
        <v>53</v>
      </c>
      <c r="BE94" s="67">
        <v>54</v>
      </c>
      <c r="BF94" s="67">
        <v>55</v>
      </c>
      <c r="BG94" s="67">
        <v>56</v>
      </c>
      <c r="BH94" s="67">
        <v>57</v>
      </c>
      <c r="BI94" s="67">
        <v>58</v>
      </c>
      <c r="BJ94" s="67">
        <v>59</v>
      </c>
      <c r="BK94" s="67">
        <v>60</v>
      </c>
      <c r="BL94" s="67">
        <v>61</v>
      </c>
      <c r="BM94" s="67">
        <v>62</v>
      </c>
      <c r="BN94" s="67">
        <v>63</v>
      </c>
      <c r="BO94" s="67">
        <v>64</v>
      </c>
      <c r="BP94" s="67">
        <v>65</v>
      </c>
      <c r="BQ94" s="67">
        <v>66</v>
      </c>
      <c r="BR94" s="67">
        <v>67</v>
      </c>
      <c r="BS94" s="67">
        <v>68</v>
      </c>
      <c r="BT94" s="67">
        <v>69</v>
      </c>
      <c r="BU94" s="67">
        <v>70</v>
      </c>
      <c r="BV94" s="67">
        <v>71</v>
      </c>
      <c r="BW94" s="67">
        <v>72</v>
      </c>
      <c r="BX94" s="67">
        <v>73</v>
      </c>
      <c r="BY94" s="67">
        <v>74</v>
      </c>
      <c r="BZ94" s="67">
        <v>75</v>
      </c>
      <c r="CA94" s="67">
        <v>76</v>
      </c>
      <c r="CB94" s="67">
        <v>77</v>
      </c>
      <c r="CC94" s="67">
        <v>78</v>
      </c>
      <c r="CD94" s="67">
        <v>79</v>
      </c>
      <c r="CE94" s="67">
        <v>80</v>
      </c>
      <c r="CF94" s="67">
        <v>81</v>
      </c>
      <c r="CG94" s="67">
        <v>82</v>
      </c>
      <c r="CH94" s="67">
        <v>83</v>
      </c>
      <c r="CI94" s="67">
        <v>84</v>
      </c>
      <c r="CJ94" s="67">
        <v>85</v>
      </c>
      <c r="CK94" s="67">
        <v>86</v>
      </c>
      <c r="CL94" s="67">
        <v>87</v>
      </c>
      <c r="CM94" s="67">
        <v>88</v>
      </c>
      <c r="CN94" s="67">
        <v>89</v>
      </c>
      <c r="CO94" s="67">
        <v>90</v>
      </c>
    </row>
    <row r="95" spans="1:105" ht="18" x14ac:dyDescent="0.4">
      <c r="A95" s="49"/>
      <c r="B95" s="62" t="s">
        <v>55</v>
      </c>
      <c r="C95" s="79">
        <f t="shared" ref="C95:AH95" si="27">C13*(1+$C$4*($CO$94-C94)/360)/(1+$C$3*($CO$94-C131)/360)</f>
        <v>1.3082595639787749</v>
      </c>
      <c r="D95" s="79">
        <f t="shared" si="27"/>
        <v>1.30911008866031</v>
      </c>
      <c r="E95" s="79">
        <f t="shared" si="27"/>
        <v>1.3236090953866577</v>
      </c>
      <c r="F95" s="79">
        <f t="shared" si="27"/>
        <v>1.3258638591595706</v>
      </c>
      <c r="G95" s="79">
        <f t="shared" si="27"/>
        <v>1.3241044749852608</v>
      </c>
      <c r="H95" s="79">
        <f t="shared" si="27"/>
        <v>1.3254559169767348</v>
      </c>
      <c r="I95" s="79">
        <f t="shared" si="27"/>
        <v>1.3151677018666577</v>
      </c>
      <c r="J95" s="79">
        <f t="shared" si="27"/>
        <v>1.3242453143729913</v>
      </c>
      <c r="K95" s="79">
        <f t="shared" si="27"/>
        <v>1.3312151985994001</v>
      </c>
      <c r="L95" s="79">
        <f t="shared" si="27"/>
        <v>1.3298572285862948</v>
      </c>
      <c r="M95" s="79">
        <f t="shared" si="27"/>
        <v>1.333314944627775</v>
      </c>
      <c r="N95" s="79">
        <f t="shared" si="27"/>
        <v>1.3284457615532406</v>
      </c>
      <c r="O95" s="79">
        <f t="shared" si="27"/>
        <v>1.3380225510389478</v>
      </c>
      <c r="P95" s="79">
        <f t="shared" si="27"/>
        <v>1.3115863605400178</v>
      </c>
      <c r="Q95" s="79">
        <f t="shared" si="27"/>
        <v>1.3190565634371365</v>
      </c>
      <c r="R95" s="79">
        <f t="shared" si="27"/>
        <v>1.3054622240601474</v>
      </c>
      <c r="S95" s="79">
        <f t="shared" si="27"/>
        <v>1.312430553485896</v>
      </c>
      <c r="T95" s="79">
        <f t="shared" si="27"/>
        <v>1.320902757508821</v>
      </c>
      <c r="U95" s="79">
        <f t="shared" si="27"/>
        <v>1.3216517634008291</v>
      </c>
      <c r="V95" s="79">
        <f t="shared" si="27"/>
        <v>1.3217989714671801</v>
      </c>
      <c r="W95" s="79">
        <f t="shared" si="27"/>
        <v>1.323951843477668</v>
      </c>
      <c r="X95" s="79">
        <f t="shared" si="27"/>
        <v>1.3300154590146342</v>
      </c>
      <c r="Y95" s="79">
        <f t="shared" si="27"/>
        <v>1.334574435463765</v>
      </c>
      <c r="Z95" s="79">
        <f t="shared" si="27"/>
        <v>1.328805015931495</v>
      </c>
      <c r="AA95" s="79">
        <f t="shared" si="27"/>
        <v>1.3132097921162522</v>
      </c>
      <c r="AB95" s="79">
        <f t="shared" si="27"/>
        <v>1.3087451171844413</v>
      </c>
      <c r="AC95" s="79">
        <f t="shared" si="27"/>
        <v>1.3076896311814932</v>
      </c>
      <c r="AD95" s="79">
        <f t="shared" si="27"/>
        <v>1.3083385717418314</v>
      </c>
      <c r="AE95" s="79">
        <f t="shared" si="27"/>
        <v>1.3094887108835789</v>
      </c>
      <c r="AF95" s="79">
        <f t="shared" si="27"/>
        <v>1.2956015905258358</v>
      </c>
      <c r="AG95" s="79">
        <f t="shared" si="27"/>
        <v>1.292040683345004</v>
      </c>
      <c r="AH95" s="79">
        <f t="shared" si="27"/>
        <v>1.2833678357967129</v>
      </c>
      <c r="AI95" s="79">
        <f t="shared" ref="AI95:BN95" si="28">AI13*(1+$C$4*($CO$94-AI94)/360)/(1+$C$3*($CO$94-AI131)/360)</f>
        <v>1.2876260698003605</v>
      </c>
      <c r="AJ95" s="79">
        <f t="shared" si="28"/>
        <v>1.2921846462174131</v>
      </c>
      <c r="AK95" s="79">
        <f t="shared" si="28"/>
        <v>1.2884239671751321</v>
      </c>
      <c r="AL95" s="79">
        <f t="shared" si="28"/>
        <v>1.2972917334369922</v>
      </c>
      <c r="AM95" s="79">
        <f t="shared" si="28"/>
        <v>1.2980410072183013</v>
      </c>
      <c r="AN95" s="79">
        <f t="shared" si="28"/>
        <v>1.2959841843389557</v>
      </c>
      <c r="AO95" s="79">
        <f t="shared" si="28"/>
        <v>1.297234491002343</v>
      </c>
      <c r="AP95" s="79">
        <f t="shared" si="28"/>
        <v>1.3064010562093478</v>
      </c>
      <c r="AQ95" s="79">
        <f t="shared" si="28"/>
        <v>1.310556715227968</v>
      </c>
      <c r="AR95" s="79">
        <f t="shared" si="28"/>
        <v>1.3135096411118541</v>
      </c>
      <c r="AS95" s="79">
        <f t="shared" si="28"/>
        <v>1.3141578346660561</v>
      </c>
      <c r="AT95" s="79">
        <f t="shared" si="28"/>
        <v>1.30909508311675</v>
      </c>
      <c r="AU95" s="79">
        <f t="shared" si="28"/>
        <v>1.3187602084242449</v>
      </c>
      <c r="AV95" s="79">
        <f t="shared" si="28"/>
        <v>1.3220128409336274</v>
      </c>
      <c r="AW95" s="79">
        <f t="shared" si="28"/>
        <v>1.3089360594199155</v>
      </c>
      <c r="AX95" s="79">
        <f t="shared" si="28"/>
        <v>1.3091835685468742</v>
      </c>
      <c r="AY95" s="79">
        <f t="shared" si="28"/>
        <v>1.2976109102171862</v>
      </c>
      <c r="AZ95" s="79">
        <f t="shared" si="28"/>
        <v>1.2913480122914911</v>
      </c>
      <c r="BA95" s="79">
        <f t="shared" si="28"/>
        <v>1.2892924414598448</v>
      </c>
      <c r="BB95" s="79">
        <f t="shared" si="28"/>
        <v>1.3006582683018517</v>
      </c>
      <c r="BC95" s="79">
        <f t="shared" si="28"/>
        <v>1.2904899615555783</v>
      </c>
      <c r="BD95" s="79">
        <f t="shared" si="28"/>
        <v>1.2880340505283061</v>
      </c>
      <c r="BE95" s="79">
        <f t="shared" si="28"/>
        <v>1.2882822814988526</v>
      </c>
      <c r="BF95" s="79">
        <f t="shared" si="28"/>
        <v>1.2862272125548986</v>
      </c>
      <c r="BG95" s="79">
        <f t="shared" si="28"/>
        <v>1.2764616609222617</v>
      </c>
      <c r="BH95" s="79">
        <f t="shared" si="28"/>
        <v>1.2806155391529579</v>
      </c>
      <c r="BI95" s="79">
        <f t="shared" si="28"/>
        <v>1.2733542435352274</v>
      </c>
      <c r="BJ95" s="79">
        <f t="shared" si="28"/>
        <v>1.2793101638616062</v>
      </c>
      <c r="BK95" s="79">
        <f t="shared" si="28"/>
        <v>1.2738516899915833</v>
      </c>
      <c r="BL95" s="79">
        <f t="shared" si="28"/>
        <v>1.264288817411547</v>
      </c>
      <c r="BM95" s="79">
        <f t="shared" si="28"/>
        <v>1.2621351369418303</v>
      </c>
      <c r="BN95" s="79">
        <f t="shared" si="28"/>
        <v>1.2753985288949581</v>
      </c>
      <c r="BO95" s="79">
        <f t="shared" ref="BO95:CO95" si="29">BO13*(1+$C$4*($CO$94-BO94)/360)/(1+$C$3*($CO$94-BO131)/360)</f>
        <v>1.2767482570650162</v>
      </c>
      <c r="BP95" s="79">
        <f t="shared" si="29"/>
        <v>1.271190854131121</v>
      </c>
      <c r="BQ95" s="79">
        <f t="shared" si="29"/>
        <v>1.2656338945883314</v>
      </c>
      <c r="BR95" s="79">
        <f t="shared" si="29"/>
        <v>1.2644814935545892</v>
      </c>
      <c r="BS95" s="79">
        <f t="shared" si="29"/>
        <v>1.2686339198760213</v>
      </c>
      <c r="BT95" s="79">
        <f t="shared" si="29"/>
        <v>1.2716850620138196</v>
      </c>
      <c r="BU95" s="79">
        <f t="shared" si="29"/>
        <v>1.2655284659999699</v>
      </c>
      <c r="BV95" s="79">
        <f t="shared" si="29"/>
        <v>1.2665779257295051</v>
      </c>
      <c r="BW95" s="79">
        <f t="shared" si="29"/>
        <v>1.2619231198584462</v>
      </c>
      <c r="BX95" s="79">
        <f t="shared" si="29"/>
        <v>1.2647738700081061</v>
      </c>
      <c r="BY95" s="79">
        <f t="shared" si="29"/>
        <v>1.2632215175866939</v>
      </c>
      <c r="BZ95" s="79">
        <f t="shared" si="29"/>
        <v>1.2590676973653798</v>
      </c>
      <c r="CA95" s="79">
        <f t="shared" si="29"/>
        <v>1.2650199585052266</v>
      </c>
      <c r="CB95" s="79">
        <f t="shared" si="29"/>
        <v>1.2635678152120091</v>
      </c>
      <c r="CC95" s="79">
        <f t="shared" si="29"/>
        <v>1.2493095341592868</v>
      </c>
      <c r="CD95" s="79">
        <f t="shared" si="29"/>
        <v>1.2566620698529258</v>
      </c>
      <c r="CE95" s="79">
        <f t="shared" si="29"/>
        <v>1.2731177022002824</v>
      </c>
      <c r="CF95" s="79">
        <f t="shared" si="29"/>
        <v>1.2785679615137289</v>
      </c>
      <c r="CG95" s="79">
        <f t="shared" si="29"/>
        <v>1.2738144501744972</v>
      </c>
      <c r="CH95" s="79">
        <f t="shared" si="29"/>
        <v>1.2722622289888901</v>
      </c>
      <c r="CI95" s="79">
        <f t="shared" si="29"/>
        <v>1.2728106389718488</v>
      </c>
      <c r="CJ95" s="79">
        <f t="shared" si="29"/>
        <v>1.2751593628245439</v>
      </c>
      <c r="CK95" s="79">
        <f t="shared" si="29"/>
        <v>1.2793081808586151</v>
      </c>
      <c r="CL95" s="79">
        <f t="shared" si="29"/>
        <v>1.2826565559715224</v>
      </c>
      <c r="CM95" s="79">
        <f t="shared" si="29"/>
        <v>1.2748037393912046</v>
      </c>
      <c r="CN95" s="79">
        <f t="shared" si="29"/>
        <v>1.2827521969964406</v>
      </c>
      <c r="CO95" s="79">
        <f t="shared" si="29"/>
        <v>1.2834000000000001</v>
      </c>
    </row>
    <row r="96" spans="1:105" ht="18" x14ac:dyDescent="0.4">
      <c r="A96" s="49"/>
      <c r="B96" s="62" t="s">
        <v>56</v>
      </c>
      <c r="C96" s="80">
        <f>$C$91*$C$90*(C95-$C$95)*$C$88</f>
        <v>0</v>
      </c>
      <c r="D96" s="80">
        <f t="shared" ref="D96:BO96" si="30">$C$91*$C$90*(D95-$C$95)*$C$88</f>
        <v>-3262.4652149410254</v>
      </c>
      <c r="E96" s="80">
        <f t="shared" si="30"/>
        <v>-58878.141188656948</v>
      </c>
      <c r="F96" s="80">
        <f t="shared" si="30"/>
        <v>-67527.024092043575</v>
      </c>
      <c r="G96" s="80">
        <f t="shared" si="30"/>
        <v>-60778.331440299175</v>
      </c>
      <c r="H96" s="80">
        <f t="shared" si="30"/>
        <v>-65962.228607441357</v>
      </c>
      <c r="I96" s="80">
        <f t="shared" si="30"/>
        <v>-26498.419209370171</v>
      </c>
      <c r="J96" s="80">
        <f t="shared" si="30"/>
        <v>-61318.566912989867</v>
      </c>
      <c r="K96" s="80">
        <f t="shared" si="30"/>
        <v>-88053.834371404766</v>
      </c>
      <c r="L96" s="80">
        <f t="shared" si="30"/>
        <v>-82844.89684510931</v>
      </c>
      <c r="M96" s="80">
        <f t="shared" si="30"/>
        <v>-96108.096083621582</v>
      </c>
      <c r="N96" s="80">
        <f t="shared" si="30"/>
        <v>-77430.754025568531</v>
      </c>
      <c r="O96" s="80">
        <f t="shared" si="30"/>
        <v>-114165.65807507862</v>
      </c>
      <c r="P96" s="80">
        <f t="shared" si="30"/>
        <v>-12761.014811058329</v>
      </c>
      <c r="Q96" s="80">
        <f t="shared" si="30"/>
        <v>-41415.417945384186</v>
      </c>
      <c r="R96" s="80">
        <f t="shared" si="30"/>
        <v>10730.110926840838</v>
      </c>
      <c r="S96" s="80">
        <f t="shared" si="30"/>
        <v>-15999.192585811801</v>
      </c>
      <c r="T96" s="80">
        <f t="shared" si="30"/>
        <v>-48497.098312413393</v>
      </c>
      <c r="U96" s="80">
        <f t="shared" si="30"/>
        <v>-51370.155051991846</v>
      </c>
      <c r="V96" s="80">
        <f t="shared" si="30"/>
        <v>-51934.819671673227</v>
      </c>
      <c r="W96" s="80">
        <f t="shared" si="30"/>
        <v>-60192.863440326742</v>
      </c>
      <c r="X96" s="80">
        <f t="shared" si="30"/>
        <v>-83451.841334328332</v>
      </c>
      <c r="Y96" s="80">
        <f t="shared" si="30"/>
        <v>-100939.28456075996</v>
      </c>
      <c r="Z96" s="80">
        <f t="shared" si="30"/>
        <v>-78808.791533257274</v>
      </c>
      <c r="AA96" s="80">
        <f t="shared" si="30"/>
        <v>-18988.216867960738</v>
      </c>
      <c r="AB96" s="80">
        <f t="shared" si="30"/>
        <v>-1862.4979120309006</v>
      </c>
      <c r="AC96" s="80">
        <f t="shared" si="30"/>
        <v>2186.1633957870358</v>
      </c>
      <c r="AD96" s="80">
        <f t="shared" si="30"/>
        <v>-303.0600807693985</v>
      </c>
      <c r="AE96" s="80">
        <f t="shared" si="30"/>
        <v>-4714.7944181205357</v>
      </c>
      <c r="AF96" s="80">
        <f t="shared" si="30"/>
        <v>48553.791534096912</v>
      </c>
      <c r="AG96" s="80">
        <f t="shared" si="30"/>
        <v>62212.814091948065</v>
      </c>
      <c r="AH96" s="80">
        <f t="shared" si="30"/>
        <v>95480.353594407279</v>
      </c>
      <c r="AI96" s="80">
        <f t="shared" si="30"/>
        <v>79146.506246314981</v>
      </c>
      <c r="AJ96" s="80">
        <f t="shared" si="30"/>
        <v>61660.597473577742</v>
      </c>
      <c r="AK96" s="80">
        <f t="shared" si="30"/>
        <v>76085.910255630137</v>
      </c>
      <c r="AL96" s="80">
        <f t="shared" si="30"/>
        <v>42070.69636280257</v>
      </c>
      <c r="AM96" s="80">
        <f t="shared" si="30"/>
        <v>39196.61204631209</v>
      </c>
      <c r="AN96" s="80">
        <f t="shared" si="30"/>
        <v>47086.228000840711</v>
      </c>
      <c r="AO96" s="80">
        <f t="shared" si="30"/>
        <v>42290.268417460109</v>
      </c>
      <c r="AP96" s="80">
        <f t="shared" si="30"/>
        <v>7128.9135766286408</v>
      </c>
      <c r="AQ96" s="80">
        <f t="shared" si="30"/>
        <v>-8811.473913284095</v>
      </c>
      <c r="AR96" s="80">
        <f t="shared" si="30"/>
        <v>-20138.385627461579</v>
      </c>
      <c r="AS96" s="80">
        <f t="shared" si="30"/>
        <v>-22624.743717994686</v>
      </c>
      <c r="AT96" s="80">
        <f t="shared" si="30"/>
        <v>-3204.9065514967151</v>
      </c>
      <c r="AU96" s="80">
        <f t="shared" si="30"/>
        <v>-40278.651497775427</v>
      </c>
      <c r="AV96" s="80">
        <f t="shared" si="30"/>
        <v>-52755.185864413164</v>
      </c>
      <c r="AW96" s="80">
        <f t="shared" si="30"/>
        <v>-2594.919221866815</v>
      </c>
      <c r="AX96" s="80">
        <f t="shared" si="30"/>
        <v>-3544.3213199055585</v>
      </c>
      <c r="AY96" s="80">
        <f t="shared" si="30"/>
        <v>40846.389572645319</v>
      </c>
      <c r="AZ96" s="80">
        <f t="shared" si="30"/>
        <v>64869.780158357331</v>
      </c>
      <c r="BA96" s="80">
        <f t="shared" si="30"/>
        <v>72754.593474990674</v>
      </c>
      <c r="BB96" s="80">
        <f t="shared" si="30"/>
        <v>29157.25230887279</v>
      </c>
      <c r="BC96" s="80">
        <f t="shared" si="30"/>
        <v>68161.114013028709</v>
      </c>
      <c r="BD96" s="80">
        <f t="shared" si="30"/>
        <v>77581.562909354616</v>
      </c>
      <c r="BE96" s="80">
        <f t="shared" si="30"/>
        <v>76629.391944465868</v>
      </c>
      <c r="BF96" s="80">
        <f t="shared" si="30"/>
        <v>84512.280106928563</v>
      </c>
      <c r="BG96" s="80">
        <f t="shared" si="30"/>
        <v>121971.24302459993</v>
      </c>
      <c r="BH96" s="80">
        <f t="shared" si="30"/>
        <v>106037.68632841182</v>
      </c>
      <c r="BI96" s="80">
        <f t="shared" si="30"/>
        <v>133890.75735921535</v>
      </c>
      <c r="BJ96" s="80">
        <f t="shared" si="30"/>
        <v>111044.87962089997</v>
      </c>
      <c r="BK96" s="80">
        <f t="shared" si="30"/>
        <v>131982.63899958416</v>
      </c>
      <c r="BL96" s="80">
        <f t="shared" si="30"/>
        <v>168664.16021184457</v>
      </c>
      <c r="BM96" s="80">
        <f t="shared" si="30"/>
        <v>176925.30508992914</v>
      </c>
      <c r="BN96" s="80">
        <f t="shared" si="30"/>
        <v>126049.23315618247</v>
      </c>
      <c r="BO96" s="80">
        <f t="shared" si="30"/>
        <v>120871.9099108504</v>
      </c>
      <c r="BP96" s="80">
        <f t="shared" ref="BP96:CO96" si="31">$C$91*$C$90*(BP95-$C$95)*$C$88</f>
        <v>142189.14402629028</v>
      </c>
      <c r="BQ96" s="80">
        <f t="shared" si="31"/>
        <v>163504.67737032386</v>
      </c>
      <c r="BR96" s="80">
        <f t="shared" si="31"/>
        <v>167925.08793320172</v>
      </c>
      <c r="BS96" s="80">
        <f t="shared" si="31"/>
        <v>151997.1005092198</v>
      </c>
      <c r="BT96" s="80">
        <f t="shared" si="31"/>
        <v>140293.44827370642</v>
      </c>
      <c r="BU96" s="80">
        <f t="shared" si="31"/>
        <v>163909.08315613703</v>
      </c>
      <c r="BV96" s="80">
        <f t="shared" si="31"/>
        <v>159883.53758829975</v>
      </c>
      <c r="BW96" s="80">
        <f t="shared" si="31"/>
        <v>177738.5658624038</v>
      </c>
      <c r="BX96" s="80">
        <f t="shared" si="31"/>
        <v>166803.58254955392</v>
      </c>
      <c r="BY96" s="80">
        <f t="shared" si="31"/>
        <v>172758.13729221703</v>
      </c>
      <c r="BZ96" s="80">
        <f t="shared" si="31"/>
        <v>188691.4714744727</v>
      </c>
      <c r="CA96" s="80">
        <f t="shared" si="31"/>
        <v>165859.62974126663</v>
      </c>
      <c r="CB96" s="80">
        <f t="shared" si="31"/>
        <v>171429.79964236953</v>
      </c>
      <c r="CC96" s="80">
        <f t="shared" si="31"/>
        <v>226122.09366892232</v>
      </c>
      <c r="CD96" s="80">
        <f t="shared" si="31"/>
        <v>197919.04152607988</v>
      </c>
      <c r="CE96" s="80">
        <f t="shared" si="31"/>
        <v>134798.0889086783</v>
      </c>
      <c r="CF96" s="80">
        <f t="shared" si="31"/>
        <v>113891.83914478705</v>
      </c>
      <c r="CG96" s="80">
        <f t="shared" si="31"/>
        <v>132125.48448131038</v>
      </c>
      <c r="CH96" s="80">
        <f t="shared" si="31"/>
        <v>138079.53582617865</v>
      </c>
      <c r="CI96" s="80">
        <f t="shared" si="31"/>
        <v>135975.93021452278</v>
      </c>
      <c r="CJ96" s="80">
        <f t="shared" si="31"/>
        <v>126966.63273583028</v>
      </c>
      <c r="CK96" s="80">
        <f t="shared" si="31"/>
        <v>111052.4860765622</v>
      </c>
      <c r="CL96" s="80">
        <f t="shared" si="31"/>
        <v>98208.699682594786</v>
      </c>
      <c r="CM96" s="80">
        <f t="shared" si="31"/>
        <v>128330.74256835533</v>
      </c>
      <c r="CN96" s="80">
        <f t="shared" si="31"/>
        <v>97841.83729318851</v>
      </c>
      <c r="CO96" s="80">
        <f t="shared" si="31"/>
        <v>95356.977287206581</v>
      </c>
    </row>
    <row r="97" spans="1:94" x14ac:dyDescent="0.35">
      <c r="A97" s="49"/>
      <c r="B97" s="62" t="s">
        <v>57</v>
      </c>
      <c r="C97" s="81">
        <f t="shared" ref="C97:AH97" si="32">C23</f>
        <v>5000000</v>
      </c>
      <c r="D97" s="81">
        <f t="shared" si="32"/>
        <v>4985153.4616998695</v>
      </c>
      <c r="E97" s="81">
        <f t="shared" si="32"/>
        <v>5083257.935345551</v>
      </c>
      <c r="F97" s="81">
        <f t="shared" si="32"/>
        <v>5106849.9437727593</v>
      </c>
      <c r="G97" s="81">
        <f t="shared" si="32"/>
        <v>5086904.1660352163</v>
      </c>
      <c r="H97" s="81">
        <f t="shared" si="32"/>
        <v>5122810.9653444933</v>
      </c>
      <c r="I97" s="81">
        <f t="shared" si="32"/>
        <v>5106202.8143232074</v>
      </c>
      <c r="J97" s="81">
        <f t="shared" si="32"/>
        <v>5126070.1259868639</v>
      </c>
      <c r="K97" s="81">
        <f t="shared" si="32"/>
        <v>5192907.4882579716</v>
      </c>
      <c r="L97" s="81">
        <f t="shared" si="32"/>
        <v>5211919.5226743342</v>
      </c>
      <c r="M97" s="81">
        <f t="shared" si="32"/>
        <v>5229071.3636952462</v>
      </c>
      <c r="N97" s="81">
        <f t="shared" si="32"/>
        <v>5212124.237662863</v>
      </c>
      <c r="O97" s="81">
        <f t="shared" si="32"/>
        <v>5261240.5504336087</v>
      </c>
      <c r="P97" s="81">
        <f t="shared" si="32"/>
        <v>5096430.9656624505</v>
      </c>
      <c r="Q97" s="81">
        <f t="shared" si="32"/>
        <v>5020700.3013219507</v>
      </c>
      <c r="R97" s="81">
        <f t="shared" si="32"/>
        <v>5054546.9478488602</v>
      </c>
      <c r="S97" s="81">
        <f t="shared" si="32"/>
        <v>5075577.8197790533</v>
      </c>
      <c r="T97" s="81">
        <f t="shared" si="32"/>
        <v>5088350.2802833635</v>
      </c>
      <c r="U97" s="81">
        <f t="shared" si="32"/>
        <v>5003639.8139518732</v>
      </c>
      <c r="V97" s="81">
        <f t="shared" si="32"/>
        <v>5067339.919102571</v>
      </c>
      <c r="W97" s="81">
        <f t="shared" si="32"/>
        <v>5134996.1381655028</v>
      </c>
      <c r="X97" s="81">
        <f t="shared" si="32"/>
        <v>5200316.9028768437</v>
      </c>
      <c r="Y97" s="81">
        <f t="shared" si="32"/>
        <v>5264148.8145583831</v>
      </c>
      <c r="Z97" s="81">
        <f t="shared" si="32"/>
        <v>5230664.2123134248</v>
      </c>
      <c r="AA97" s="81">
        <f t="shared" si="32"/>
        <v>5187023.7649024269</v>
      </c>
      <c r="AB97" s="81">
        <f t="shared" si="32"/>
        <v>5167674.8320295541</v>
      </c>
      <c r="AC97" s="81">
        <f t="shared" si="32"/>
        <v>5226024.8304868797</v>
      </c>
      <c r="AD97" s="81">
        <f t="shared" si="32"/>
        <v>5176925.5977870636</v>
      </c>
      <c r="AE97" s="81">
        <f t="shared" si="32"/>
        <v>5231982.0438856911</v>
      </c>
      <c r="AF97" s="81">
        <f t="shared" si="32"/>
        <v>5142769.7789619844</v>
      </c>
      <c r="AG97" s="81">
        <f t="shared" si="32"/>
        <v>5163692.6358941589</v>
      </c>
      <c r="AH97" s="81">
        <f t="shared" si="32"/>
        <v>5123451.2776414473</v>
      </c>
      <c r="AI97" s="81">
        <f t="shared" ref="AI97:BN97" si="33">AI23</f>
        <v>5072984.183312946</v>
      </c>
      <c r="AJ97" s="81">
        <f t="shared" si="33"/>
        <v>4902607.5779391928</v>
      </c>
      <c r="AK97" s="81">
        <f t="shared" si="33"/>
        <v>4755619.7188265482</v>
      </c>
      <c r="AL97" s="81">
        <f t="shared" si="33"/>
        <v>4755116.2071039593</v>
      </c>
      <c r="AM97" s="81">
        <f t="shared" si="33"/>
        <v>4545807.7167030098</v>
      </c>
      <c r="AN97" s="81">
        <f t="shared" si="33"/>
        <v>4534036.217996276</v>
      </c>
      <c r="AO97" s="81">
        <f t="shared" si="33"/>
        <v>4705875.0399132855</v>
      </c>
      <c r="AP97" s="81">
        <f t="shared" si="33"/>
        <v>4647982.1912939269</v>
      </c>
      <c r="AQ97" s="81">
        <f t="shared" si="33"/>
        <v>4850180.2818832751</v>
      </c>
      <c r="AR97" s="81">
        <f t="shared" si="33"/>
        <v>4682749.2116211047</v>
      </c>
      <c r="AS97" s="81">
        <f t="shared" si="33"/>
        <v>4624930.4606230771</v>
      </c>
      <c r="AT97" s="81">
        <f t="shared" si="33"/>
        <v>4219029.69079326</v>
      </c>
      <c r="AU97" s="81">
        <f t="shared" si="33"/>
        <v>4508905.1085108975</v>
      </c>
      <c r="AV97" s="81">
        <f t="shared" si="33"/>
        <v>4295099.2442648821</v>
      </c>
      <c r="AW97" s="81">
        <f t="shared" si="33"/>
        <v>3852170.7109054574</v>
      </c>
      <c r="AX97" s="81">
        <f t="shared" si="33"/>
        <v>4169338.7143974132</v>
      </c>
      <c r="AY97" s="81">
        <f t="shared" si="33"/>
        <v>3644356.5444209022</v>
      </c>
      <c r="AZ97" s="81">
        <f t="shared" si="33"/>
        <v>3859983.2079286361</v>
      </c>
      <c r="BA97" s="81">
        <f t="shared" si="33"/>
        <v>3635087.1865103249</v>
      </c>
      <c r="BB97" s="81">
        <f t="shared" si="33"/>
        <v>3720984.8152333358</v>
      </c>
      <c r="BC97" s="81">
        <f t="shared" si="33"/>
        <v>3494052.4600530337</v>
      </c>
      <c r="BD97" s="81">
        <f t="shared" si="33"/>
        <v>3405934.7469391506</v>
      </c>
      <c r="BE97" s="81">
        <f t="shared" si="33"/>
        <v>3736889.5150922327</v>
      </c>
      <c r="BF97" s="81">
        <f t="shared" si="33"/>
        <v>3769055.5220459299</v>
      </c>
      <c r="BG97" s="81">
        <f t="shared" si="33"/>
        <v>3960757.617756098</v>
      </c>
      <c r="BH97" s="81">
        <f t="shared" si="33"/>
        <v>3854452.5468192417</v>
      </c>
      <c r="BI97" s="81">
        <f t="shared" si="33"/>
        <v>3948685.4987802384</v>
      </c>
      <c r="BJ97" s="81">
        <f t="shared" si="33"/>
        <v>3895696.1495231399</v>
      </c>
      <c r="BK97" s="81">
        <f t="shared" si="33"/>
        <v>3719152.2346516727</v>
      </c>
      <c r="BL97" s="81">
        <f t="shared" si="33"/>
        <v>3757089.8834578283</v>
      </c>
      <c r="BM97" s="81">
        <f t="shared" si="33"/>
        <v>3728669.5710037644</v>
      </c>
      <c r="BN97" s="81">
        <f t="shared" si="33"/>
        <v>4026555.8512467551</v>
      </c>
      <c r="BO97" s="81">
        <f t="shared" ref="BO97:CO97" si="34">BO23</f>
        <v>4002677.7598163425</v>
      </c>
      <c r="BP97" s="81">
        <f t="shared" si="34"/>
        <v>4145106.2747279746</v>
      </c>
      <c r="BQ97" s="81">
        <f t="shared" si="34"/>
        <v>4149677.409755012</v>
      </c>
      <c r="BR97" s="81">
        <f t="shared" si="34"/>
        <v>4112813.9800346387</v>
      </c>
      <c r="BS97" s="81">
        <f t="shared" si="34"/>
        <v>4275196.4258756312</v>
      </c>
      <c r="BT97" s="81">
        <f t="shared" si="34"/>
        <v>4160729.367865283</v>
      </c>
      <c r="BU97" s="81">
        <f t="shared" si="34"/>
        <v>4192431.0013471302</v>
      </c>
      <c r="BV97" s="81">
        <f t="shared" si="34"/>
        <v>4283296.0937453816</v>
      </c>
      <c r="BW97" s="81">
        <f t="shared" si="34"/>
        <v>4205785.8498297306</v>
      </c>
      <c r="BX97" s="81">
        <f t="shared" si="34"/>
        <v>4074269.3845052575</v>
      </c>
      <c r="BY97" s="81">
        <f t="shared" si="34"/>
        <v>4189610.744471068</v>
      </c>
      <c r="BZ97" s="81">
        <f t="shared" si="34"/>
        <v>4168248.4197767959</v>
      </c>
      <c r="CA97" s="81">
        <f t="shared" si="34"/>
        <v>4252384.360106281</v>
      </c>
      <c r="CB97" s="81">
        <f t="shared" si="34"/>
        <v>4317514.7788926782</v>
      </c>
      <c r="CC97" s="81">
        <f t="shared" si="34"/>
        <v>4209384.9687366653</v>
      </c>
      <c r="CD97" s="81">
        <f t="shared" si="34"/>
        <v>4360918.4760454483</v>
      </c>
      <c r="CE97" s="81">
        <f t="shared" si="34"/>
        <v>4393636.3736937186</v>
      </c>
      <c r="CF97" s="81">
        <f t="shared" si="34"/>
        <v>4290589.4508611327</v>
      </c>
      <c r="CG97" s="81">
        <f t="shared" si="34"/>
        <v>4263618.025915904</v>
      </c>
      <c r="CH97" s="81">
        <f t="shared" si="34"/>
        <v>4335589.5227872329</v>
      </c>
      <c r="CI97" s="81">
        <f t="shared" si="34"/>
        <v>4299225.6605749819</v>
      </c>
      <c r="CJ97" s="81">
        <f t="shared" si="34"/>
        <v>4342050.6310774023</v>
      </c>
      <c r="CK97" s="81">
        <f t="shared" si="34"/>
        <v>4417048.1440775152</v>
      </c>
      <c r="CL97" s="81">
        <f t="shared" si="34"/>
        <v>4419836.766186255</v>
      </c>
      <c r="CM97" s="81">
        <f t="shared" si="34"/>
        <v>4302391.6031197021</v>
      </c>
      <c r="CN97" s="81">
        <f t="shared" si="34"/>
        <v>4294791.0538379485</v>
      </c>
      <c r="CO97" s="81">
        <f t="shared" si="34"/>
        <v>4305353.8016581656</v>
      </c>
    </row>
    <row r="98" spans="1:94" ht="18" x14ac:dyDescent="0.4">
      <c r="A98" s="49"/>
      <c r="B98" s="62" t="s">
        <v>54</v>
      </c>
      <c r="C98" s="82">
        <f>C96+C97</f>
        <v>5000000</v>
      </c>
      <c r="D98" s="82">
        <f t="shared" ref="D98:BO98" si="35">D96+D97</f>
        <v>4981890.9964849288</v>
      </c>
      <c r="E98" s="82">
        <f t="shared" si="35"/>
        <v>5024379.7941568941</v>
      </c>
      <c r="F98" s="82">
        <f t="shared" si="35"/>
        <v>5039322.9196807155</v>
      </c>
      <c r="G98" s="82">
        <f t="shared" si="35"/>
        <v>5026125.8345949175</v>
      </c>
      <c r="H98" s="82">
        <f t="shared" si="35"/>
        <v>5056848.736737052</v>
      </c>
      <c r="I98" s="82">
        <f t="shared" si="35"/>
        <v>5079704.395113837</v>
      </c>
      <c r="J98" s="82">
        <f t="shared" si="35"/>
        <v>5064751.5590738738</v>
      </c>
      <c r="K98" s="82">
        <f t="shared" si="35"/>
        <v>5104853.6538865669</v>
      </c>
      <c r="L98" s="82">
        <f t="shared" si="35"/>
        <v>5129074.6258292245</v>
      </c>
      <c r="M98" s="82">
        <f t="shared" si="35"/>
        <v>5132963.2676116247</v>
      </c>
      <c r="N98" s="82">
        <f t="shared" si="35"/>
        <v>5134693.4836372947</v>
      </c>
      <c r="O98" s="82">
        <f t="shared" si="35"/>
        <v>5147074.8923585303</v>
      </c>
      <c r="P98" s="82">
        <f t="shared" si="35"/>
        <v>5083669.950851392</v>
      </c>
      <c r="Q98" s="82">
        <f t="shared" si="35"/>
        <v>4979284.8833765667</v>
      </c>
      <c r="R98" s="82">
        <f t="shared" si="35"/>
        <v>5065277.0587757006</v>
      </c>
      <c r="S98" s="82">
        <f t="shared" si="35"/>
        <v>5059578.6271932414</v>
      </c>
      <c r="T98" s="82">
        <f t="shared" si="35"/>
        <v>5039853.1819709502</v>
      </c>
      <c r="U98" s="82">
        <f t="shared" si="35"/>
        <v>4952269.6588998809</v>
      </c>
      <c r="V98" s="82">
        <f t="shared" si="35"/>
        <v>5015405.0994308982</v>
      </c>
      <c r="W98" s="82">
        <f t="shared" si="35"/>
        <v>5074803.2747251764</v>
      </c>
      <c r="X98" s="82">
        <f t="shared" si="35"/>
        <v>5116865.0615425156</v>
      </c>
      <c r="Y98" s="82">
        <f t="shared" si="35"/>
        <v>5163209.5299976235</v>
      </c>
      <c r="Z98" s="82">
        <f t="shared" si="35"/>
        <v>5151855.4207801679</v>
      </c>
      <c r="AA98" s="82">
        <f t="shared" si="35"/>
        <v>5168035.5480344659</v>
      </c>
      <c r="AB98" s="82">
        <f t="shared" si="35"/>
        <v>5165812.3341175234</v>
      </c>
      <c r="AC98" s="82">
        <f t="shared" si="35"/>
        <v>5228210.9938826663</v>
      </c>
      <c r="AD98" s="82">
        <f t="shared" si="35"/>
        <v>5176622.5377062941</v>
      </c>
      <c r="AE98" s="82">
        <f t="shared" si="35"/>
        <v>5227267.2494675703</v>
      </c>
      <c r="AF98" s="82">
        <f t="shared" si="35"/>
        <v>5191323.5704960814</v>
      </c>
      <c r="AG98" s="82">
        <f t="shared" si="35"/>
        <v>5225905.4499861067</v>
      </c>
      <c r="AH98" s="82">
        <f t="shared" si="35"/>
        <v>5218931.6312358547</v>
      </c>
      <c r="AI98" s="82">
        <f t="shared" si="35"/>
        <v>5152130.6895592613</v>
      </c>
      <c r="AJ98" s="82">
        <f t="shared" si="35"/>
        <v>4964268.1754127704</v>
      </c>
      <c r="AK98" s="82">
        <f t="shared" si="35"/>
        <v>4831705.6290821787</v>
      </c>
      <c r="AL98" s="82">
        <f t="shared" si="35"/>
        <v>4797186.903466762</v>
      </c>
      <c r="AM98" s="82">
        <f t="shared" si="35"/>
        <v>4585004.3287493223</v>
      </c>
      <c r="AN98" s="82">
        <f t="shared" si="35"/>
        <v>4581122.4459971171</v>
      </c>
      <c r="AO98" s="82">
        <f t="shared" si="35"/>
        <v>4748165.3083307454</v>
      </c>
      <c r="AP98" s="82">
        <f t="shared" si="35"/>
        <v>4655111.1048705559</v>
      </c>
      <c r="AQ98" s="82">
        <f t="shared" si="35"/>
        <v>4841368.8079699911</v>
      </c>
      <c r="AR98" s="82">
        <f t="shared" si="35"/>
        <v>4662610.8259936431</v>
      </c>
      <c r="AS98" s="82">
        <f t="shared" si="35"/>
        <v>4602305.7169050826</v>
      </c>
      <c r="AT98" s="82">
        <f t="shared" si="35"/>
        <v>4215824.7842417629</v>
      </c>
      <c r="AU98" s="82">
        <f t="shared" si="35"/>
        <v>4468626.4570131218</v>
      </c>
      <c r="AV98" s="82">
        <f t="shared" si="35"/>
        <v>4242344.0584004689</v>
      </c>
      <c r="AW98" s="82">
        <f t="shared" si="35"/>
        <v>3849575.7916835905</v>
      </c>
      <c r="AX98" s="82">
        <f t="shared" si="35"/>
        <v>4165794.3930775076</v>
      </c>
      <c r="AY98" s="82">
        <f t="shared" si="35"/>
        <v>3685202.9339935477</v>
      </c>
      <c r="AZ98" s="82">
        <f t="shared" si="35"/>
        <v>3924852.9880869933</v>
      </c>
      <c r="BA98" s="82">
        <f t="shared" si="35"/>
        <v>3707841.7799853156</v>
      </c>
      <c r="BB98" s="82">
        <f t="shared" si="35"/>
        <v>3750142.0675422088</v>
      </c>
      <c r="BC98" s="82">
        <f t="shared" si="35"/>
        <v>3562213.5740660625</v>
      </c>
      <c r="BD98" s="82">
        <f t="shared" si="35"/>
        <v>3483516.3098485051</v>
      </c>
      <c r="BE98" s="82">
        <f t="shared" si="35"/>
        <v>3813518.9070366984</v>
      </c>
      <c r="BF98" s="82">
        <f t="shared" si="35"/>
        <v>3853567.8021528586</v>
      </c>
      <c r="BG98" s="82">
        <f t="shared" si="35"/>
        <v>4082728.8607806978</v>
      </c>
      <c r="BH98" s="82">
        <f t="shared" si="35"/>
        <v>3960490.2331476538</v>
      </c>
      <c r="BI98" s="82">
        <f t="shared" si="35"/>
        <v>4082576.256139454</v>
      </c>
      <c r="BJ98" s="82">
        <f t="shared" si="35"/>
        <v>4006741.0291440398</v>
      </c>
      <c r="BK98" s="82">
        <f t="shared" si="35"/>
        <v>3851134.8736512568</v>
      </c>
      <c r="BL98" s="82">
        <f t="shared" si="35"/>
        <v>3925754.0436696727</v>
      </c>
      <c r="BM98" s="82">
        <f t="shared" si="35"/>
        <v>3905594.8760936935</v>
      </c>
      <c r="BN98" s="82">
        <f t="shared" si="35"/>
        <v>4152605.0844029374</v>
      </c>
      <c r="BO98" s="82">
        <f t="shared" si="35"/>
        <v>4123549.6697271927</v>
      </c>
      <c r="BP98" s="82">
        <f t="shared" ref="BP98:CO98" si="36">BP96+BP97</f>
        <v>4287295.4187542647</v>
      </c>
      <c r="BQ98" s="82">
        <f t="shared" si="36"/>
        <v>4313182.0871253358</v>
      </c>
      <c r="BR98" s="82">
        <f t="shared" si="36"/>
        <v>4280739.0679678405</v>
      </c>
      <c r="BS98" s="82">
        <f t="shared" si="36"/>
        <v>4427193.526384851</v>
      </c>
      <c r="BT98" s="82">
        <f t="shared" si="36"/>
        <v>4301022.8161389893</v>
      </c>
      <c r="BU98" s="82">
        <f t="shared" si="36"/>
        <v>4356340.084503267</v>
      </c>
      <c r="BV98" s="82">
        <f t="shared" si="36"/>
        <v>4443179.6313336818</v>
      </c>
      <c r="BW98" s="82">
        <f t="shared" si="36"/>
        <v>4383524.4156921348</v>
      </c>
      <c r="BX98" s="82">
        <f t="shared" si="36"/>
        <v>4241072.9670548113</v>
      </c>
      <c r="BY98" s="82">
        <f t="shared" si="36"/>
        <v>4362368.881763285</v>
      </c>
      <c r="BZ98" s="82">
        <f t="shared" si="36"/>
        <v>4356939.8912512688</v>
      </c>
      <c r="CA98" s="82">
        <f t="shared" si="36"/>
        <v>4418243.9898475474</v>
      </c>
      <c r="CB98" s="82">
        <f t="shared" si="36"/>
        <v>4488944.5785350474</v>
      </c>
      <c r="CC98" s="82">
        <f t="shared" si="36"/>
        <v>4435507.0624055881</v>
      </c>
      <c r="CD98" s="82">
        <f t="shared" si="36"/>
        <v>4558837.5175715284</v>
      </c>
      <c r="CE98" s="82">
        <f t="shared" si="36"/>
        <v>4528434.4626023965</v>
      </c>
      <c r="CF98" s="82">
        <f t="shared" si="36"/>
        <v>4404481.2900059195</v>
      </c>
      <c r="CG98" s="82">
        <f t="shared" si="36"/>
        <v>4395743.5103972144</v>
      </c>
      <c r="CH98" s="82">
        <f t="shared" si="36"/>
        <v>4473669.0586134112</v>
      </c>
      <c r="CI98" s="82">
        <f t="shared" si="36"/>
        <v>4435201.5907895043</v>
      </c>
      <c r="CJ98" s="82">
        <f t="shared" si="36"/>
        <v>4469017.263813233</v>
      </c>
      <c r="CK98" s="82">
        <f t="shared" si="36"/>
        <v>4528100.630154077</v>
      </c>
      <c r="CL98" s="82">
        <f t="shared" si="36"/>
        <v>4518045.4658688502</v>
      </c>
      <c r="CM98" s="82">
        <f t="shared" si="36"/>
        <v>4430722.3456880571</v>
      </c>
      <c r="CN98" s="82">
        <f t="shared" si="36"/>
        <v>4392632.8911311366</v>
      </c>
      <c r="CO98" s="82">
        <f t="shared" si="36"/>
        <v>4400710.7789453724</v>
      </c>
      <c r="CP98" s="59"/>
    </row>
    <row r="99" spans="1:94" x14ac:dyDescent="0.35">
      <c r="A99" s="49"/>
      <c r="B99" s="50"/>
      <c r="C99" s="49"/>
      <c r="D99" s="49"/>
      <c r="E99" s="49"/>
      <c r="F99" s="49"/>
      <c r="G99" s="49"/>
      <c r="H99" s="49"/>
      <c r="I99" s="49"/>
      <c r="J99" s="49"/>
      <c r="K99" s="49"/>
      <c r="L99" s="49"/>
      <c r="M99" s="49"/>
      <c r="N99" s="49"/>
      <c r="O99" s="49"/>
      <c r="P99" s="49"/>
      <c r="Q99" s="49"/>
      <c r="R99" s="49"/>
      <c r="S99" s="49"/>
      <c r="T99" s="49"/>
      <c r="U99" s="49"/>
      <c r="V99" s="49"/>
      <c r="W99" s="49"/>
      <c r="X99" s="49"/>
      <c r="Y99" s="49"/>
      <c r="Z99" s="49"/>
      <c r="AA99" s="49"/>
      <c r="AB99" s="49"/>
      <c r="AC99" s="49"/>
      <c r="AD99" s="49"/>
      <c r="AE99" s="49"/>
      <c r="AF99" s="49"/>
      <c r="AG99" s="49"/>
      <c r="AH99" s="49"/>
      <c r="AI99" s="49"/>
      <c r="AJ99" s="49"/>
      <c r="AK99" s="49"/>
      <c r="AL99" s="49"/>
      <c r="AM99" s="49"/>
      <c r="AN99" s="49"/>
      <c r="AO99" s="49"/>
      <c r="AP99" s="49"/>
      <c r="AQ99" s="49"/>
      <c r="AR99" s="49"/>
      <c r="AS99" s="49"/>
      <c r="AT99" s="49"/>
      <c r="AU99" s="49"/>
      <c r="AV99" s="49"/>
      <c r="AW99" s="49"/>
      <c r="AX99" s="49"/>
      <c r="AY99" s="49"/>
      <c r="AZ99" s="49"/>
      <c r="BA99" s="49"/>
      <c r="BB99" s="49"/>
      <c r="BC99" s="49"/>
      <c r="BD99" s="49"/>
      <c r="BE99" s="49"/>
      <c r="BF99" s="49"/>
      <c r="BG99" s="49"/>
      <c r="BH99" s="49"/>
      <c r="BI99" s="49"/>
      <c r="BJ99" s="49"/>
      <c r="BK99" s="49"/>
      <c r="BL99" s="49"/>
      <c r="BM99" s="49"/>
      <c r="BN99" s="49"/>
      <c r="BO99" s="49"/>
      <c r="BP99" s="49"/>
      <c r="BQ99" s="49"/>
      <c r="BR99" s="49"/>
      <c r="BS99" s="49"/>
      <c r="BT99" s="49"/>
      <c r="BU99" s="49"/>
      <c r="BV99" s="49"/>
      <c r="BW99" s="49"/>
      <c r="BX99" s="49"/>
      <c r="BY99" s="49"/>
      <c r="BZ99" s="49"/>
      <c r="CA99" s="49"/>
      <c r="CB99" s="49"/>
      <c r="CC99" s="49"/>
      <c r="CD99" s="49"/>
      <c r="CE99" s="49"/>
      <c r="CF99" s="49"/>
      <c r="CG99" s="49"/>
      <c r="CH99" s="49"/>
      <c r="CI99" s="49"/>
      <c r="CJ99" s="49"/>
      <c r="CK99" s="49"/>
      <c r="CL99" s="49"/>
      <c r="CM99" s="49"/>
      <c r="CN99" s="49"/>
      <c r="CO99" s="49"/>
    </row>
    <row r="100" spans="1:94" ht="18" x14ac:dyDescent="0.4">
      <c r="A100" s="49"/>
      <c r="B100" s="61" t="s">
        <v>48</v>
      </c>
      <c r="C100" s="49"/>
      <c r="D100" s="49"/>
      <c r="E100" s="49"/>
      <c r="F100" s="49"/>
      <c r="G100" s="49"/>
      <c r="H100" s="49"/>
      <c r="I100" s="49"/>
      <c r="J100" s="49"/>
      <c r="K100" s="49"/>
      <c r="L100" s="49"/>
      <c r="M100" s="49"/>
      <c r="N100" s="49"/>
      <c r="O100" s="49"/>
      <c r="P100" s="49"/>
      <c r="Q100" s="49"/>
      <c r="R100" s="49"/>
      <c r="S100" s="49"/>
      <c r="T100" s="49"/>
      <c r="U100" s="49"/>
      <c r="V100" s="49"/>
      <c r="W100" s="49"/>
      <c r="X100" s="49"/>
      <c r="Y100" s="49"/>
      <c r="Z100" s="49"/>
      <c r="AA100" s="49"/>
      <c r="AB100" s="49"/>
      <c r="AC100" s="49"/>
      <c r="AD100" s="49"/>
      <c r="AE100" s="49"/>
      <c r="AF100" s="49"/>
      <c r="AG100" s="49"/>
      <c r="AH100" s="49"/>
      <c r="AI100" s="49"/>
      <c r="AJ100" s="49"/>
      <c r="AK100" s="49"/>
      <c r="AL100" s="49"/>
      <c r="AM100" s="49"/>
      <c r="AN100" s="49"/>
      <c r="AO100" s="49"/>
      <c r="AP100" s="49"/>
      <c r="AQ100" s="49"/>
      <c r="AR100" s="49"/>
      <c r="AS100" s="49"/>
      <c r="AT100" s="49"/>
      <c r="AU100" s="49"/>
      <c r="AV100" s="49"/>
      <c r="AW100" s="49"/>
      <c r="AX100" s="49"/>
      <c r="AY100" s="49"/>
      <c r="AZ100" s="49"/>
      <c r="BA100" s="49"/>
      <c r="BB100" s="49"/>
      <c r="BC100" s="49"/>
      <c r="BD100" s="49"/>
      <c r="BE100" s="49"/>
      <c r="BF100" s="49"/>
      <c r="BG100" s="49"/>
      <c r="BH100" s="49"/>
      <c r="BI100" s="49"/>
      <c r="BJ100" s="49"/>
      <c r="BK100" s="49"/>
      <c r="BL100" s="49"/>
      <c r="BM100" s="49"/>
      <c r="BN100" s="49"/>
      <c r="BO100" s="49"/>
      <c r="BP100" s="49"/>
      <c r="BQ100" s="49"/>
      <c r="BR100" s="49"/>
      <c r="BS100" s="49"/>
      <c r="BT100" s="49"/>
      <c r="BU100" s="49"/>
      <c r="BV100" s="49"/>
      <c r="BW100" s="49"/>
      <c r="BX100" s="49"/>
      <c r="BY100" s="49"/>
      <c r="BZ100" s="49"/>
      <c r="CA100" s="49"/>
      <c r="CB100" s="49"/>
      <c r="CC100" s="49"/>
      <c r="CD100" s="49"/>
      <c r="CE100" s="49"/>
      <c r="CF100" s="49"/>
      <c r="CG100" s="49"/>
      <c r="CH100" s="49"/>
      <c r="CI100" s="49"/>
      <c r="CJ100" s="49"/>
      <c r="CK100" s="49"/>
      <c r="CL100" s="49"/>
      <c r="CM100" s="49"/>
      <c r="CN100" s="49"/>
      <c r="CO100" s="49"/>
    </row>
    <row r="101" spans="1:94" ht="18" x14ac:dyDescent="0.4">
      <c r="A101" s="49"/>
      <c r="B101" s="66" t="s">
        <v>43</v>
      </c>
      <c r="C101" s="67">
        <v>0</v>
      </c>
      <c r="D101" s="67">
        <v>1</v>
      </c>
      <c r="E101" s="67">
        <v>2</v>
      </c>
      <c r="F101" s="67">
        <v>3</v>
      </c>
      <c r="G101" s="67">
        <v>4</v>
      </c>
      <c r="H101" s="67">
        <v>5</v>
      </c>
      <c r="I101" s="67">
        <v>6</v>
      </c>
      <c r="J101" s="67">
        <v>7</v>
      </c>
      <c r="K101" s="67">
        <v>8</v>
      </c>
      <c r="L101" s="67">
        <v>9</v>
      </c>
      <c r="M101" s="67">
        <v>10</v>
      </c>
      <c r="N101" s="67">
        <v>11</v>
      </c>
      <c r="O101" s="67">
        <v>12</v>
      </c>
      <c r="P101" s="67">
        <v>13</v>
      </c>
      <c r="Q101" s="67">
        <v>14</v>
      </c>
      <c r="R101" s="67">
        <v>15</v>
      </c>
      <c r="S101" s="67">
        <v>16</v>
      </c>
      <c r="T101" s="67">
        <v>17</v>
      </c>
      <c r="U101" s="67">
        <v>18</v>
      </c>
      <c r="V101" s="67">
        <v>19</v>
      </c>
      <c r="W101" s="67">
        <v>20</v>
      </c>
      <c r="X101" s="67">
        <v>21</v>
      </c>
      <c r="Y101" s="67">
        <v>22</v>
      </c>
      <c r="Z101" s="67">
        <v>23</v>
      </c>
      <c r="AA101" s="67">
        <v>24</v>
      </c>
      <c r="AB101" s="67">
        <v>25</v>
      </c>
      <c r="AC101" s="67">
        <v>26</v>
      </c>
      <c r="AD101" s="67">
        <v>27</v>
      </c>
      <c r="AE101" s="67">
        <v>28</v>
      </c>
      <c r="AF101" s="67">
        <v>29</v>
      </c>
      <c r="AG101" s="67">
        <v>30</v>
      </c>
      <c r="AH101" s="67">
        <v>31</v>
      </c>
      <c r="AI101" s="67">
        <v>32</v>
      </c>
      <c r="AJ101" s="67">
        <v>33</v>
      </c>
      <c r="AK101" s="67">
        <v>34</v>
      </c>
      <c r="AL101" s="67">
        <v>35</v>
      </c>
      <c r="AM101" s="67">
        <v>36</v>
      </c>
      <c r="AN101" s="67">
        <v>37</v>
      </c>
      <c r="AO101" s="67">
        <v>38</v>
      </c>
      <c r="AP101" s="67">
        <v>39</v>
      </c>
      <c r="AQ101" s="67">
        <v>40</v>
      </c>
      <c r="AR101" s="67">
        <v>41</v>
      </c>
      <c r="AS101" s="67">
        <v>42</v>
      </c>
      <c r="AT101" s="67">
        <v>43</v>
      </c>
      <c r="AU101" s="67">
        <v>44</v>
      </c>
      <c r="AV101" s="67">
        <v>45</v>
      </c>
      <c r="AW101" s="67">
        <v>46</v>
      </c>
      <c r="AX101" s="67">
        <v>47</v>
      </c>
      <c r="AY101" s="67">
        <v>48</v>
      </c>
      <c r="AZ101" s="67">
        <v>49</v>
      </c>
      <c r="BA101" s="67">
        <v>50</v>
      </c>
      <c r="BB101" s="67">
        <v>51</v>
      </c>
      <c r="BC101" s="67">
        <v>52</v>
      </c>
      <c r="BD101" s="67">
        <v>53</v>
      </c>
      <c r="BE101" s="67">
        <v>54</v>
      </c>
      <c r="BF101" s="67">
        <v>55</v>
      </c>
      <c r="BG101" s="67">
        <v>56</v>
      </c>
      <c r="BH101" s="67">
        <v>57</v>
      </c>
      <c r="BI101" s="67">
        <v>58</v>
      </c>
      <c r="BJ101" s="67">
        <v>59</v>
      </c>
      <c r="BK101" s="67">
        <v>60</v>
      </c>
      <c r="BL101" s="67">
        <v>61</v>
      </c>
      <c r="BM101" s="67">
        <v>62</v>
      </c>
      <c r="BN101" s="67">
        <v>63</v>
      </c>
      <c r="BO101" s="67">
        <v>64</v>
      </c>
      <c r="BP101" s="67">
        <v>65</v>
      </c>
      <c r="BQ101" s="67">
        <v>66</v>
      </c>
      <c r="BR101" s="67">
        <v>67</v>
      </c>
      <c r="BS101" s="67">
        <v>68</v>
      </c>
      <c r="BT101" s="67">
        <v>69</v>
      </c>
      <c r="BU101" s="67">
        <v>70</v>
      </c>
      <c r="BV101" s="67">
        <v>71</v>
      </c>
      <c r="BW101" s="67">
        <v>72</v>
      </c>
      <c r="BX101" s="67">
        <v>73</v>
      </c>
      <c r="BY101" s="67">
        <v>74</v>
      </c>
      <c r="BZ101" s="67">
        <v>75</v>
      </c>
      <c r="CA101" s="67">
        <v>76</v>
      </c>
      <c r="CB101" s="67">
        <v>77</v>
      </c>
      <c r="CC101" s="67">
        <v>78</v>
      </c>
      <c r="CD101" s="67">
        <v>79</v>
      </c>
      <c r="CE101" s="67">
        <v>80</v>
      </c>
      <c r="CF101" s="67">
        <v>81</v>
      </c>
      <c r="CG101" s="67">
        <v>82</v>
      </c>
      <c r="CH101" s="67">
        <v>83</v>
      </c>
      <c r="CI101" s="67">
        <v>84</v>
      </c>
      <c r="CJ101" s="67">
        <v>85</v>
      </c>
      <c r="CK101" s="67">
        <v>86</v>
      </c>
      <c r="CL101" s="67">
        <v>87</v>
      </c>
      <c r="CM101" s="67">
        <v>88</v>
      </c>
      <c r="CN101" s="67">
        <v>89</v>
      </c>
      <c r="CO101" s="67">
        <v>90</v>
      </c>
    </row>
    <row r="102" spans="1:94" ht="18" x14ac:dyDescent="0.4">
      <c r="A102" s="49"/>
      <c r="B102" s="62" t="s">
        <v>58</v>
      </c>
      <c r="C102" s="65">
        <f>C97/$C$7*100</f>
        <v>100</v>
      </c>
      <c r="D102" s="65">
        <f t="shared" ref="D102:BO103" si="37">D97/$C$7*100</f>
        <v>99.703069233997383</v>
      </c>
      <c r="E102" s="65">
        <f t="shared" si="37"/>
        <v>101.66515870691101</v>
      </c>
      <c r="F102" s="65">
        <f t="shared" si="37"/>
        <v>102.13699887545518</v>
      </c>
      <c r="G102" s="65">
        <f t="shared" si="37"/>
        <v>101.73808332070433</v>
      </c>
      <c r="H102" s="65">
        <f t="shared" si="37"/>
        <v>102.45621930688986</v>
      </c>
      <c r="I102" s="65">
        <f t="shared" si="37"/>
        <v>102.12405628646415</v>
      </c>
      <c r="J102" s="65">
        <f t="shared" si="37"/>
        <v>102.52140251973726</v>
      </c>
      <c r="K102" s="65">
        <f t="shared" si="37"/>
        <v>103.85814976515944</v>
      </c>
      <c r="L102" s="65">
        <f t="shared" si="37"/>
        <v>104.23839045348669</v>
      </c>
      <c r="M102" s="65">
        <f t="shared" si="37"/>
        <v>104.58142727390492</v>
      </c>
      <c r="N102" s="65">
        <f t="shared" si="37"/>
        <v>104.24248475325726</v>
      </c>
      <c r="O102" s="65">
        <f t="shared" si="37"/>
        <v>105.22481100867218</v>
      </c>
      <c r="P102" s="65">
        <f t="shared" si="37"/>
        <v>101.92861931324902</v>
      </c>
      <c r="Q102" s="65">
        <f t="shared" si="37"/>
        <v>100.41400602643901</v>
      </c>
      <c r="R102" s="65">
        <f t="shared" si="37"/>
        <v>101.09093895697721</v>
      </c>
      <c r="S102" s="65">
        <f t="shared" si="37"/>
        <v>101.51155639558107</v>
      </c>
      <c r="T102" s="65">
        <f t="shared" si="37"/>
        <v>101.76700560566726</v>
      </c>
      <c r="U102" s="65">
        <f t="shared" si="37"/>
        <v>100.07279627903746</v>
      </c>
      <c r="V102" s="65">
        <f t="shared" si="37"/>
        <v>101.34679838205143</v>
      </c>
      <c r="W102" s="65">
        <f t="shared" si="37"/>
        <v>102.69992276331006</v>
      </c>
      <c r="X102" s="65">
        <f t="shared" si="37"/>
        <v>104.00633805753688</v>
      </c>
      <c r="Y102" s="65">
        <f t="shared" si="37"/>
        <v>105.28297629116766</v>
      </c>
      <c r="Z102" s="65">
        <f t="shared" si="37"/>
        <v>104.61328424626851</v>
      </c>
      <c r="AA102" s="65">
        <f t="shared" si="37"/>
        <v>103.74047529804852</v>
      </c>
      <c r="AB102" s="65">
        <f t="shared" si="37"/>
        <v>103.35349664059108</v>
      </c>
      <c r="AC102" s="65">
        <f t="shared" si="37"/>
        <v>104.52049660973759</v>
      </c>
      <c r="AD102" s="65">
        <f t="shared" si="37"/>
        <v>103.53851195574126</v>
      </c>
      <c r="AE102" s="65">
        <f t="shared" si="37"/>
        <v>104.63964087771383</v>
      </c>
      <c r="AF102" s="65">
        <f t="shared" si="37"/>
        <v>102.85539557923968</v>
      </c>
      <c r="AG102" s="65">
        <f t="shared" si="37"/>
        <v>103.27385271788319</v>
      </c>
      <c r="AH102" s="65">
        <f t="shared" si="37"/>
        <v>102.46902555282895</v>
      </c>
      <c r="AI102" s="65">
        <f t="shared" si="37"/>
        <v>101.45968366625893</v>
      </c>
      <c r="AJ102" s="65">
        <f t="shared" si="37"/>
        <v>98.052151558783848</v>
      </c>
      <c r="AK102" s="65">
        <f t="shared" si="37"/>
        <v>95.112394376530958</v>
      </c>
      <c r="AL102" s="65">
        <f t="shared" si="37"/>
        <v>95.102324142079183</v>
      </c>
      <c r="AM102" s="65">
        <f t="shared" si="37"/>
        <v>90.916154334060195</v>
      </c>
      <c r="AN102" s="65">
        <f t="shared" si="37"/>
        <v>90.68072435992552</v>
      </c>
      <c r="AO102" s="65">
        <f t="shared" si="37"/>
        <v>94.117500798265709</v>
      </c>
      <c r="AP102" s="65">
        <f t="shared" si="37"/>
        <v>92.95964382587853</v>
      </c>
      <c r="AQ102" s="65">
        <f t="shared" si="37"/>
        <v>97.003605637665501</v>
      </c>
      <c r="AR102" s="65">
        <f t="shared" si="37"/>
        <v>93.654984232422095</v>
      </c>
      <c r="AS102" s="65">
        <f t="shared" si="37"/>
        <v>92.498609212461545</v>
      </c>
      <c r="AT102" s="65">
        <f t="shared" si="37"/>
        <v>84.380593815865197</v>
      </c>
      <c r="AU102" s="65">
        <f t="shared" si="37"/>
        <v>90.178102170217954</v>
      </c>
      <c r="AV102" s="65">
        <f t="shared" si="37"/>
        <v>85.901984885297651</v>
      </c>
      <c r="AW102" s="65">
        <f t="shared" si="37"/>
        <v>77.043414218109149</v>
      </c>
      <c r="AX102" s="65">
        <f t="shared" si="37"/>
        <v>83.386774287948256</v>
      </c>
      <c r="AY102" s="65">
        <f t="shared" si="37"/>
        <v>72.887130888418042</v>
      </c>
      <c r="AZ102" s="65">
        <f t="shared" si="37"/>
        <v>77.199664158572716</v>
      </c>
      <c r="BA102" s="65">
        <f t="shared" si="37"/>
        <v>72.701743730206502</v>
      </c>
      <c r="BB102" s="65">
        <f t="shared" si="37"/>
        <v>74.419696304666715</v>
      </c>
      <c r="BC102" s="65">
        <f t="shared" si="37"/>
        <v>69.881049201060677</v>
      </c>
      <c r="BD102" s="65">
        <f t="shared" si="37"/>
        <v>68.118694938783008</v>
      </c>
      <c r="BE102" s="65">
        <f t="shared" si="37"/>
        <v>74.737790301844655</v>
      </c>
      <c r="BF102" s="65">
        <f t="shared" si="37"/>
        <v>75.381110440918604</v>
      </c>
      <c r="BG102" s="65">
        <f t="shared" si="37"/>
        <v>79.215152355121958</v>
      </c>
      <c r="BH102" s="65">
        <f t="shared" si="37"/>
        <v>77.089050936384837</v>
      </c>
      <c r="BI102" s="65">
        <f t="shared" si="37"/>
        <v>78.973709975604763</v>
      </c>
      <c r="BJ102" s="65">
        <f t="shared" si="37"/>
        <v>77.913922990462808</v>
      </c>
      <c r="BK102" s="65">
        <f t="shared" si="37"/>
        <v>74.383044693033455</v>
      </c>
      <c r="BL102" s="65">
        <f t="shared" si="37"/>
        <v>75.14179766915656</v>
      </c>
      <c r="BM102" s="65">
        <f t="shared" si="37"/>
        <v>74.573391420075282</v>
      </c>
      <c r="BN102" s="65">
        <f t="shared" si="37"/>
        <v>80.531117024935099</v>
      </c>
      <c r="BO102" s="65">
        <f t="shared" si="37"/>
        <v>80.053555196326855</v>
      </c>
      <c r="BP102" s="65">
        <f t="shared" ref="BP102:CO103" si="38">BP97/$C$7*100</f>
        <v>82.902125494559485</v>
      </c>
      <c r="BQ102" s="65">
        <f t="shared" si="38"/>
        <v>82.993548195100246</v>
      </c>
      <c r="BR102" s="65">
        <f t="shared" si="38"/>
        <v>82.256279600692778</v>
      </c>
      <c r="BS102" s="65">
        <f t="shared" si="38"/>
        <v>85.503928517512634</v>
      </c>
      <c r="BT102" s="65">
        <f t="shared" si="38"/>
        <v>83.21458735730566</v>
      </c>
      <c r="BU102" s="65">
        <f t="shared" si="38"/>
        <v>83.848620026942598</v>
      </c>
      <c r="BV102" s="65">
        <f t="shared" si="38"/>
        <v>85.665921874907639</v>
      </c>
      <c r="BW102" s="65">
        <f t="shared" si="38"/>
        <v>84.115716996594614</v>
      </c>
      <c r="BX102" s="65">
        <f t="shared" si="38"/>
        <v>81.485387690105142</v>
      </c>
      <c r="BY102" s="65">
        <f t="shared" si="38"/>
        <v>83.792214889421359</v>
      </c>
      <c r="BZ102" s="65">
        <f t="shared" si="38"/>
        <v>83.364968395535925</v>
      </c>
      <c r="CA102" s="65">
        <f t="shared" si="38"/>
        <v>85.047687202125616</v>
      </c>
      <c r="CB102" s="65">
        <f t="shared" si="38"/>
        <v>86.350295577853558</v>
      </c>
      <c r="CC102" s="65">
        <f t="shared" si="38"/>
        <v>84.187699374733299</v>
      </c>
      <c r="CD102" s="65">
        <f t="shared" si="38"/>
        <v>87.218369520908965</v>
      </c>
      <c r="CE102" s="65">
        <f t="shared" si="38"/>
        <v>87.872727473874363</v>
      </c>
      <c r="CF102" s="65">
        <f t="shared" si="38"/>
        <v>85.811789017222651</v>
      </c>
      <c r="CG102" s="65">
        <f t="shared" si="38"/>
        <v>85.272360518318081</v>
      </c>
      <c r="CH102" s="65">
        <f t="shared" si="38"/>
        <v>86.711790455744648</v>
      </c>
      <c r="CI102" s="65">
        <f t="shared" si="38"/>
        <v>85.984513211499632</v>
      </c>
      <c r="CJ102" s="65">
        <f t="shared" si="38"/>
        <v>86.841012621548046</v>
      </c>
      <c r="CK102" s="65">
        <f t="shared" si="38"/>
        <v>88.340962881550297</v>
      </c>
      <c r="CL102" s="65">
        <f t="shared" si="38"/>
        <v>88.396735323725096</v>
      </c>
      <c r="CM102" s="65">
        <f t="shared" si="38"/>
        <v>86.047832062394036</v>
      </c>
      <c r="CN102" s="65">
        <f t="shared" si="38"/>
        <v>85.895821076758978</v>
      </c>
      <c r="CO102" s="65">
        <f t="shared" si="38"/>
        <v>86.10707603316331</v>
      </c>
    </row>
    <row r="103" spans="1:94" ht="18" x14ac:dyDescent="0.4">
      <c r="A103" s="49"/>
      <c r="B103" s="62" t="s">
        <v>59</v>
      </c>
      <c r="C103" s="65">
        <f>C98/$C$7*100</f>
        <v>100</v>
      </c>
      <c r="D103" s="65">
        <f t="shared" si="37"/>
        <v>99.63781992969858</v>
      </c>
      <c r="E103" s="65">
        <f t="shared" si="37"/>
        <v>100.48759588313789</v>
      </c>
      <c r="F103" s="65">
        <f t="shared" si="37"/>
        <v>100.78645839361431</v>
      </c>
      <c r="G103" s="65">
        <f t="shared" si="37"/>
        <v>100.52251669189836</v>
      </c>
      <c r="H103" s="65">
        <f t="shared" si="37"/>
        <v>101.13697473474103</v>
      </c>
      <c r="I103" s="65">
        <f t="shared" si="37"/>
        <v>101.59408790227673</v>
      </c>
      <c r="J103" s="65">
        <f t="shared" si="37"/>
        <v>101.29503118147747</v>
      </c>
      <c r="K103" s="65">
        <f t="shared" si="37"/>
        <v>102.09707307773135</v>
      </c>
      <c r="L103" s="65">
        <f t="shared" si="37"/>
        <v>102.58149251658449</v>
      </c>
      <c r="M103" s="65">
        <f t="shared" si="37"/>
        <v>102.65926535223248</v>
      </c>
      <c r="N103" s="65">
        <f t="shared" si="37"/>
        <v>102.69386967274589</v>
      </c>
      <c r="O103" s="65">
        <f t="shared" si="37"/>
        <v>102.94149784717061</v>
      </c>
      <c r="P103" s="65">
        <f t="shared" si="37"/>
        <v>101.67339901702783</v>
      </c>
      <c r="Q103" s="65">
        <f t="shared" si="37"/>
        <v>99.585697667531335</v>
      </c>
      <c r="R103" s="65">
        <f t="shared" si="37"/>
        <v>101.30554117551401</v>
      </c>
      <c r="S103" s="65">
        <f t="shared" si="37"/>
        <v>101.19157254386484</v>
      </c>
      <c r="T103" s="65">
        <f t="shared" si="37"/>
        <v>100.79706363941901</v>
      </c>
      <c r="U103" s="65">
        <f t="shared" si="37"/>
        <v>99.045393177997624</v>
      </c>
      <c r="V103" s="65">
        <f t="shared" si="37"/>
        <v>100.30810198861798</v>
      </c>
      <c r="W103" s="65">
        <f t="shared" si="37"/>
        <v>101.49606549450351</v>
      </c>
      <c r="X103" s="65">
        <f t="shared" si="37"/>
        <v>102.33730123085031</v>
      </c>
      <c r="Y103" s="65">
        <f t="shared" si="37"/>
        <v>103.26419059995247</v>
      </c>
      <c r="Z103" s="65">
        <f t="shared" si="37"/>
        <v>103.03710841560336</v>
      </c>
      <c r="AA103" s="65">
        <f t="shared" si="37"/>
        <v>103.36071096068933</v>
      </c>
      <c r="AB103" s="65">
        <f t="shared" si="37"/>
        <v>103.31624668235047</v>
      </c>
      <c r="AC103" s="65">
        <f t="shared" si="37"/>
        <v>104.56421987765331</v>
      </c>
      <c r="AD103" s="65">
        <f t="shared" si="37"/>
        <v>103.53245075412588</v>
      </c>
      <c r="AE103" s="65">
        <f t="shared" si="37"/>
        <v>104.54534498935139</v>
      </c>
      <c r="AF103" s="65">
        <f t="shared" si="37"/>
        <v>103.82647140992162</v>
      </c>
      <c r="AG103" s="65">
        <f t="shared" si="37"/>
        <v>104.51810899972213</v>
      </c>
      <c r="AH103" s="65">
        <f t="shared" si="37"/>
        <v>104.3786326247171</v>
      </c>
      <c r="AI103" s="65">
        <f t="shared" si="37"/>
        <v>103.04261379118522</v>
      </c>
      <c r="AJ103" s="65">
        <f t="shared" si="37"/>
        <v>99.285363508255415</v>
      </c>
      <c r="AK103" s="65">
        <f t="shared" si="37"/>
        <v>96.634112581643578</v>
      </c>
      <c r="AL103" s="65">
        <f t="shared" si="37"/>
        <v>95.94373806933524</v>
      </c>
      <c r="AM103" s="65">
        <f t="shared" si="37"/>
        <v>91.700086574986443</v>
      </c>
      <c r="AN103" s="65">
        <f t="shared" si="37"/>
        <v>91.622448919942343</v>
      </c>
      <c r="AO103" s="65">
        <f t="shared" si="37"/>
        <v>94.963306166614913</v>
      </c>
      <c r="AP103" s="65">
        <f t="shared" si="37"/>
        <v>93.102222097411115</v>
      </c>
      <c r="AQ103" s="65">
        <f t="shared" si="37"/>
        <v>96.827376159399819</v>
      </c>
      <c r="AR103" s="65">
        <f t="shared" si="37"/>
        <v>93.25221651987286</v>
      </c>
      <c r="AS103" s="65">
        <f t="shared" si="37"/>
        <v>92.046114338101646</v>
      </c>
      <c r="AT103" s="65">
        <f t="shared" si="37"/>
        <v>84.31649568483526</v>
      </c>
      <c r="AU103" s="65">
        <f t="shared" si="37"/>
        <v>89.372529140262429</v>
      </c>
      <c r="AV103" s="65">
        <f t="shared" si="37"/>
        <v>84.846881168009375</v>
      </c>
      <c r="AW103" s="65">
        <f t="shared" si="37"/>
        <v>76.991515833671812</v>
      </c>
      <c r="AX103" s="65">
        <f t="shared" si="37"/>
        <v>83.315887861550152</v>
      </c>
      <c r="AY103" s="65">
        <f t="shared" si="37"/>
        <v>73.704058679870954</v>
      </c>
      <c r="AZ103" s="65">
        <f t="shared" si="37"/>
        <v>78.497059761739862</v>
      </c>
      <c r="BA103" s="65">
        <f t="shared" si="37"/>
        <v>74.156835599706312</v>
      </c>
      <c r="BB103" s="65">
        <f t="shared" si="37"/>
        <v>75.002841350844179</v>
      </c>
      <c r="BC103" s="65">
        <f t="shared" si="37"/>
        <v>71.244271481321249</v>
      </c>
      <c r="BD103" s="65">
        <f t="shared" si="37"/>
        <v>69.670326196970095</v>
      </c>
      <c r="BE103" s="65">
        <f t="shared" si="37"/>
        <v>76.270378140733968</v>
      </c>
      <c r="BF103" s="65">
        <f t="shared" si="37"/>
        <v>77.071356043057165</v>
      </c>
      <c r="BG103" s="65">
        <f t="shared" si="37"/>
        <v>81.654577215613955</v>
      </c>
      <c r="BH103" s="65">
        <f t="shared" si="37"/>
        <v>79.209804662953076</v>
      </c>
      <c r="BI103" s="65">
        <f t="shared" si="37"/>
        <v>81.651525122789081</v>
      </c>
      <c r="BJ103" s="65">
        <f t="shared" si="37"/>
        <v>80.134820582880792</v>
      </c>
      <c r="BK103" s="65">
        <f t="shared" si="37"/>
        <v>77.022697473025133</v>
      </c>
      <c r="BL103" s="65">
        <f t="shared" si="37"/>
        <v>78.515080873393444</v>
      </c>
      <c r="BM103" s="65">
        <f t="shared" si="37"/>
        <v>78.111897521873871</v>
      </c>
      <c r="BN103" s="65">
        <f t="shared" si="37"/>
        <v>83.052101688058741</v>
      </c>
      <c r="BO103" s="65">
        <f t="shared" si="37"/>
        <v>82.470993394543854</v>
      </c>
      <c r="BP103" s="65">
        <f t="shared" si="38"/>
        <v>85.745908375085293</v>
      </c>
      <c r="BQ103" s="65">
        <f t="shared" si="38"/>
        <v>86.263641742506707</v>
      </c>
      <c r="BR103" s="65">
        <f t="shared" si="38"/>
        <v>85.614781359356812</v>
      </c>
      <c r="BS103" s="65">
        <f t="shared" si="38"/>
        <v>88.543870527697024</v>
      </c>
      <c r="BT103" s="65">
        <f t="shared" si="38"/>
        <v>86.020456322779779</v>
      </c>
      <c r="BU103" s="65">
        <f t="shared" si="38"/>
        <v>87.126801690065335</v>
      </c>
      <c r="BV103" s="65">
        <f t="shared" si="38"/>
        <v>88.863592626673636</v>
      </c>
      <c r="BW103" s="65">
        <f t="shared" si="38"/>
        <v>87.670488313842696</v>
      </c>
      <c r="BX103" s="65">
        <f t="shared" si="38"/>
        <v>84.821459341096229</v>
      </c>
      <c r="BY103" s="65">
        <f t="shared" si="38"/>
        <v>87.247377635265693</v>
      </c>
      <c r="BZ103" s="65">
        <f t="shared" si="38"/>
        <v>87.138797825025378</v>
      </c>
      <c r="CA103" s="65">
        <f t="shared" si="38"/>
        <v>88.364879796950945</v>
      </c>
      <c r="CB103" s="65">
        <f t="shared" si="38"/>
        <v>89.778891570700949</v>
      </c>
      <c r="CC103" s="65">
        <f t="shared" si="38"/>
        <v>88.710141248111768</v>
      </c>
      <c r="CD103" s="65">
        <f t="shared" si="38"/>
        <v>91.17675035143057</v>
      </c>
      <c r="CE103" s="65">
        <f t="shared" si="38"/>
        <v>90.568689252047932</v>
      </c>
      <c r="CF103" s="65">
        <f t="shared" si="38"/>
        <v>88.089625800118384</v>
      </c>
      <c r="CG103" s="65">
        <f t="shared" si="38"/>
        <v>87.91487020794429</v>
      </c>
      <c r="CH103" s="65">
        <f t="shared" si="38"/>
        <v>89.473381172268219</v>
      </c>
      <c r="CI103" s="65">
        <f t="shared" si="38"/>
        <v>88.704031815790088</v>
      </c>
      <c r="CJ103" s="65">
        <f t="shared" si="38"/>
        <v>89.380345276264663</v>
      </c>
      <c r="CK103" s="65">
        <f t="shared" si="38"/>
        <v>90.562012603081541</v>
      </c>
      <c r="CL103" s="65">
        <f t="shared" si="38"/>
        <v>90.360909317377008</v>
      </c>
      <c r="CM103" s="65">
        <f t="shared" si="38"/>
        <v>88.614446913761142</v>
      </c>
      <c r="CN103" s="65">
        <f t="shared" si="38"/>
        <v>87.852657822622731</v>
      </c>
      <c r="CO103" s="65">
        <f t="shared" si="38"/>
        <v>88.014215578907454</v>
      </c>
    </row>
    <row r="104" spans="1:94" x14ac:dyDescent="0.35">
      <c r="A104" s="49"/>
      <c r="B104" s="50"/>
      <c r="C104" s="49"/>
      <c r="D104" s="49"/>
      <c r="E104" s="49"/>
      <c r="F104" s="49"/>
      <c r="G104" s="49"/>
      <c r="H104" s="49"/>
      <c r="I104" s="49"/>
      <c r="J104" s="49"/>
      <c r="K104" s="49"/>
      <c r="L104" s="49"/>
      <c r="M104" s="49"/>
      <c r="N104" s="49"/>
      <c r="O104" s="49"/>
      <c r="P104" s="49"/>
      <c r="Q104" s="49"/>
      <c r="R104" s="49"/>
      <c r="S104" s="49"/>
      <c r="T104" s="49"/>
      <c r="U104" s="49"/>
      <c r="V104" s="49"/>
      <c r="W104" s="49"/>
      <c r="X104" s="49"/>
      <c r="Y104" s="49"/>
      <c r="Z104" s="49"/>
      <c r="AA104" s="49"/>
      <c r="AB104" s="49"/>
      <c r="AC104" s="49"/>
      <c r="AD104" s="49"/>
      <c r="AE104" s="49"/>
      <c r="AF104" s="49"/>
      <c r="AG104" s="49"/>
      <c r="AH104" s="49"/>
      <c r="AI104" s="49"/>
      <c r="AJ104" s="49"/>
      <c r="AK104" s="49"/>
      <c r="AL104" s="49"/>
      <c r="AM104" s="49"/>
      <c r="AN104" s="49"/>
      <c r="AO104" s="49"/>
      <c r="AP104" s="49"/>
      <c r="AQ104" s="49"/>
      <c r="AR104" s="49"/>
      <c r="AS104" s="49"/>
      <c r="AT104" s="49"/>
      <c r="AU104" s="49"/>
      <c r="AV104" s="49"/>
      <c r="AW104" s="49"/>
      <c r="AX104" s="49"/>
      <c r="AY104" s="49"/>
      <c r="AZ104" s="49"/>
      <c r="BA104" s="49"/>
      <c r="BB104" s="49"/>
      <c r="BC104" s="49"/>
      <c r="BD104" s="49"/>
      <c r="BE104" s="49"/>
      <c r="BF104" s="49"/>
      <c r="BG104" s="49"/>
      <c r="BH104" s="49"/>
      <c r="BI104" s="49"/>
      <c r="BJ104" s="49"/>
      <c r="BK104" s="49"/>
      <c r="BL104" s="49"/>
      <c r="BM104" s="49"/>
      <c r="BN104" s="49"/>
      <c r="BO104" s="49"/>
      <c r="BP104" s="49"/>
      <c r="BQ104" s="49"/>
      <c r="BR104" s="49"/>
      <c r="BS104" s="49"/>
      <c r="BT104" s="49"/>
      <c r="BU104" s="49"/>
      <c r="BV104" s="49"/>
      <c r="BW104" s="49"/>
      <c r="BX104" s="49"/>
      <c r="BY104" s="49"/>
      <c r="BZ104" s="49"/>
      <c r="CA104" s="49"/>
      <c r="CB104" s="49"/>
      <c r="CC104" s="49"/>
      <c r="CD104" s="49"/>
      <c r="CE104" s="49"/>
      <c r="CF104" s="49"/>
      <c r="CG104" s="49"/>
      <c r="CH104" s="49"/>
      <c r="CI104" s="49"/>
      <c r="CJ104" s="49"/>
      <c r="CK104" s="49"/>
      <c r="CL104" s="49"/>
      <c r="CM104" s="49"/>
      <c r="CN104" s="49"/>
      <c r="CO104" s="49"/>
    </row>
    <row r="105" spans="1:94" x14ac:dyDescent="0.35">
      <c r="A105" s="49"/>
      <c r="B105" s="49"/>
      <c r="C105" s="49"/>
      <c r="D105" s="49"/>
      <c r="E105" s="49"/>
      <c r="F105" s="49"/>
      <c r="G105" s="49"/>
      <c r="H105" s="49"/>
      <c r="I105" s="49"/>
      <c r="J105" s="49"/>
      <c r="K105" s="49"/>
      <c r="L105" s="49"/>
      <c r="M105" s="49"/>
      <c r="N105" s="49"/>
      <c r="O105" s="49"/>
      <c r="P105" s="49"/>
      <c r="Q105" s="49"/>
      <c r="R105" s="49"/>
      <c r="S105" s="49"/>
      <c r="T105" s="49"/>
      <c r="U105" s="49"/>
      <c r="V105" s="49"/>
      <c r="W105" s="49"/>
      <c r="X105" s="49"/>
      <c r="Y105" s="49"/>
      <c r="Z105" s="49"/>
      <c r="AA105" s="49"/>
      <c r="AB105" s="49"/>
      <c r="AC105" s="49"/>
      <c r="AD105" s="49"/>
      <c r="AE105" s="49"/>
      <c r="AF105" s="49"/>
      <c r="AG105" s="49"/>
      <c r="AH105" s="49"/>
      <c r="AI105" s="49"/>
      <c r="AJ105" s="49"/>
      <c r="AK105" s="49"/>
      <c r="AL105" s="49"/>
      <c r="AM105" s="49"/>
      <c r="AN105" s="49"/>
      <c r="AO105" s="49"/>
      <c r="AP105" s="49"/>
      <c r="AQ105" s="49"/>
      <c r="AR105" s="49"/>
      <c r="AS105" s="49"/>
      <c r="AT105" s="49"/>
      <c r="AU105" s="49"/>
      <c r="AV105" s="49"/>
      <c r="AW105" s="49"/>
      <c r="AX105" s="49"/>
      <c r="AY105" s="49"/>
      <c r="AZ105" s="49"/>
      <c r="BA105" s="49"/>
      <c r="BB105" s="49"/>
      <c r="BC105" s="49"/>
      <c r="BD105" s="49"/>
      <c r="BE105" s="49"/>
      <c r="BF105" s="49"/>
      <c r="BG105" s="49"/>
      <c r="BH105" s="49"/>
      <c r="BI105" s="49"/>
      <c r="BJ105" s="49"/>
      <c r="BK105" s="49"/>
      <c r="BL105" s="49"/>
      <c r="BM105" s="49"/>
      <c r="BN105" s="49"/>
      <c r="BO105" s="49"/>
      <c r="BP105" s="49"/>
      <c r="BQ105" s="49"/>
      <c r="BR105" s="49"/>
      <c r="BS105" s="49"/>
      <c r="BT105" s="49"/>
      <c r="BU105" s="49"/>
      <c r="BV105" s="49"/>
      <c r="BW105" s="49"/>
      <c r="BX105" s="49"/>
      <c r="BY105" s="49"/>
      <c r="BZ105" s="49"/>
      <c r="CA105" s="49"/>
      <c r="CB105" s="49"/>
      <c r="CC105" s="49"/>
      <c r="CD105" s="49"/>
      <c r="CE105" s="49"/>
      <c r="CF105" s="49"/>
      <c r="CG105" s="49"/>
      <c r="CH105" s="49"/>
      <c r="CI105" s="49"/>
      <c r="CJ105" s="49"/>
      <c r="CK105" s="49"/>
      <c r="CL105" s="49"/>
      <c r="CM105" s="49"/>
      <c r="CN105" s="49"/>
      <c r="CO105" s="49"/>
    </row>
    <row r="106" spans="1:94" x14ac:dyDescent="0.35">
      <c r="A106" s="49"/>
      <c r="B106" s="49"/>
      <c r="C106" s="49"/>
      <c r="D106" s="49"/>
      <c r="E106" s="49"/>
      <c r="F106" s="49"/>
      <c r="G106" s="49"/>
      <c r="H106" s="49"/>
      <c r="I106" s="49"/>
      <c r="J106" s="49"/>
      <c r="K106" s="49"/>
      <c r="L106" s="49"/>
      <c r="M106" s="49"/>
      <c r="N106" s="49"/>
      <c r="O106" s="49"/>
      <c r="P106" s="49"/>
      <c r="Q106" s="49"/>
      <c r="R106" s="49"/>
      <c r="S106" s="49"/>
      <c r="T106" s="49"/>
      <c r="U106" s="49"/>
      <c r="V106" s="49"/>
      <c r="W106" s="49"/>
      <c r="X106" s="49"/>
      <c r="Y106" s="49"/>
      <c r="Z106" s="49"/>
      <c r="AA106" s="49"/>
      <c r="AB106" s="49"/>
      <c r="AC106" s="49"/>
      <c r="AD106" s="49"/>
      <c r="AE106" s="49"/>
      <c r="AF106" s="49"/>
      <c r="AG106" s="49"/>
      <c r="AH106" s="49"/>
      <c r="AI106" s="49"/>
      <c r="AJ106" s="49"/>
      <c r="AK106" s="49"/>
      <c r="AL106" s="49"/>
      <c r="AM106" s="49"/>
      <c r="AN106" s="49"/>
      <c r="AO106" s="49"/>
      <c r="AP106" s="49"/>
      <c r="AQ106" s="49"/>
      <c r="AR106" s="49"/>
      <c r="AS106" s="49"/>
      <c r="AT106" s="49"/>
      <c r="AU106" s="49"/>
      <c r="AV106" s="49"/>
      <c r="AW106" s="49"/>
      <c r="AX106" s="49"/>
      <c r="AY106" s="49"/>
      <c r="AZ106" s="49"/>
      <c r="BA106" s="49"/>
      <c r="BB106" s="49"/>
      <c r="BC106" s="49"/>
      <c r="BD106" s="49"/>
      <c r="BE106" s="49"/>
      <c r="BF106" s="49"/>
      <c r="BG106" s="49"/>
      <c r="BH106" s="49"/>
      <c r="BI106" s="49"/>
      <c r="BJ106" s="49"/>
      <c r="BK106" s="49"/>
      <c r="BL106" s="49"/>
      <c r="BM106" s="49"/>
      <c r="BN106" s="49"/>
      <c r="BO106" s="49"/>
      <c r="BP106" s="49"/>
      <c r="BQ106" s="49"/>
      <c r="BR106" s="49"/>
      <c r="BS106" s="49"/>
      <c r="BT106" s="49"/>
      <c r="BU106" s="49"/>
      <c r="BV106" s="49"/>
      <c r="BW106" s="49"/>
      <c r="BX106" s="49"/>
      <c r="BY106" s="49"/>
      <c r="BZ106" s="49"/>
      <c r="CA106" s="49"/>
      <c r="CB106" s="49"/>
      <c r="CC106" s="49"/>
      <c r="CD106" s="49"/>
      <c r="CE106" s="49"/>
      <c r="CF106" s="49"/>
      <c r="CG106" s="49"/>
      <c r="CH106" s="49"/>
      <c r="CI106" s="49"/>
      <c r="CJ106" s="49"/>
      <c r="CK106" s="49"/>
      <c r="CL106" s="49"/>
      <c r="CM106" s="49"/>
      <c r="CN106" s="49"/>
      <c r="CO106" s="49"/>
    </row>
    <row r="107" spans="1:94" x14ac:dyDescent="0.35">
      <c r="A107" s="49"/>
      <c r="B107" s="49"/>
      <c r="C107" s="49"/>
      <c r="D107" s="49"/>
      <c r="E107" s="49"/>
      <c r="F107" s="49"/>
      <c r="G107" s="49"/>
      <c r="H107" s="49"/>
      <c r="I107" s="49"/>
      <c r="J107" s="49"/>
      <c r="K107" s="49"/>
      <c r="L107" s="49"/>
      <c r="M107" s="49"/>
      <c r="N107" s="49"/>
      <c r="O107" s="49"/>
      <c r="P107" s="49"/>
      <c r="Q107" s="49"/>
      <c r="R107" s="49"/>
      <c r="S107" s="49"/>
      <c r="T107" s="49"/>
      <c r="U107" s="49"/>
      <c r="V107" s="49"/>
      <c r="W107" s="49"/>
      <c r="X107" s="49"/>
      <c r="Y107" s="49"/>
      <c r="Z107" s="49"/>
      <c r="AA107" s="49"/>
      <c r="AB107" s="49"/>
      <c r="AC107" s="49"/>
      <c r="AD107" s="49"/>
      <c r="AE107" s="49"/>
      <c r="AF107" s="49"/>
      <c r="AG107" s="49"/>
      <c r="AH107" s="49"/>
      <c r="AI107" s="49"/>
      <c r="AJ107" s="49"/>
      <c r="AK107" s="49"/>
      <c r="AL107" s="49"/>
      <c r="AM107" s="49"/>
      <c r="AN107" s="49"/>
      <c r="AO107" s="49"/>
      <c r="AP107" s="49"/>
      <c r="AQ107" s="49"/>
      <c r="AR107" s="49"/>
      <c r="AS107" s="49"/>
      <c r="AT107" s="49"/>
      <c r="AU107" s="49"/>
      <c r="AV107" s="49"/>
      <c r="AW107" s="49"/>
      <c r="AX107" s="49"/>
      <c r="AY107" s="49"/>
      <c r="AZ107" s="49"/>
      <c r="BA107" s="49"/>
      <c r="BB107" s="49"/>
      <c r="BC107" s="49"/>
      <c r="BD107" s="49"/>
      <c r="BE107" s="49"/>
      <c r="BF107" s="49"/>
      <c r="BG107" s="49"/>
      <c r="BH107" s="49"/>
      <c r="BI107" s="49"/>
      <c r="BJ107" s="49"/>
      <c r="BK107" s="49"/>
      <c r="BL107" s="49"/>
      <c r="BM107" s="49"/>
      <c r="BN107" s="49"/>
      <c r="BO107" s="49"/>
      <c r="BP107" s="49"/>
      <c r="BQ107" s="49"/>
      <c r="BR107" s="49"/>
      <c r="BS107" s="49"/>
      <c r="BT107" s="49"/>
      <c r="BU107" s="49"/>
      <c r="BV107" s="49"/>
      <c r="BW107" s="49"/>
      <c r="BX107" s="49"/>
      <c r="BY107" s="49"/>
      <c r="BZ107" s="49"/>
      <c r="CA107" s="49"/>
      <c r="CB107" s="49"/>
      <c r="CC107" s="49"/>
      <c r="CD107" s="49"/>
      <c r="CE107" s="49"/>
      <c r="CF107" s="49"/>
      <c r="CG107" s="49"/>
      <c r="CH107" s="49"/>
      <c r="CI107" s="49"/>
      <c r="CJ107" s="49"/>
      <c r="CK107" s="49"/>
      <c r="CL107" s="49"/>
      <c r="CM107" s="49"/>
      <c r="CN107" s="49"/>
      <c r="CO107" s="49"/>
    </row>
    <row r="108" spans="1:94" x14ac:dyDescent="0.35">
      <c r="A108" s="49"/>
      <c r="B108" s="49"/>
      <c r="C108" s="49"/>
      <c r="D108" s="49"/>
      <c r="E108" s="49"/>
      <c r="F108" s="49"/>
      <c r="G108" s="49"/>
      <c r="H108" s="49"/>
      <c r="I108" s="49"/>
      <c r="J108" s="49"/>
      <c r="K108" s="49"/>
      <c r="L108" s="49"/>
      <c r="M108" s="49"/>
      <c r="N108" s="49"/>
      <c r="O108" s="49"/>
      <c r="P108" s="49"/>
      <c r="Q108" s="49"/>
      <c r="R108" s="49"/>
      <c r="S108" s="49"/>
      <c r="T108" s="49"/>
      <c r="U108" s="49"/>
      <c r="V108" s="49"/>
      <c r="W108" s="49"/>
      <c r="X108" s="49"/>
      <c r="Y108" s="49"/>
      <c r="Z108" s="49"/>
      <c r="AA108" s="49"/>
      <c r="AB108" s="49"/>
      <c r="AC108" s="49"/>
      <c r="AD108" s="49"/>
      <c r="AE108" s="49"/>
      <c r="AF108" s="49"/>
      <c r="AG108" s="49"/>
      <c r="AH108" s="49"/>
      <c r="AI108" s="49"/>
      <c r="AJ108" s="49"/>
      <c r="AK108" s="49"/>
      <c r="AL108" s="49"/>
      <c r="AM108" s="49"/>
      <c r="AN108" s="49"/>
      <c r="AO108" s="49"/>
      <c r="AP108" s="49"/>
      <c r="AQ108" s="49"/>
      <c r="AR108" s="49"/>
      <c r="AS108" s="49"/>
      <c r="AT108" s="49"/>
      <c r="AU108" s="49"/>
      <c r="AV108" s="49"/>
      <c r="AW108" s="49"/>
      <c r="AX108" s="49"/>
      <c r="AY108" s="49"/>
      <c r="AZ108" s="49"/>
      <c r="BA108" s="49"/>
      <c r="BB108" s="49"/>
      <c r="BC108" s="49"/>
      <c r="BD108" s="49"/>
      <c r="BE108" s="49"/>
      <c r="BF108" s="49"/>
      <c r="BG108" s="49"/>
      <c r="BH108" s="49"/>
      <c r="BI108" s="49"/>
      <c r="BJ108" s="49"/>
      <c r="BK108" s="49"/>
      <c r="BL108" s="49"/>
      <c r="BM108" s="49"/>
      <c r="BN108" s="49"/>
      <c r="BO108" s="49"/>
      <c r="BP108" s="49"/>
      <c r="BQ108" s="49"/>
      <c r="BR108" s="49"/>
      <c r="BS108" s="49"/>
      <c r="BT108" s="49"/>
      <c r="BU108" s="49"/>
      <c r="BV108" s="49"/>
      <c r="BW108" s="49"/>
      <c r="BX108" s="49"/>
      <c r="BY108" s="49"/>
      <c r="BZ108" s="49"/>
      <c r="CA108" s="49"/>
      <c r="CB108" s="49"/>
      <c r="CC108" s="49"/>
      <c r="CD108" s="49"/>
      <c r="CE108" s="49"/>
      <c r="CF108" s="49"/>
      <c r="CG108" s="49"/>
      <c r="CH108" s="49"/>
      <c r="CI108" s="49"/>
      <c r="CJ108" s="49"/>
      <c r="CK108" s="49"/>
      <c r="CL108" s="49"/>
      <c r="CM108" s="49"/>
      <c r="CN108" s="49"/>
      <c r="CO108" s="49"/>
    </row>
    <row r="109" spans="1:94" x14ac:dyDescent="0.35">
      <c r="A109" s="49"/>
      <c r="B109" s="49"/>
      <c r="C109" s="49"/>
      <c r="D109" s="49"/>
      <c r="E109" s="49"/>
      <c r="F109" s="49"/>
      <c r="G109" s="49"/>
      <c r="H109" s="49"/>
      <c r="I109" s="49"/>
      <c r="J109" s="49"/>
      <c r="K109" s="49"/>
      <c r="L109" s="49"/>
      <c r="M109" s="49"/>
      <c r="N109" s="49"/>
      <c r="O109" s="49"/>
      <c r="P109" s="49"/>
      <c r="Q109" s="49"/>
      <c r="R109" s="49"/>
      <c r="S109" s="49"/>
      <c r="T109" s="49"/>
      <c r="U109" s="49"/>
      <c r="V109" s="49"/>
      <c r="W109" s="49"/>
      <c r="X109" s="49"/>
      <c r="Y109" s="49"/>
      <c r="Z109" s="49"/>
      <c r="AA109" s="49"/>
      <c r="AB109" s="49"/>
      <c r="AC109" s="49"/>
      <c r="AD109" s="49"/>
      <c r="AE109" s="49"/>
      <c r="AF109" s="49"/>
      <c r="AG109" s="49"/>
      <c r="AH109" s="49"/>
      <c r="AI109" s="49"/>
      <c r="AJ109" s="49"/>
      <c r="AK109" s="49"/>
      <c r="AL109" s="49"/>
      <c r="AM109" s="49"/>
      <c r="AN109" s="49"/>
      <c r="AO109" s="49"/>
      <c r="AP109" s="49"/>
      <c r="AQ109" s="49"/>
      <c r="AR109" s="49"/>
      <c r="AS109" s="49"/>
      <c r="AT109" s="49"/>
      <c r="AU109" s="49"/>
      <c r="AV109" s="49"/>
      <c r="AW109" s="49"/>
      <c r="AX109" s="49"/>
      <c r="AY109" s="49"/>
      <c r="AZ109" s="49"/>
      <c r="BA109" s="49"/>
      <c r="BB109" s="49"/>
      <c r="BC109" s="49"/>
      <c r="BD109" s="49"/>
      <c r="BE109" s="49"/>
      <c r="BF109" s="49"/>
      <c r="BG109" s="49"/>
      <c r="BH109" s="49"/>
      <c r="BI109" s="49"/>
      <c r="BJ109" s="49"/>
      <c r="BK109" s="49"/>
      <c r="BL109" s="49"/>
      <c r="BM109" s="49"/>
      <c r="BN109" s="49"/>
      <c r="BO109" s="49"/>
      <c r="BP109" s="49"/>
      <c r="BQ109" s="49"/>
      <c r="BR109" s="49"/>
      <c r="BS109" s="49"/>
      <c r="BT109" s="49"/>
      <c r="BU109" s="49"/>
      <c r="BV109" s="49"/>
      <c r="BW109" s="49"/>
      <c r="BX109" s="49"/>
      <c r="BY109" s="49"/>
      <c r="BZ109" s="49"/>
      <c r="CA109" s="49"/>
      <c r="CB109" s="49"/>
      <c r="CC109" s="49"/>
      <c r="CD109" s="49"/>
      <c r="CE109" s="49"/>
      <c r="CF109" s="49"/>
      <c r="CG109" s="49"/>
      <c r="CH109" s="49"/>
      <c r="CI109" s="49"/>
      <c r="CJ109" s="49"/>
      <c r="CK109" s="49"/>
      <c r="CL109" s="49"/>
      <c r="CM109" s="49"/>
      <c r="CN109" s="49"/>
      <c r="CO109" s="49"/>
    </row>
    <row r="110" spans="1:94" x14ac:dyDescent="0.35">
      <c r="A110" s="49"/>
      <c r="B110" s="49"/>
      <c r="C110" s="49"/>
      <c r="D110" s="49"/>
      <c r="E110" s="49"/>
      <c r="F110" s="49"/>
      <c r="G110" s="49"/>
      <c r="H110" s="49"/>
      <c r="I110" s="49"/>
      <c r="J110" s="49"/>
      <c r="K110" s="49"/>
      <c r="L110" s="49"/>
      <c r="M110" s="49"/>
      <c r="N110" s="49"/>
      <c r="O110" s="49"/>
      <c r="P110" s="49"/>
      <c r="Q110" s="49"/>
      <c r="R110" s="49"/>
      <c r="S110" s="49"/>
      <c r="T110" s="49"/>
      <c r="U110" s="49"/>
      <c r="V110" s="49"/>
      <c r="W110" s="49"/>
      <c r="X110" s="49"/>
      <c r="Y110" s="49"/>
      <c r="Z110" s="49"/>
      <c r="AA110" s="49"/>
      <c r="AB110" s="49"/>
      <c r="AC110" s="49"/>
      <c r="AD110" s="49"/>
      <c r="AE110" s="49"/>
      <c r="AF110" s="49"/>
      <c r="AG110" s="49"/>
      <c r="AH110" s="49"/>
      <c r="AI110" s="49"/>
      <c r="AJ110" s="49"/>
      <c r="AK110" s="49"/>
      <c r="AL110" s="49"/>
      <c r="AM110" s="49"/>
      <c r="AN110" s="49"/>
      <c r="AO110" s="49"/>
      <c r="AP110" s="49"/>
      <c r="AQ110" s="49"/>
      <c r="AR110" s="49"/>
      <c r="AS110" s="49"/>
      <c r="AT110" s="49"/>
      <c r="AU110" s="49"/>
      <c r="AV110" s="49"/>
      <c r="AW110" s="49"/>
      <c r="AX110" s="49"/>
      <c r="AY110" s="49"/>
      <c r="AZ110" s="49"/>
      <c r="BA110" s="49"/>
      <c r="BB110" s="49"/>
      <c r="BC110" s="49"/>
      <c r="BD110" s="49"/>
      <c r="BE110" s="49"/>
      <c r="BF110" s="49"/>
      <c r="BG110" s="49"/>
      <c r="BH110" s="49"/>
      <c r="BI110" s="49"/>
      <c r="BJ110" s="49"/>
      <c r="BK110" s="49"/>
      <c r="BL110" s="49"/>
      <c r="BM110" s="49"/>
      <c r="BN110" s="49"/>
      <c r="BO110" s="49"/>
      <c r="BP110" s="49"/>
      <c r="BQ110" s="49"/>
      <c r="BR110" s="49"/>
      <c r="BS110" s="49"/>
      <c r="BT110" s="49"/>
      <c r="BU110" s="49"/>
      <c r="BV110" s="49"/>
      <c r="BW110" s="49"/>
      <c r="BX110" s="49"/>
      <c r="BY110" s="49"/>
      <c r="BZ110" s="49"/>
      <c r="CA110" s="49"/>
      <c r="CB110" s="49"/>
      <c r="CC110" s="49"/>
      <c r="CD110" s="49"/>
      <c r="CE110" s="49"/>
      <c r="CF110" s="49"/>
      <c r="CG110" s="49"/>
      <c r="CH110" s="49"/>
      <c r="CI110" s="49"/>
      <c r="CJ110" s="49"/>
      <c r="CK110" s="49"/>
      <c r="CL110" s="49"/>
      <c r="CM110" s="49"/>
      <c r="CN110" s="49"/>
      <c r="CO110" s="49"/>
    </row>
    <row r="111" spans="1:94" x14ac:dyDescent="0.35">
      <c r="A111" s="49"/>
      <c r="B111" s="49"/>
      <c r="C111" s="49"/>
      <c r="D111" s="49"/>
      <c r="E111" s="49"/>
      <c r="F111" s="49"/>
      <c r="G111" s="49"/>
      <c r="H111" s="49"/>
      <c r="I111" s="49"/>
      <c r="J111" s="49"/>
      <c r="K111" s="49"/>
      <c r="L111" s="49"/>
      <c r="M111" s="49"/>
      <c r="N111" s="49"/>
      <c r="O111" s="49"/>
      <c r="P111" s="49"/>
      <c r="Q111" s="49"/>
      <c r="R111" s="49"/>
      <c r="S111" s="49"/>
      <c r="T111" s="49"/>
      <c r="U111" s="49"/>
      <c r="V111" s="49"/>
      <c r="W111" s="49"/>
      <c r="X111" s="49"/>
      <c r="Y111" s="49"/>
      <c r="Z111" s="49"/>
      <c r="AA111" s="49"/>
      <c r="AB111" s="49"/>
      <c r="AC111" s="49"/>
      <c r="AD111" s="49"/>
      <c r="AE111" s="49"/>
      <c r="AF111" s="49"/>
      <c r="AG111" s="49"/>
      <c r="AH111" s="49"/>
      <c r="AI111" s="49"/>
      <c r="AJ111" s="49"/>
      <c r="AK111" s="49"/>
      <c r="AL111" s="49"/>
      <c r="AM111" s="49"/>
      <c r="AN111" s="49"/>
      <c r="AO111" s="49"/>
      <c r="AP111" s="49"/>
      <c r="AQ111" s="49"/>
      <c r="AR111" s="49"/>
      <c r="AS111" s="49"/>
      <c r="AT111" s="49"/>
      <c r="AU111" s="49"/>
      <c r="AV111" s="49"/>
      <c r="AW111" s="49"/>
      <c r="AX111" s="49"/>
      <c r="AY111" s="49"/>
      <c r="AZ111" s="49"/>
      <c r="BA111" s="49"/>
      <c r="BB111" s="49"/>
      <c r="BC111" s="49"/>
      <c r="BD111" s="49"/>
      <c r="BE111" s="49"/>
      <c r="BF111" s="49"/>
      <c r="BG111" s="49"/>
      <c r="BH111" s="49"/>
      <c r="BI111" s="49"/>
      <c r="BJ111" s="49"/>
      <c r="BK111" s="49"/>
      <c r="BL111" s="49"/>
      <c r="BM111" s="49"/>
      <c r="BN111" s="49"/>
      <c r="BO111" s="49"/>
      <c r="BP111" s="49"/>
      <c r="BQ111" s="49"/>
      <c r="BR111" s="49"/>
      <c r="BS111" s="49"/>
      <c r="BT111" s="49"/>
      <c r="BU111" s="49"/>
      <c r="BV111" s="49"/>
      <c r="BW111" s="49"/>
      <c r="BX111" s="49"/>
      <c r="BY111" s="49"/>
      <c r="BZ111" s="49"/>
      <c r="CA111" s="49"/>
      <c r="CB111" s="49"/>
      <c r="CC111" s="49"/>
      <c r="CD111" s="49"/>
      <c r="CE111" s="49"/>
      <c r="CF111" s="49"/>
      <c r="CG111" s="49"/>
      <c r="CH111" s="49"/>
      <c r="CI111" s="49"/>
      <c r="CJ111" s="49"/>
      <c r="CK111" s="49"/>
      <c r="CL111" s="49"/>
      <c r="CM111" s="49"/>
      <c r="CN111" s="49"/>
      <c r="CO111" s="49"/>
    </row>
    <row r="112" spans="1:94" x14ac:dyDescent="0.35">
      <c r="A112" s="49"/>
      <c r="B112" s="49"/>
      <c r="C112" s="49"/>
      <c r="D112" s="49"/>
      <c r="E112" s="49"/>
      <c r="F112" s="49"/>
      <c r="G112" s="49"/>
      <c r="H112" s="49"/>
      <c r="I112" s="49"/>
      <c r="J112" s="49"/>
      <c r="K112" s="49"/>
      <c r="L112" s="49"/>
      <c r="M112" s="49"/>
      <c r="N112" s="49"/>
      <c r="O112" s="49"/>
      <c r="P112" s="49"/>
      <c r="Q112" s="49"/>
      <c r="R112" s="49"/>
      <c r="S112" s="49"/>
      <c r="T112" s="49"/>
      <c r="U112" s="49"/>
      <c r="V112" s="49"/>
      <c r="W112" s="49"/>
      <c r="X112" s="49"/>
      <c r="Y112" s="49"/>
      <c r="Z112" s="49"/>
      <c r="AA112" s="49"/>
      <c r="AB112" s="49"/>
      <c r="AC112" s="49"/>
      <c r="AD112" s="49"/>
      <c r="AE112" s="49"/>
      <c r="AF112" s="49"/>
      <c r="AG112" s="49"/>
      <c r="AH112" s="49"/>
      <c r="AI112" s="49"/>
      <c r="AJ112" s="49"/>
      <c r="AK112" s="49"/>
      <c r="AL112" s="49"/>
      <c r="AM112" s="49"/>
      <c r="AN112" s="49"/>
      <c r="AO112" s="49"/>
      <c r="AP112" s="49"/>
      <c r="AQ112" s="49"/>
      <c r="AR112" s="49"/>
      <c r="AS112" s="49"/>
      <c r="AT112" s="49"/>
      <c r="AU112" s="49"/>
      <c r="AV112" s="49"/>
      <c r="AW112" s="49"/>
      <c r="AX112" s="49"/>
      <c r="AY112" s="49"/>
      <c r="AZ112" s="49"/>
      <c r="BA112" s="49"/>
      <c r="BB112" s="49"/>
      <c r="BC112" s="49"/>
      <c r="BD112" s="49"/>
      <c r="BE112" s="49"/>
      <c r="BF112" s="49"/>
      <c r="BG112" s="49"/>
      <c r="BH112" s="49"/>
      <c r="BI112" s="49"/>
      <c r="BJ112" s="49"/>
      <c r="BK112" s="49"/>
      <c r="BL112" s="49"/>
      <c r="BM112" s="49"/>
      <c r="BN112" s="49"/>
      <c r="BO112" s="49"/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49"/>
      <c r="CA112" s="49"/>
      <c r="CB112" s="49"/>
      <c r="CC112" s="49"/>
      <c r="CD112" s="49"/>
      <c r="CE112" s="49"/>
      <c r="CF112" s="49"/>
      <c r="CG112" s="49"/>
      <c r="CH112" s="49"/>
      <c r="CI112" s="49"/>
      <c r="CJ112" s="49"/>
      <c r="CK112" s="49"/>
      <c r="CL112" s="49"/>
      <c r="CM112" s="49"/>
      <c r="CN112" s="49"/>
      <c r="CO112" s="49"/>
    </row>
    <row r="113" spans="1:93" x14ac:dyDescent="0.35">
      <c r="A113" s="49"/>
      <c r="B113" s="49"/>
      <c r="C113" s="49"/>
      <c r="D113" s="49"/>
      <c r="E113" s="49"/>
      <c r="F113" s="49"/>
      <c r="G113" s="49"/>
      <c r="H113" s="49"/>
      <c r="I113" s="49"/>
      <c r="J113" s="49"/>
      <c r="K113" s="49"/>
      <c r="L113" s="49"/>
      <c r="M113" s="49"/>
      <c r="N113" s="49"/>
      <c r="O113" s="49"/>
      <c r="P113" s="49"/>
      <c r="Q113" s="49"/>
      <c r="R113" s="49"/>
      <c r="S113" s="49"/>
      <c r="T113" s="49"/>
      <c r="U113" s="49"/>
      <c r="V113" s="49"/>
      <c r="W113" s="49"/>
      <c r="X113" s="49"/>
      <c r="Y113" s="49"/>
      <c r="Z113" s="49"/>
      <c r="AA113" s="49"/>
      <c r="AB113" s="49"/>
      <c r="AC113" s="49"/>
      <c r="AD113" s="49"/>
      <c r="AE113" s="49"/>
      <c r="AF113" s="49"/>
      <c r="AG113" s="49"/>
      <c r="AH113" s="49"/>
      <c r="AI113" s="49"/>
      <c r="AJ113" s="49"/>
      <c r="AK113" s="49"/>
      <c r="AL113" s="49"/>
      <c r="AM113" s="49"/>
      <c r="AN113" s="49"/>
      <c r="AO113" s="49"/>
      <c r="AP113" s="49"/>
      <c r="AQ113" s="49"/>
      <c r="AR113" s="49"/>
      <c r="AS113" s="49"/>
      <c r="AT113" s="49"/>
      <c r="AU113" s="49"/>
      <c r="AV113" s="49"/>
      <c r="AW113" s="49"/>
      <c r="AX113" s="49"/>
      <c r="AY113" s="49"/>
      <c r="AZ113" s="49"/>
      <c r="BA113" s="49"/>
      <c r="BB113" s="49"/>
      <c r="BC113" s="49"/>
      <c r="BD113" s="49"/>
      <c r="BE113" s="49"/>
      <c r="BF113" s="49"/>
      <c r="BG113" s="49"/>
      <c r="BH113" s="49"/>
      <c r="BI113" s="49"/>
      <c r="BJ113" s="49"/>
      <c r="BK113" s="49"/>
      <c r="BL113" s="49"/>
      <c r="BM113" s="49"/>
      <c r="BN113" s="49"/>
      <c r="BO113" s="49"/>
      <c r="BP113" s="49"/>
      <c r="BQ113" s="49"/>
      <c r="BR113" s="49"/>
      <c r="BS113" s="49"/>
      <c r="BT113" s="49"/>
      <c r="BU113" s="49"/>
      <c r="BV113" s="49"/>
      <c r="BW113" s="49"/>
      <c r="BX113" s="49"/>
      <c r="BY113" s="49"/>
      <c r="BZ113" s="49"/>
      <c r="CA113" s="49"/>
      <c r="CB113" s="49"/>
      <c r="CC113" s="49"/>
      <c r="CD113" s="49"/>
      <c r="CE113" s="49"/>
      <c r="CF113" s="49"/>
      <c r="CG113" s="49"/>
      <c r="CH113" s="49"/>
      <c r="CI113" s="49"/>
      <c r="CJ113" s="49"/>
      <c r="CK113" s="49"/>
      <c r="CL113" s="49"/>
      <c r="CM113" s="49"/>
      <c r="CN113" s="49"/>
      <c r="CO113" s="49"/>
    </row>
    <row r="114" spans="1:93" x14ac:dyDescent="0.35">
      <c r="A114" s="49"/>
      <c r="B114" s="49"/>
      <c r="C114" s="49"/>
      <c r="D114" s="49"/>
      <c r="E114" s="49"/>
      <c r="F114" s="49"/>
      <c r="G114" s="49"/>
      <c r="H114" s="49"/>
      <c r="I114" s="49"/>
      <c r="J114" s="49"/>
      <c r="K114" s="49"/>
      <c r="L114" s="49"/>
      <c r="M114" s="49"/>
      <c r="N114" s="49"/>
      <c r="O114" s="49"/>
      <c r="P114" s="49"/>
      <c r="Q114" s="49"/>
      <c r="R114" s="49"/>
      <c r="S114" s="49"/>
      <c r="T114" s="49"/>
      <c r="U114" s="49"/>
      <c r="V114" s="49"/>
      <c r="W114" s="49"/>
      <c r="X114" s="49"/>
      <c r="Y114" s="49"/>
      <c r="Z114" s="49"/>
      <c r="AA114" s="49"/>
      <c r="AB114" s="49"/>
      <c r="AC114" s="49"/>
      <c r="AD114" s="49"/>
      <c r="AE114" s="49"/>
      <c r="AF114" s="49"/>
      <c r="AG114" s="49"/>
      <c r="AH114" s="49"/>
      <c r="AI114" s="49"/>
      <c r="AJ114" s="49"/>
      <c r="AK114" s="49"/>
      <c r="AL114" s="49"/>
      <c r="AM114" s="49"/>
      <c r="AN114" s="49"/>
      <c r="AO114" s="49"/>
      <c r="AP114" s="49"/>
      <c r="AQ114" s="49"/>
      <c r="AR114" s="49"/>
      <c r="AS114" s="49"/>
      <c r="AT114" s="49"/>
      <c r="AU114" s="49"/>
      <c r="AV114" s="49"/>
      <c r="AW114" s="49"/>
      <c r="AX114" s="49"/>
      <c r="AY114" s="49"/>
      <c r="AZ114" s="49"/>
      <c r="BA114" s="49"/>
      <c r="BB114" s="49"/>
      <c r="BC114" s="49"/>
      <c r="BD114" s="49"/>
      <c r="BE114" s="49"/>
      <c r="BF114" s="49"/>
      <c r="BG114" s="49"/>
      <c r="BH114" s="49"/>
      <c r="BI114" s="49"/>
      <c r="BJ114" s="49"/>
      <c r="BK114" s="49"/>
      <c r="BL114" s="49"/>
      <c r="BM114" s="49"/>
      <c r="BN114" s="49"/>
      <c r="BO114" s="49"/>
      <c r="BP114" s="49"/>
      <c r="BQ114" s="49"/>
      <c r="BR114" s="49"/>
      <c r="BS114" s="49"/>
      <c r="BT114" s="49"/>
      <c r="BU114" s="49"/>
      <c r="BV114" s="49"/>
      <c r="BW114" s="49"/>
      <c r="BX114" s="49"/>
      <c r="BY114" s="49"/>
      <c r="BZ114" s="49"/>
      <c r="CA114" s="49"/>
      <c r="CB114" s="49"/>
      <c r="CC114" s="49"/>
      <c r="CD114" s="49"/>
      <c r="CE114" s="49"/>
      <c r="CF114" s="49"/>
      <c r="CG114" s="49"/>
      <c r="CH114" s="49"/>
      <c r="CI114" s="49"/>
      <c r="CJ114" s="49"/>
      <c r="CK114" s="49"/>
      <c r="CL114" s="49"/>
      <c r="CM114" s="49"/>
      <c r="CN114" s="49"/>
      <c r="CO114" s="49"/>
    </row>
    <row r="115" spans="1:93" x14ac:dyDescent="0.35">
      <c r="A115" s="49"/>
      <c r="B115" s="49"/>
      <c r="C115" s="49"/>
      <c r="D115" s="49"/>
      <c r="E115" s="49"/>
      <c r="F115" s="49"/>
      <c r="G115" s="49"/>
      <c r="H115" s="49"/>
      <c r="I115" s="49"/>
      <c r="J115" s="49"/>
      <c r="K115" s="49"/>
      <c r="L115" s="49"/>
      <c r="M115" s="49"/>
      <c r="N115" s="49"/>
      <c r="O115" s="49"/>
      <c r="P115" s="49"/>
      <c r="Q115" s="49"/>
      <c r="R115" s="49"/>
      <c r="S115" s="49"/>
      <c r="T115" s="49"/>
      <c r="U115" s="49"/>
      <c r="V115" s="49"/>
      <c r="W115" s="49"/>
      <c r="X115" s="49"/>
      <c r="Y115" s="49"/>
      <c r="Z115" s="49"/>
      <c r="AA115" s="49"/>
      <c r="AB115" s="49"/>
      <c r="AC115" s="49"/>
      <c r="AD115" s="49"/>
      <c r="AE115" s="49"/>
      <c r="AF115" s="49"/>
      <c r="AG115" s="49"/>
      <c r="AH115" s="49"/>
      <c r="AI115" s="49"/>
      <c r="AJ115" s="49"/>
      <c r="AK115" s="49"/>
      <c r="AL115" s="49"/>
      <c r="AM115" s="49"/>
      <c r="AN115" s="49"/>
      <c r="AO115" s="49"/>
      <c r="AP115" s="49"/>
      <c r="AQ115" s="49"/>
      <c r="AR115" s="49"/>
      <c r="AS115" s="49"/>
      <c r="AT115" s="49"/>
      <c r="AU115" s="49"/>
      <c r="AV115" s="49"/>
      <c r="AW115" s="49"/>
      <c r="AX115" s="49"/>
      <c r="AY115" s="49"/>
      <c r="AZ115" s="49"/>
      <c r="BA115" s="49"/>
      <c r="BB115" s="49"/>
      <c r="BC115" s="49"/>
      <c r="BD115" s="49"/>
      <c r="BE115" s="49"/>
      <c r="BF115" s="49"/>
      <c r="BG115" s="49"/>
      <c r="BH115" s="49"/>
      <c r="BI115" s="49"/>
      <c r="BJ115" s="49"/>
      <c r="BK115" s="49"/>
      <c r="BL115" s="49"/>
      <c r="BM115" s="49"/>
      <c r="BN115" s="49"/>
      <c r="BO115" s="49"/>
      <c r="BP115" s="49"/>
      <c r="BQ115" s="49"/>
      <c r="BR115" s="49"/>
      <c r="BS115" s="49"/>
      <c r="BT115" s="49"/>
      <c r="BU115" s="49"/>
      <c r="BV115" s="49"/>
      <c r="BW115" s="49"/>
      <c r="BX115" s="49"/>
      <c r="BY115" s="49"/>
      <c r="BZ115" s="49"/>
      <c r="CA115" s="49"/>
      <c r="CB115" s="49"/>
      <c r="CC115" s="49"/>
      <c r="CD115" s="49"/>
      <c r="CE115" s="49"/>
      <c r="CF115" s="49"/>
      <c r="CG115" s="49"/>
      <c r="CH115" s="49"/>
      <c r="CI115" s="49"/>
      <c r="CJ115" s="49"/>
      <c r="CK115" s="49"/>
      <c r="CL115" s="49"/>
      <c r="CM115" s="49"/>
      <c r="CN115" s="49"/>
      <c r="CO115" s="49"/>
    </row>
    <row r="116" spans="1:93" x14ac:dyDescent="0.35">
      <c r="A116" s="49"/>
      <c r="B116" s="49"/>
      <c r="C116" s="49"/>
      <c r="D116" s="49"/>
      <c r="E116" s="49"/>
      <c r="F116" s="49"/>
      <c r="G116" s="49"/>
      <c r="H116" s="49"/>
      <c r="I116" s="49"/>
      <c r="J116" s="49"/>
      <c r="K116" s="49"/>
      <c r="L116" s="49"/>
      <c r="M116" s="49"/>
      <c r="N116" s="49"/>
      <c r="O116" s="49"/>
      <c r="P116" s="49"/>
      <c r="Q116" s="49"/>
      <c r="R116" s="49"/>
      <c r="S116" s="49"/>
      <c r="T116" s="49"/>
      <c r="U116" s="49"/>
      <c r="V116" s="49"/>
      <c r="W116" s="49"/>
      <c r="X116" s="49"/>
      <c r="Y116" s="49"/>
      <c r="Z116" s="49"/>
      <c r="AA116" s="49"/>
      <c r="AB116" s="49"/>
      <c r="AC116" s="49"/>
      <c r="AD116" s="49"/>
      <c r="AE116" s="49"/>
      <c r="AF116" s="49"/>
      <c r="AG116" s="49"/>
      <c r="AH116" s="49"/>
      <c r="AI116" s="49"/>
      <c r="AJ116" s="49"/>
      <c r="AK116" s="49"/>
      <c r="AL116" s="49"/>
      <c r="AM116" s="49"/>
      <c r="AN116" s="49"/>
      <c r="AO116" s="49"/>
      <c r="AP116" s="49"/>
      <c r="AQ116" s="49"/>
      <c r="AR116" s="49"/>
      <c r="AS116" s="49"/>
      <c r="AT116" s="49"/>
      <c r="AU116" s="49"/>
      <c r="AV116" s="49"/>
      <c r="AW116" s="49"/>
      <c r="AX116" s="49"/>
      <c r="AY116" s="49"/>
      <c r="AZ116" s="49"/>
      <c r="BA116" s="49"/>
      <c r="BB116" s="49"/>
      <c r="BC116" s="49"/>
      <c r="BD116" s="49"/>
      <c r="BE116" s="49"/>
      <c r="BF116" s="49"/>
      <c r="BG116" s="49"/>
      <c r="BH116" s="49"/>
      <c r="BI116" s="49"/>
      <c r="BJ116" s="49"/>
      <c r="BK116" s="49"/>
      <c r="BL116" s="49"/>
      <c r="BM116" s="49"/>
      <c r="BN116" s="49"/>
      <c r="BO116" s="49"/>
      <c r="BP116" s="49"/>
      <c r="BQ116" s="49"/>
      <c r="BR116" s="49"/>
      <c r="BS116" s="49"/>
      <c r="BT116" s="49"/>
      <c r="BU116" s="49"/>
      <c r="BV116" s="49"/>
      <c r="BW116" s="49"/>
      <c r="BX116" s="49"/>
      <c r="BY116" s="49"/>
      <c r="BZ116" s="49"/>
      <c r="CA116" s="49"/>
      <c r="CB116" s="49"/>
      <c r="CC116" s="49"/>
      <c r="CD116" s="49"/>
      <c r="CE116" s="49"/>
      <c r="CF116" s="49"/>
      <c r="CG116" s="49"/>
      <c r="CH116" s="49"/>
      <c r="CI116" s="49"/>
      <c r="CJ116" s="49"/>
      <c r="CK116" s="49"/>
      <c r="CL116" s="49"/>
      <c r="CM116" s="49"/>
      <c r="CN116" s="49"/>
      <c r="CO116" s="49"/>
    </row>
    <row r="117" spans="1:93" x14ac:dyDescent="0.35">
      <c r="A117" s="49"/>
      <c r="B117" s="49"/>
      <c r="C117" s="49"/>
      <c r="D117" s="49"/>
      <c r="E117" s="49"/>
      <c r="F117" s="49"/>
      <c r="G117" s="49"/>
      <c r="H117" s="49"/>
      <c r="I117" s="49"/>
      <c r="J117" s="49"/>
      <c r="K117" s="49"/>
      <c r="L117" s="49"/>
      <c r="M117" s="49"/>
      <c r="N117" s="49"/>
      <c r="O117" s="49"/>
      <c r="P117" s="49"/>
      <c r="Q117" s="49"/>
      <c r="R117" s="49"/>
      <c r="S117" s="49"/>
      <c r="T117" s="49"/>
      <c r="U117" s="49"/>
      <c r="V117" s="49"/>
      <c r="W117" s="49"/>
      <c r="X117" s="49"/>
      <c r="Y117" s="49"/>
      <c r="Z117" s="49"/>
      <c r="AA117" s="49"/>
      <c r="AB117" s="49"/>
      <c r="AC117" s="49"/>
      <c r="AD117" s="49"/>
      <c r="AE117" s="49"/>
      <c r="AF117" s="49"/>
      <c r="AG117" s="49"/>
      <c r="AH117" s="49"/>
      <c r="AI117" s="49"/>
      <c r="AJ117" s="49"/>
      <c r="AK117" s="49"/>
      <c r="AL117" s="49"/>
      <c r="AM117" s="49"/>
      <c r="AN117" s="49"/>
      <c r="AO117" s="49"/>
      <c r="AP117" s="49"/>
      <c r="AQ117" s="49"/>
      <c r="AR117" s="49"/>
      <c r="AS117" s="49"/>
      <c r="AT117" s="49"/>
      <c r="AU117" s="49"/>
      <c r="AV117" s="49"/>
      <c r="AW117" s="49"/>
      <c r="AX117" s="49"/>
      <c r="AY117" s="49"/>
      <c r="AZ117" s="49"/>
      <c r="BA117" s="49"/>
      <c r="BB117" s="49"/>
      <c r="BC117" s="49"/>
      <c r="BD117" s="49"/>
      <c r="BE117" s="49"/>
      <c r="BF117" s="49"/>
      <c r="BG117" s="49"/>
      <c r="BH117" s="49"/>
      <c r="BI117" s="49"/>
      <c r="BJ117" s="49"/>
      <c r="BK117" s="49"/>
      <c r="BL117" s="49"/>
      <c r="BM117" s="49"/>
      <c r="BN117" s="49"/>
      <c r="BO117" s="49"/>
      <c r="BP117" s="49"/>
      <c r="BQ117" s="49"/>
      <c r="BR117" s="49"/>
      <c r="BS117" s="49"/>
      <c r="BT117" s="49"/>
      <c r="BU117" s="49"/>
      <c r="BV117" s="49"/>
      <c r="BW117" s="49"/>
      <c r="BX117" s="49"/>
      <c r="BY117" s="49"/>
      <c r="BZ117" s="49"/>
      <c r="CA117" s="49"/>
      <c r="CB117" s="49"/>
      <c r="CC117" s="49"/>
      <c r="CD117" s="49"/>
      <c r="CE117" s="49"/>
      <c r="CF117" s="49"/>
      <c r="CG117" s="49"/>
      <c r="CH117" s="49"/>
      <c r="CI117" s="49"/>
      <c r="CJ117" s="49"/>
      <c r="CK117" s="49"/>
      <c r="CL117" s="49"/>
      <c r="CM117" s="49"/>
      <c r="CN117" s="49"/>
      <c r="CO117" s="49"/>
    </row>
    <row r="118" spans="1:93" x14ac:dyDescent="0.35">
      <c r="A118" s="49"/>
      <c r="B118" s="49"/>
      <c r="C118" s="49"/>
      <c r="D118" s="49"/>
      <c r="E118" s="49"/>
      <c r="F118" s="49"/>
      <c r="G118" s="49"/>
      <c r="H118" s="49"/>
      <c r="I118" s="49"/>
      <c r="J118" s="49"/>
      <c r="K118" s="49"/>
      <c r="L118" s="49"/>
      <c r="M118" s="49"/>
      <c r="N118" s="49"/>
      <c r="O118" s="49"/>
      <c r="P118" s="49"/>
      <c r="Q118" s="49"/>
      <c r="R118" s="49"/>
      <c r="S118" s="49"/>
      <c r="T118" s="49"/>
      <c r="U118" s="49"/>
      <c r="V118" s="49"/>
      <c r="W118" s="49"/>
      <c r="X118" s="49"/>
      <c r="Y118" s="49"/>
      <c r="Z118" s="49"/>
      <c r="AA118" s="49"/>
      <c r="AB118" s="49"/>
      <c r="AC118" s="49"/>
      <c r="AD118" s="49"/>
      <c r="AE118" s="49"/>
      <c r="AF118" s="49"/>
      <c r="AG118" s="49"/>
      <c r="AH118" s="49"/>
      <c r="AI118" s="49"/>
      <c r="AJ118" s="49"/>
      <c r="AK118" s="49"/>
      <c r="AL118" s="49"/>
      <c r="AM118" s="49"/>
      <c r="AN118" s="49"/>
      <c r="AO118" s="49"/>
      <c r="AP118" s="49"/>
      <c r="AQ118" s="49"/>
      <c r="AR118" s="49"/>
      <c r="AS118" s="49"/>
      <c r="AT118" s="49"/>
      <c r="AU118" s="49"/>
      <c r="AV118" s="49"/>
      <c r="AW118" s="49"/>
      <c r="AX118" s="49"/>
      <c r="AY118" s="49"/>
      <c r="AZ118" s="49"/>
      <c r="BA118" s="49"/>
      <c r="BB118" s="49"/>
      <c r="BC118" s="49"/>
      <c r="BD118" s="49"/>
      <c r="BE118" s="49"/>
      <c r="BF118" s="49"/>
      <c r="BG118" s="49"/>
      <c r="BH118" s="49"/>
      <c r="BI118" s="49"/>
      <c r="BJ118" s="49"/>
      <c r="BK118" s="49"/>
      <c r="BL118" s="49"/>
      <c r="BM118" s="49"/>
      <c r="BN118" s="49"/>
      <c r="BO118" s="49"/>
      <c r="BP118" s="49"/>
      <c r="BQ118" s="49"/>
      <c r="BR118" s="49"/>
      <c r="BS118" s="49"/>
      <c r="BT118" s="49"/>
      <c r="BU118" s="49"/>
      <c r="BV118" s="49"/>
      <c r="BW118" s="49"/>
      <c r="BX118" s="49"/>
      <c r="BY118" s="49"/>
      <c r="BZ118" s="49"/>
      <c r="CA118" s="49"/>
      <c r="CB118" s="49"/>
      <c r="CC118" s="49"/>
      <c r="CD118" s="49"/>
      <c r="CE118" s="49"/>
      <c r="CF118" s="49"/>
      <c r="CG118" s="49"/>
      <c r="CH118" s="49"/>
      <c r="CI118" s="49"/>
      <c r="CJ118" s="49"/>
      <c r="CK118" s="49"/>
      <c r="CL118" s="49"/>
      <c r="CM118" s="49"/>
      <c r="CN118" s="49"/>
      <c r="CO118" s="49"/>
    </row>
    <row r="119" spans="1:93" x14ac:dyDescent="0.35">
      <c r="A119" s="49"/>
      <c r="B119" s="49"/>
      <c r="C119" s="49"/>
      <c r="D119" s="49"/>
      <c r="E119" s="49"/>
      <c r="F119" s="49"/>
      <c r="G119" s="49"/>
      <c r="H119" s="49"/>
      <c r="I119" s="49"/>
      <c r="J119" s="49"/>
      <c r="K119" s="49"/>
      <c r="L119" s="49"/>
      <c r="M119" s="49"/>
      <c r="N119" s="49"/>
      <c r="O119" s="49"/>
      <c r="P119" s="49"/>
      <c r="Q119" s="49"/>
      <c r="R119" s="49"/>
      <c r="S119" s="49"/>
      <c r="T119" s="49"/>
      <c r="U119" s="49"/>
      <c r="V119" s="49"/>
      <c r="W119" s="49"/>
      <c r="X119" s="49"/>
      <c r="Y119" s="49"/>
      <c r="Z119" s="49"/>
      <c r="AA119" s="49"/>
      <c r="AB119" s="49"/>
      <c r="AC119" s="49"/>
      <c r="AD119" s="49"/>
      <c r="AE119" s="49"/>
      <c r="AF119" s="49"/>
      <c r="AG119" s="49"/>
      <c r="AH119" s="49"/>
      <c r="AI119" s="49"/>
      <c r="AJ119" s="49"/>
      <c r="AK119" s="49"/>
      <c r="AL119" s="49"/>
      <c r="AM119" s="49"/>
      <c r="AN119" s="49"/>
      <c r="AO119" s="49"/>
      <c r="AP119" s="49"/>
      <c r="AQ119" s="49"/>
      <c r="AR119" s="49"/>
      <c r="AS119" s="49"/>
      <c r="AT119" s="49"/>
      <c r="AU119" s="49"/>
      <c r="AV119" s="49"/>
      <c r="AW119" s="49"/>
      <c r="AX119" s="49"/>
      <c r="AY119" s="49"/>
      <c r="AZ119" s="49"/>
      <c r="BA119" s="49"/>
      <c r="BB119" s="49"/>
      <c r="BC119" s="49"/>
      <c r="BD119" s="49"/>
      <c r="BE119" s="49"/>
      <c r="BF119" s="49"/>
      <c r="BG119" s="49"/>
      <c r="BH119" s="49"/>
      <c r="BI119" s="49"/>
      <c r="BJ119" s="49"/>
      <c r="BK119" s="49"/>
      <c r="BL119" s="49"/>
      <c r="BM119" s="49"/>
      <c r="BN119" s="49"/>
      <c r="BO119" s="49"/>
      <c r="BP119" s="49"/>
      <c r="BQ119" s="49"/>
      <c r="BR119" s="49"/>
      <c r="BS119" s="49"/>
      <c r="BT119" s="49"/>
      <c r="BU119" s="49"/>
      <c r="BV119" s="49"/>
      <c r="BW119" s="49"/>
      <c r="BX119" s="49"/>
      <c r="BY119" s="49"/>
      <c r="BZ119" s="49"/>
      <c r="CA119" s="49"/>
      <c r="CB119" s="49"/>
      <c r="CC119" s="49"/>
      <c r="CD119" s="49"/>
      <c r="CE119" s="49"/>
      <c r="CF119" s="49"/>
      <c r="CG119" s="49"/>
      <c r="CH119" s="49"/>
      <c r="CI119" s="49"/>
      <c r="CJ119" s="49"/>
      <c r="CK119" s="49"/>
      <c r="CL119" s="49"/>
      <c r="CM119" s="49"/>
      <c r="CN119" s="49"/>
      <c r="CO119" s="49"/>
    </row>
    <row r="120" spans="1:93" x14ac:dyDescent="0.35">
      <c r="A120" s="49"/>
      <c r="B120" s="49"/>
      <c r="C120" s="49"/>
      <c r="D120" s="49"/>
      <c r="E120" s="49"/>
      <c r="F120" s="49"/>
      <c r="G120" s="49"/>
      <c r="H120" s="49"/>
      <c r="I120" s="49"/>
      <c r="J120" s="49"/>
      <c r="K120" s="49"/>
      <c r="L120" s="49"/>
      <c r="M120" s="49"/>
      <c r="N120" s="49"/>
      <c r="O120" s="49"/>
      <c r="P120" s="49"/>
      <c r="Q120" s="49"/>
      <c r="R120" s="49"/>
      <c r="S120" s="49"/>
      <c r="T120" s="49"/>
      <c r="U120" s="49"/>
      <c r="V120" s="49"/>
      <c r="W120" s="49"/>
      <c r="X120" s="49"/>
      <c r="Y120" s="49"/>
      <c r="Z120" s="49"/>
      <c r="AA120" s="49"/>
      <c r="AB120" s="49"/>
      <c r="AC120" s="49"/>
      <c r="AD120" s="49"/>
      <c r="AE120" s="49"/>
      <c r="AF120" s="49"/>
      <c r="AG120" s="49"/>
      <c r="AH120" s="49"/>
      <c r="AI120" s="49"/>
      <c r="AJ120" s="49"/>
      <c r="AK120" s="49"/>
      <c r="AL120" s="49"/>
      <c r="AM120" s="49"/>
      <c r="AN120" s="49"/>
      <c r="AO120" s="49"/>
      <c r="AP120" s="49"/>
      <c r="AQ120" s="49"/>
      <c r="AR120" s="49"/>
      <c r="AS120" s="49"/>
      <c r="AT120" s="49"/>
      <c r="AU120" s="49"/>
      <c r="AV120" s="49"/>
      <c r="AW120" s="49"/>
      <c r="AX120" s="49"/>
      <c r="AY120" s="49"/>
      <c r="AZ120" s="49"/>
      <c r="BA120" s="49"/>
      <c r="BB120" s="49"/>
      <c r="BC120" s="49"/>
      <c r="BD120" s="49"/>
      <c r="BE120" s="49"/>
      <c r="BF120" s="49"/>
      <c r="BG120" s="49"/>
      <c r="BH120" s="49"/>
      <c r="BI120" s="49"/>
      <c r="BJ120" s="49"/>
      <c r="BK120" s="49"/>
      <c r="BL120" s="49"/>
      <c r="BM120" s="49"/>
      <c r="BN120" s="49"/>
      <c r="BO120" s="49"/>
      <c r="BP120" s="49"/>
      <c r="BQ120" s="49"/>
      <c r="BR120" s="49"/>
      <c r="BS120" s="49"/>
      <c r="BT120" s="49"/>
      <c r="BU120" s="49"/>
      <c r="BV120" s="49"/>
      <c r="BW120" s="49"/>
      <c r="BX120" s="49"/>
      <c r="BY120" s="49"/>
      <c r="BZ120" s="49"/>
      <c r="CA120" s="49"/>
      <c r="CB120" s="49"/>
      <c r="CC120" s="49"/>
      <c r="CD120" s="49"/>
      <c r="CE120" s="49"/>
      <c r="CF120" s="49"/>
      <c r="CG120" s="49"/>
      <c r="CH120" s="49"/>
      <c r="CI120" s="49"/>
      <c r="CJ120" s="49"/>
      <c r="CK120" s="49"/>
      <c r="CL120" s="49"/>
      <c r="CM120" s="49"/>
      <c r="CN120" s="49"/>
      <c r="CO120" s="49"/>
    </row>
    <row r="121" spans="1:93" x14ac:dyDescent="0.35">
      <c r="A121" s="49"/>
      <c r="B121" s="50"/>
      <c r="C121" s="49"/>
      <c r="D121" s="49"/>
      <c r="E121" s="49"/>
      <c r="F121" s="49"/>
      <c r="G121" s="49"/>
      <c r="H121" s="49"/>
      <c r="I121" s="49"/>
      <c r="J121" s="49"/>
      <c r="K121" s="49"/>
      <c r="L121" s="49"/>
      <c r="M121" s="49"/>
      <c r="N121" s="49"/>
      <c r="O121" s="49"/>
      <c r="P121" s="49"/>
      <c r="Q121" s="49"/>
      <c r="R121" s="49"/>
      <c r="S121" s="49"/>
      <c r="T121" s="49"/>
      <c r="U121" s="49"/>
      <c r="V121" s="49"/>
      <c r="W121" s="49"/>
      <c r="X121" s="49"/>
      <c r="Y121" s="49"/>
      <c r="Z121" s="49"/>
      <c r="AA121" s="49"/>
      <c r="AB121" s="49"/>
      <c r="AC121" s="49"/>
      <c r="AD121" s="49"/>
      <c r="AE121" s="49"/>
      <c r="AF121" s="49"/>
      <c r="AG121" s="49"/>
      <c r="AH121" s="49"/>
      <c r="AI121" s="49"/>
      <c r="AJ121" s="49"/>
      <c r="AK121" s="49"/>
      <c r="AL121" s="49"/>
      <c r="AM121" s="49"/>
      <c r="AN121" s="49"/>
      <c r="AO121" s="49"/>
      <c r="AP121" s="49"/>
      <c r="AQ121" s="49"/>
      <c r="AR121" s="49"/>
      <c r="AS121" s="49"/>
      <c r="AT121" s="49"/>
      <c r="AU121" s="49"/>
      <c r="AV121" s="49"/>
      <c r="AW121" s="49"/>
      <c r="AX121" s="49"/>
      <c r="AY121" s="49"/>
      <c r="AZ121" s="49"/>
      <c r="BA121" s="49"/>
      <c r="BB121" s="49"/>
      <c r="BC121" s="49"/>
      <c r="BD121" s="49"/>
      <c r="BE121" s="49"/>
      <c r="BF121" s="49"/>
      <c r="BG121" s="49"/>
      <c r="BH121" s="49"/>
      <c r="BI121" s="49"/>
      <c r="BJ121" s="49"/>
      <c r="BK121" s="49"/>
      <c r="BL121" s="49"/>
      <c r="BM121" s="49"/>
      <c r="BN121" s="49"/>
      <c r="BO121" s="49"/>
      <c r="BP121" s="49"/>
      <c r="BQ121" s="49"/>
      <c r="BR121" s="49"/>
      <c r="BS121" s="49"/>
      <c r="BT121" s="49"/>
      <c r="BU121" s="49"/>
      <c r="BV121" s="49"/>
      <c r="BW121" s="49"/>
      <c r="BX121" s="49"/>
      <c r="BY121" s="49"/>
      <c r="BZ121" s="49"/>
      <c r="CA121" s="49"/>
      <c r="CB121" s="49"/>
      <c r="CC121" s="49"/>
      <c r="CD121" s="49"/>
      <c r="CE121" s="49"/>
      <c r="CF121" s="49"/>
      <c r="CG121" s="49"/>
      <c r="CH121" s="49"/>
      <c r="CI121" s="49"/>
      <c r="CJ121" s="49"/>
      <c r="CK121" s="49"/>
      <c r="CL121" s="49"/>
      <c r="CM121" s="49"/>
      <c r="CN121" s="49"/>
      <c r="CO121" s="49"/>
    </row>
    <row r="122" spans="1:93" ht="18" x14ac:dyDescent="0.4">
      <c r="A122" s="49"/>
      <c r="B122" s="55" t="s">
        <v>65</v>
      </c>
      <c r="C122" s="49"/>
      <c r="D122" s="49"/>
      <c r="E122" s="49"/>
      <c r="F122" s="49"/>
      <c r="G122" s="49"/>
      <c r="H122" s="49"/>
      <c r="I122" s="49"/>
      <c r="J122" s="49"/>
      <c r="K122" s="49"/>
      <c r="L122" s="49"/>
      <c r="M122" s="49"/>
      <c r="N122" s="49"/>
      <c r="O122" s="49"/>
      <c r="P122" s="49"/>
      <c r="Q122" s="49"/>
      <c r="R122" s="49"/>
      <c r="S122" s="49"/>
      <c r="T122" s="49"/>
      <c r="U122" s="49"/>
      <c r="V122" s="49"/>
      <c r="W122" s="49"/>
      <c r="X122" s="49"/>
      <c r="Y122" s="49"/>
      <c r="Z122" s="49"/>
      <c r="AA122" s="49"/>
      <c r="AB122" s="49"/>
      <c r="AC122" s="49"/>
      <c r="AD122" s="49"/>
      <c r="AE122" s="49"/>
      <c r="AF122" s="49"/>
      <c r="AG122" s="49"/>
      <c r="AH122" s="49"/>
      <c r="AI122" s="49"/>
      <c r="AJ122" s="49"/>
      <c r="AK122" s="49"/>
      <c r="AL122" s="49"/>
      <c r="AM122" s="49"/>
      <c r="AN122" s="49"/>
      <c r="AO122" s="49"/>
      <c r="AP122" s="49"/>
      <c r="AQ122" s="49"/>
      <c r="AR122" s="49"/>
      <c r="AS122" s="49"/>
      <c r="AT122" s="49"/>
      <c r="AU122" s="49"/>
      <c r="AV122" s="49"/>
      <c r="AW122" s="49"/>
      <c r="AX122" s="49"/>
      <c r="AY122" s="49"/>
      <c r="AZ122" s="49"/>
      <c r="BA122" s="49"/>
      <c r="BB122" s="49"/>
      <c r="BC122" s="49"/>
      <c r="BD122" s="49"/>
      <c r="BE122" s="49"/>
      <c r="BF122" s="49"/>
      <c r="BG122" s="49"/>
      <c r="BH122" s="49"/>
      <c r="BI122" s="49"/>
      <c r="BJ122" s="49"/>
      <c r="BK122" s="49"/>
      <c r="BL122" s="49"/>
      <c r="BM122" s="49"/>
      <c r="BN122" s="49"/>
      <c r="BO122" s="49"/>
      <c r="BP122" s="49"/>
      <c r="BQ122" s="49"/>
      <c r="BR122" s="49"/>
      <c r="BS122" s="49"/>
      <c r="BT122" s="49"/>
      <c r="BU122" s="49"/>
      <c r="BV122" s="49"/>
      <c r="BW122" s="49"/>
      <c r="BX122" s="49"/>
      <c r="BY122" s="49"/>
      <c r="BZ122" s="49"/>
      <c r="CA122" s="49"/>
      <c r="CB122" s="49"/>
      <c r="CC122" s="49"/>
      <c r="CD122" s="49"/>
      <c r="CE122" s="49"/>
      <c r="CF122" s="49"/>
      <c r="CG122" s="49"/>
      <c r="CH122" s="49"/>
      <c r="CI122" s="49"/>
      <c r="CJ122" s="49"/>
      <c r="CK122" s="49"/>
      <c r="CL122" s="49"/>
      <c r="CM122" s="49"/>
      <c r="CN122" s="49"/>
      <c r="CO122" s="49"/>
    </row>
    <row r="123" spans="1:93" x14ac:dyDescent="0.35">
      <c r="A123" s="49"/>
      <c r="B123" s="50"/>
      <c r="C123" s="49"/>
      <c r="D123" s="49"/>
      <c r="E123" s="49"/>
      <c r="F123" s="49"/>
      <c r="G123" s="49"/>
      <c r="H123" s="49"/>
      <c r="I123" s="49"/>
      <c r="J123" s="49"/>
      <c r="K123" s="49"/>
      <c r="L123" s="49"/>
      <c r="M123" s="49"/>
      <c r="N123" s="49"/>
      <c r="O123" s="49"/>
      <c r="P123" s="49"/>
      <c r="Q123" s="49"/>
      <c r="R123" s="49"/>
      <c r="S123" s="49"/>
      <c r="T123" s="49"/>
      <c r="U123" s="49"/>
      <c r="V123" s="49"/>
      <c r="W123" s="49"/>
      <c r="X123" s="49"/>
      <c r="Y123" s="49"/>
      <c r="Z123" s="49"/>
      <c r="AA123" s="49"/>
      <c r="AB123" s="49"/>
      <c r="AC123" s="49"/>
      <c r="AD123" s="49"/>
      <c r="AE123" s="49"/>
      <c r="AF123" s="49"/>
      <c r="AG123" s="49"/>
      <c r="AH123" s="49"/>
      <c r="AI123" s="49"/>
      <c r="AJ123" s="49"/>
      <c r="AK123" s="49"/>
      <c r="AL123" s="49"/>
      <c r="AM123" s="49"/>
      <c r="AN123" s="49"/>
      <c r="AO123" s="49"/>
      <c r="AP123" s="49"/>
      <c r="AQ123" s="49"/>
      <c r="AR123" s="49"/>
      <c r="AS123" s="49"/>
      <c r="AT123" s="49"/>
      <c r="AU123" s="49"/>
      <c r="AV123" s="49"/>
      <c r="AW123" s="49"/>
      <c r="AX123" s="49"/>
      <c r="AY123" s="49"/>
      <c r="AZ123" s="49"/>
      <c r="BA123" s="49"/>
      <c r="BB123" s="49"/>
      <c r="BC123" s="49"/>
      <c r="BD123" s="49"/>
      <c r="BE123" s="49"/>
      <c r="BF123" s="49"/>
      <c r="BG123" s="49"/>
      <c r="BH123" s="49"/>
      <c r="BI123" s="49"/>
      <c r="BJ123" s="49"/>
      <c r="BK123" s="49"/>
      <c r="BL123" s="49"/>
      <c r="BM123" s="49"/>
      <c r="BN123" s="49"/>
      <c r="BO123" s="49"/>
      <c r="BP123" s="49"/>
      <c r="BQ123" s="49"/>
      <c r="BR123" s="49"/>
      <c r="BS123" s="49"/>
      <c r="BT123" s="49"/>
      <c r="BU123" s="49"/>
      <c r="BV123" s="49"/>
      <c r="BW123" s="49"/>
      <c r="BX123" s="49"/>
      <c r="BY123" s="49"/>
      <c r="BZ123" s="49"/>
      <c r="CA123" s="49"/>
      <c r="CB123" s="49"/>
      <c r="CC123" s="49"/>
      <c r="CD123" s="49"/>
      <c r="CE123" s="49"/>
      <c r="CF123" s="49"/>
      <c r="CG123" s="49"/>
      <c r="CH123" s="49"/>
      <c r="CI123" s="49"/>
      <c r="CJ123" s="49"/>
      <c r="CK123" s="49"/>
      <c r="CL123" s="49"/>
      <c r="CM123" s="49"/>
      <c r="CN123" s="49"/>
      <c r="CO123" s="49"/>
    </row>
    <row r="124" spans="1:93" ht="18.5" thickBot="1" x14ac:dyDescent="0.45">
      <c r="A124" s="49"/>
      <c r="B124" s="61" t="s">
        <v>50</v>
      </c>
      <c r="C124" s="73"/>
      <c r="D124" s="49"/>
      <c r="E124" s="49"/>
      <c r="F124" s="49"/>
      <c r="G124" s="49"/>
      <c r="H124" s="49"/>
      <c r="I124" s="49"/>
      <c r="J124" s="49"/>
      <c r="K124" s="49"/>
      <c r="L124" s="49"/>
      <c r="M124" s="49"/>
      <c r="N124" s="49"/>
      <c r="O124" s="49"/>
      <c r="P124" s="49"/>
      <c r="Q124" s="49"/>
      <c r="R124" s="49"/>
      <c r="S124" s="49"/>
      <c r="T124" s="49"/>
      <c r="U124" s="49"/>
      <c r="V124" s="49"/>
      <c r="W124" s="49"/>
      <c r="X124" s="49"/>
      <c r="Y124" s="49"/>
      <c r="Z124" s="49"/>
      <c r="AA124" s="49"/>
      <c r="AB124" s="49"/>
      <c r="AC124" s="49"/>
      <c r="AD124" s="49"/>
      <c r="AE124" s="49"/>
      <c r="AF124" s="49"/>
      <c r="AG124" s="49"/>
      <c r="AH124" s="49"/>
      <c r="AI124" s="49"/>
      <c r="AJ124" s="49"/>
      <c r="AK124" s="49"/>
      <c r="AL124" s="49"/>
      <c r="AM124" s="49"/>
      <c r="AN124" s="49"/>
      <c r="AO124" s="49"/>
      <c r="AP124" s="49"/>
      <c r="AQ124" s="49"/>
      <c r="AR124" s="49"/>
      <c r="AS124" s="49"/>
      <c r="AT124" s="49"/>
      <c r="AU124" s="49"/>
      <c r="AV124" s="49"/>
      <c r="AW124" s="49"/>
      <c r="AX124" s="49"/>
      <c r="AY124" s="49"/>
      <c r="AZ124" s="49"/>
      <c r="BA124" s="49"/>
      <c r="BB124" s="49"/>
      <c r="BC124" s="49"/>
      <c r="BD124" s="49"/>
      <c r="BE124" s="49"/>
      <c r="BF124" s="49"/>
      <c r="BG124" s="49"/>
      <c r="BH124" s="49"/>
      <c r="BI124" s="49"/>
      <c r="BJ124" s="49"/>
      <c r="BK124" s="49"/>
      <c r="BL124" s="49"/>
      <c r="BM124" s="49"/>
      <c r="BN124" s="49"/>
      <c r="BO124" s="49"/>
      <c r="BP124" s="49"/>
      <c r="BQ124" s="49"/>
      <c r="BR124" s="49"/>
      <c r="BS124" s="49"/>
      <c r="BT124" s="49"/>
      <c r="BU124" s="49"/>
      <c r="BV124" s="49"/>
      <c r="BW124" s="49"/>
      <c r="BX124" s="49"/>
      <c r="BY124" s="49"/>
      <c r="BZ124" s="49"/>
      <c r="CA124" s="49"/>
      <c r="CB124" s="49"/>
      <c r="CC124" s="49"/>
      <c r="CD124" s="49"/>
      <c r="CE124" s="49"/>
      <c r="CF124" s="49"/>
      <c r="CG124" s="49"/>
      <c r="CH124" s="49"/>
      <c r="CI124" s="49"/>
      <c r="CJ124" s="49"/>
      <c r="CK124" s="49"/>
      <c r="CL124" s="49"/>
      <c r="CM124" s="49"/>
      <c r="CN124" s="49"/>
      <c r="CO124" s="49"/>
    </row>
    <row r="125" spans="1:93" ht="18" thickBot="1" x14ac:dyDescent="0.4">
      <c r="A125" s="49"/>
      <c r="B125" s="74" t="s">
        <v>77</v>
      </c>
      <c r="C125" s="75">
        <v>500000</v>
      </c>
      <c r="D125" s="49"/>
      <c r="E125" s="49"/>
      <c r="F125" s="49"/>
      <c r="G125" s="49"/>
      <c r="H125" s="49"/>
      <c r="I125" s="49"/>
      <c r="J125" s="49"/>
      <c r="K125" s="49"/>
      <c r="L125" s="49"/>
      <c r="M125" s="49"/>
      <c r="N125" s="49"/>
      <c r="O125" s="49"/>
      <c r="P125" s="49"/>
      <c r="Q125" s="49"/>
      <c r="R125" s="49"/>
      <c r="S125" s="49"/>
      <c r="T125" s="49"/>
      <c r="U125" s="49"/>
      <c r="V125" s="49"/>
      <c r="W125" s="49"/>
      <c r="X125" s="49"/>
      <c r="Y125" s="49"/>
      <c r="Z125" s="49"/>
      <c r="AA125" s="49"/>
      <c r="AB125" s="49"/>
      <c r="AC125" s="49"/>
      <c r="AD125" s="49"/>
      <c r="AE125" s="49"/>
      <c r="AF125" s="49"/>
      <c r="AG125" s="49"/>
      <c r="AH125" s="49"/>
      <c r="AI125" s="49"/>
      <c r="AJ125" s="49"/>
      <c r="AK125" s="49"/>
      <c r="AL125" s="49"/>
      <c r="AM125" s="49"/>
      <c r="AN125" s="49"/>
      <c r="AO125" s="49"/>
      <c r="AP125" s="49"/>
      <c r="AQ125" s="49"/>
      <c r="AR125" s="49"/>
      <c r="AS125" s="49"/>
      <c r="AT125" s="49"/>
      <c r="AU125" s="49"/>
      <c r="AV125" s="49"/>
      <c r="AW125" s="49"/>
      <c r="AX125" s="49"/>
      <c r="AY125" s="49"/>
      <c r="AZ125" s="49"/>
      <c r="BA125" s="49"/>
      <c r="BB125" s="49"/>
      <c r="BC125" s="49"/>
      <c r="BD125" s="49"/>
      <c r="BE125" s="49"/>
      <c r="BF125" s="49"/>
      <c r="BG125" s="49"/>
      <c r="BH125" s="49"/>
      <c r="BI125" s="49"/>
      <c r="BJ125" s="49"/>
      <c r="BK125" s="49"/>
      <c r="BL125" s="49"/>
      <c r="BM125" s="49"/>
      <c r="BN125" s="49"/>
      <c r="BO125" s="49"/>
      <c r="BP125" s="49"/>
      <c r="BQ125" s="49"/>
      <c r="BR125" s="49"/>
      <c r="BS125" s="49"/>
      <c r="BT125" s="49"/>
      <c r="BU125" s="49"/>
      <c r="BV125" s="49"/>
      <c r="BW125" s="49"/>
      <c r="BX125" s="49"/>
      <c r="BY125" s="49"/>
      <c r="BZ125" s="49"/>
      <c r="CA125" s="49"/>
      <c r="CB125" s="49"/>
      <c r="CC125" s="49"/>
      <c r="CD125" s="49"/>
      <c r="CE125" s="49"/>
      <c r="CF125" s="49"/>
      <c r="CG125" s="49"/>
      <c r="CH125" s="49"/>
      <c r="CI125" s="49"/>
      <c r="CJ125" s="49"/>
      <c r="CK125" s="49"/>
      <c r="CL125" s="49"/>
      <c r="CM125" s="49"/>
      <c r="CN125" s="49"/>
      <c r="CO125" s="49"/>
    </row>
    <row r="126" spans="1:93" ht="18" thickBot="1" x14ac:dyDescent="0.4">
      <c r="A126" s="49"/>
      <c r="B126" s="74" t="s">
        <v>51</v>
      </c>
      <c r="C126" s="76">
        <v>0.25</v>
      </c>
      <c r="D126" s="49"/>
      <c r="E126" s="49"/>
      <c r="F126" s="49"/>
      <c r="G126" s="49"/>
      <c r="H126" s="49"/>
      <c r="I126" s="49"/>
      <c r="J126" s="49"/>
      <c r="K126" s="49"/>
      <c r="L126" s="49"/>
      <c r="M126" s="49"/>
      <c r="N126" s="49"/>
      <c r="O126" s="49"/>
      <c r="P126" s="49"/>
      <c r="Q126" s="49"/>
      <c r="R126" s="49"/>
      <c r="S126" s="49"/>
      <c r="T126" s="49"/>
      <c r="U126" s="49"/>
      <c r="V126" s="49"/>
      <c r="W126" s="49"/>
      <c r="X126" s="49"/>
      <c r="Y126" s="49"/>
      <c r="Z126" s="49"/>
      <c r="AA126" s="49"/>
      <c r="AB126" s="49"/>
      <c r="AC126" s="49"/>
      <c r="AD126" s="49"/>
      <c r="AE126" s="49"/>
      <c r="AF126" s="49"/>
      <c r="AG126" s="49"/>
      <c r="AH126" s="49"/>
      <c r="AI126" s="49"/>
      <c r="AJ126" s="49"/>
      <c r="AK126" s="49"/>
      <c r="AL126" s="49"/>
      <c r="AM126" s="49"/>
      <c r="AN126" s="49"/>
      <c r="AO126" s="49"/>
      <c r="AP126" s="49"/>
      <c r="AQ126" s="49"/>
      <c r="AR126" s="49"/>
      <c r="AS126" s="49"/>
      <c r="AT126" s="49"/>
      <c r="AU126" s="49"/>
      <c r="AV126" s="49"/>
      <c r="AW126" s="49"/>
      <c r="AX126" s="49"/>
      <c r="AY126" s="49"/>
      <c r="AZ126" s="49"/>
      <c r="BA126" s="49"/>
      <c r="BB126" s="49"/>
      <c r="BC126" s="49"/>
      <c r="BD126" s="49"/>
      <c r="BE126" s="49"/>
      <c r="BF126" s="49"/>
      <c r="BG126" s="49"/>
      <c r="BH126" s="49"/>
      <c r="BI126" s="49"/>
      <c r="BJ126" s="49"/>
      <c r="BK126" s="49"/>
      <c r="BL126" s="49"/>
      <c r="BM126" s="49"/>
      <c r="BN126" s="49"/>
      <c r="BO126" s="49"/>
      <c r="BP126" s="49"/>
      <c r="BQ126" s="49"/>
      <c r="BR126" s="49"/>
      <c r="BS126" s="49"/>
      <c r="BT126" s="49"/>
      <c r="BU126" s="49"/>
      <c r="BV126" s="49"/>
      <c r="BW126" s="49"/>
      <c r="BX126" s="49"/>
      <c r="BY126" s="49"/>
      <c r="BZ126" s="49"/>
      <c r="CA126" s="49"/>
      <c r="CB126" s="49"/>
      <c r="CC126" s="49"/>
      <c r="CD126" s="49"/>
      <c r="CE126" s="49"/>
      <c r="CF126" s="49"/>
      <c r="CG126" s="49"/>
      <c r="CH126" s="49"/>
      <c r="CI126" s="49"/>
      <c r="CJ126" s="49"/>
      <c r="CK126" s="49"/>
      <c r="CL126" s="49"/>
      <c r="CM126" s="49"/>
      <c r="CN126" s="49"/>
      <c r="CO126" s="49"/>
    </row>
    <row r="127" spans="1:93" ht="18.5" thickBot="1" x14ac:dyDescent="0.45">
      <c r="A127" s="49"/>
      <c r="B127" s="74" t="s">
        <v>52</v>
      </c>
      <c r="C127" s="77">
        <f>C22/C125*C126</f>
        <v>1.9179133103183736</v>
      </c>
      <c r="D127" s="49"/>
      <c r="E127" s="49"/>
      <c r="F127" s="49"/>
      <c r="G127" s="49"/>
      <c r="H127" s="49"/>
      <c r="I127" s="49"/>
      <c r="J127" s="49"/>
      <c r="K127" s="49"/>
      <c r="L127" s="49"/>
      <c r="M127" s="49"/>
      <c r="N127" s="49"/>
      <c r="O127" s="49"/>
      <c r="P127" s="49"/>
      <c r="Q127" s="49"/>
      <c r="R127" s="49"/>
      <c r="S127" s="49"/>
      <c r="T127" s="49"/>
      <c r="U127" s="49"/>
      <c r="V127" s="49"/>
      <c r="W127" s="49"/>
      <c r="X127" s="49"/>
      <c r="Y127" s="49"/>
      <c r="Z127" s="49"/>
      <c r="AA127" s="49"/>
      <c r="AB127" s="49"/>
      <c r="AC127" s="49"/>
      <c r="AD127" s="49"/>
      <c r="AE127" s="49"/>
      <c r="AF127" s="49"/>
      <c r="AG127" s="49"/>
      <c r="AH127" s="49"/>
      <c r="AI127" s="49"/>
      <c r="AJ127" s="49"/>
      <c r="AK127" s="49"/>
      <c r="AL127" s="49"/>
      <c r="AM127" s="49"/>
      <c r="AN127" s="49"/>
      <c r="AO127" s="49"/>
      <c r="AP127" s="49"/>
      <c r="AQ127" s="49"/>
      <c r="AR127" s="49"/>
      <c r="AS127" s="49"/>
      <c r="AT127" s="49"/>
      <c r="AU127" s="49"/>
      <c r="AV127" s="49"/>
      <c r="AW127" s="49"/>
      <c r="AX127" s="49"/>
      <c r="AY127" s="49"/>
      <c r="AZ127" s="49"/>
      <c r="BA127" s="49"/>
      <c r="BB127" s="49"/>
      <c r="BC127" s="49"/>
      <c r="BD127" s="49"/>
      <c r="BE127" s="49"/>
      <c r="BF127" s="49"/>
      <c r="BG127" s="49"/>
      <c r="BH127" s="49"/>
      <c r="BI127" s="49"/>
      <c r="BJ127" s="49"/>
      <c r="BK127" s="49"/>
      <c r="BL127" s="49"/>
      <c r="BM127" s="49"/>
      <c r="BN127" s="49"/>
      <c r="BO127" s="49"/>
      <c r="BP127" s="49"/>
      <c r="BQ127" s="49"/>
      <c r="BR127" s="49"/>
      <c r="BS127" s="49"/>
      <c r="BT127" s="49"/>
      <c r="BU127" s="49"/>
      <c r="BV127" s="49"/>
      <c r="BW127" s="49"/>
      <c r="BX127" s="49"/>
      <c r="BY127" s="49"/>
      <c r="BZ127" s="49"/>
      <c r="CA127" s="49"/>
      <c r="CB127" s="49"/>
      <c r="CC127" s="49"/>
      <c r="CD127" s="49"/>
      <c r="CE127" s="49"/>
      <c r="CF127" s="49"/>
      <c r="CG127" s="49"/>
      <c r="CH127" s="49"/>
      <c r="CI127" s="49"/>
      <c r="CJ127" s="49"/>
      <c r="CK127" s="49"/>
      <c r="CL127" s="49"/>
      <c r="CM127" s="49"/>
      <c r="CN127" s="49"/>
      <c r="CO127" s="49"/>
    </row>
    <row r="128" spans="1:93" ht="18" thickBot="1" x14ac:dyDescent="0.4">
      <c r="A128" s="49"/>
      <c r="B128" s="74" t="s">
        <v>53</v>
      </c>
      <c r="C128" s="78">
        <v>-1</v>
      </c>
      <c r="D128" s="49"/>
      <c r="E128" s="49"/>
      <c r="F128" s="49"/>
      <c r="G128" s="49"/>
      <c r="H128" s="49"/>
      <c r="I128" s="49"/>
      <c r="J128" s="49"/>
      <c r="K128" s="49"/>
      <c r="L128" s="49"/>
      <c r="M128" s="49"/>
      <c r="N128" s="49"/>
      <c r="O128" s="49"/>
      <c r="P128" s="49"/>
      <c r="Q128" s="49"/>
      <c r="R128" s="49"/>
      <c r="S128" s="49"/>
      <c r="T128" s="49"/>
      <c r="U128" s="49"/>
      <c r="V128" s="49"/>
      <c r="W128" s="49"/>
      <c r="X128" s="49"/>
      <c r="Y128" s="49"/>
      <c r="Z128" s="49"/>
      <c r="AA128" s="49"/>
      <c r="AB128" s="49"/>
      <c r="AC128" s="49"/>
      <c r="AD128" s="49"/>
      <c r="AE128" s="49"/>
      <c r="AF128" s="49"/>
      <c r="AG128" s="49"/>
      <c r="AH128" s="49"/>
      <c r="AI128" s="49"/>
      <c r="AJ128" s="49"/>
      <c r="AK128" s="49"/>
      <c r="AL128" s="49"/>
      <c r="AM128" s="49"/>
      <c r="AN128" s="49"/>
      <c r="AO128" s="49"/>
      <c r="AP128" s="49"/>
      <c r="AQ128" s="49"/>
      <c r="AR128" s="49"/>
      <c r="AS128" s="49"/>
      <c r="AT128" s="49"/>
      <c r="AU128" s="49"/>
      <c r="AV128" s="49"/>
      <c r="AW128" s="49"/>
      <c r="AX128" s="49"/>
      <c r="AY128" s="49"/>
      <c r="AZ128" s="49"/>
      <c r="BA128" s="49"/>
      <c r="BB128" s="49"/>
      <c r="BC128" s="49"/>
      <c r="BD128" s="49"/>
      <c r="BE128" s="49"/>
      <c r="BF128" s="49"/>
      <c r="BG128" s="49"/>
      <c r="BH128" s="49"/>
      <c r="BI128" s="49"/>
      <c r="BJ128" s="49"/>
      <c r="BK128" s="49"/>
      <c r="BL128" s="49"/>
      <c r="BM128" s="49"/>
      <c r="BN128" s="49"/>
      <c r="BO128" s="49"/>
      <c r="BP128" s="49"/>
      <c r="BQ128" s="49"/>
      <c r="BR128" s="49"/>
      <c r="BS128" s="49"/>
      <c r="BT128" s="49"/>
      <c r="BU128" s="49"/>
      <c r="BV128" s="49"/>
      <c r="BW128" s="49"/>
      <c r="BX128" s="49"/>
      <c r="BY128" s="49"/>
      <c r="BZ128" s="49"/>
      <c r="CA128" s="49"/>
      <c r="CB128" s="49"/>
      <c r="CC128" s="49"/>
      <c r="CD128" s="49"/>
      <c r="CE128" s="49"/>
      <c r="CF128" s="49"/>
      <c r="CG128" s="49"/>
      <c r="CH128" s="49"/>
      <c r="CI128" s="49"/>
      <c r="CJ128" s="49"/>
      <c r="CK128" s="49"/>
      <c r="CL128" s="49"/>
      <c r="CM128" s="49"/>
      <c r="CN128" s="49"/>
      <c r="CO128" s="49"/>
    </row>
    <row r="129" spans="1:94" x14ac:dyDescent="0.35">
      <c r="A129" s="49"/>
      <c r="B129" s="50"/>
      <c r="C129" s="49"/>
      <c r="D129" s="49"/>
      <c r="E129" s="49"/>
      <c r="F129" s="49"/>
      <c r="G129" s="49"/>
      <c r="H129" s="49"/>
      <c r="I129" s="49"/>
      <c r="J129" s="49"/>
      <c r="K129" s="49"/>
      <c r="L129" s="49"/>
      <c r="M129" s="49"/>
      <c r="N129" s="49"/>
      <c r="O129" s="49"/>
      <c r="P129" s="49"/>
      <c r="Q129" s="49"/>
      <c r="R129" s="49"/>
      <c r="S129" s="49"/>
      <c r="T129" s="49"/>
      <c r="U129" s="49"/>
      <c r="V129" s="49"/>
      <c r="W129" s="49"/>
      <c r="X129" s="49"/>
      <c r="Y129" s="49"/>
      <c r="Z129" s="49"/>
      <c r="AA129" s="49"/>
      <c r="AB129" s="49"/>
      <c r="AC129" s="49"/>
      <c r="AD129" s="49"/>
      <c r="AE129" s="49"/>
      <c r="AF129" s="49"/>
      <c r="AG129" s="49"/>
      <c r="AH129" s="49"/>
      <c r="AI129" s="49"/>
      <c r="AJ129" s="49"/>
      <c r="AK129" s="49"/>
      <c r="AL129" s="49"/>
      <c r="AM129" s="49"/>
      <c r="AN129" s="49"/>
      <c r="AO129" s="49"/>
      <c r="AP129" s="49"/>
      <c r="AQ129" s="49"/>
      <c r="AR129" s="49"/>
      <c r="AS129" s="49"/>
      <c r="AT129" s="49"/>
      <c r="AU129" s="49"/>
      <c r="AV129" s="49"/>
      <c r="AW129" s="49"/>
      <c r="AX129" s="49"/>
      <c r="AY129" s="49"/>
      <c r="AZ129" s="49"/>
      <c r="BA129" s="49"/>
      <c r="BB129" s="49"/>
      <c r="BC129" s="49"/>
      <c r="BD129" s="49"/>
      <c r="BE129" s="49"/>
      <c r="BF129" s="49"/>
      <c r="BG129" s="49"/>
      <c r="BH129" s="49"/>
      <c r="BI129" s="49"/>
      <c r="BJ129" s="49"/>
      <c r="BK129" s="49"/>
      <c r="BL129" s="49"/>
      <c r="BM129" s="49"/>
      <c r="BN129" s="49"/>
      <c r="BO129" s="49"/>
      <c r="BP129" s="49"/>
      <c r="BQ129" s="49"/>
      <c r="BR129" s="49"/>
      <c r="BS129" s="49"/>
      <c r="BT129" s="49"/>
      <c r="BU129" s="49"/>
      <c r="BV129" s="49"/>
      <c r="BW129" s="49"/>
      <c r="BX129" s="49"/>
      <c r="BY129" s="49"/>
      <c r="BZ129" s="49"/>
      <c r="CA129" s="49"/>
      <c r="CB129" s="49"/>
      <c r="CC129" s="49"/>
      <c r="CD129" s="49"/>
      <c r="CE129" s="49"/>
      <c r="CF129" s="49"/>
      <c r="CG129" s="49"/>
      <c r="CH129" s="49"/>
      <c r="CI129" s="49"/>
      <c r="CJ129" s="49"/>
      <c r="CK129" s="49"/>
      <c r="CL129" s="49"/>
      <c r="CM129" s="49"/>
      <c r="CN129" s="49"/>
      <c r="CO129" s="49"/>
    </row>
    <row r="130" spans="1:94" ht="18" x14ac:dyDescent="0.4">
      <c r="A130" s="49"/>
      <c r="B130" s="61" t="s">
        <v>54</v>
      </c>
      <c r="C130" s="49"/>
      <c r="D130" s="49"/>
      <c r="E130" s="49"/>
      <c r="F130" s="49"/>
      <c r="G130" s="49"/>
      <c r="H130" s="49"/>
      <c r="I130" s="49"/>
      <c r="J130" s="49"/>
      <c r="K130" s="49"/>
      <c r="L130" s="49"/>
      <c r="M130" s="49"/>
      <c r="N130" s="49"/>
      <c r="O130" s="49"/>
      <c r="P130" s="49"/>
      <c r="Q130" s="49"/>
      <c r="R130" s="49"/>
      <c r="S130" s="49"/>
      <c r="T130" s="49"/>
      <c r="U130" s="49"/>
      <c r="V130" s="49"/>
      <c r="W130" s="49"/>
      <c r="X130" s="49"/>
      <c r="Y130" s="49"/>
      <c r="Z130" s="49"/>
      <c r="AA130" s="49"/>
      <c r="AB130" s="49"/>
      <c r="AC130" s="49"/>
      <c r="AD130" s="49"/>
      <c r="AE130" s="49"/>
      <c r="AF130" s="49"/>
      <c r="AG130" s="49"/>
      <c r="AH130" s="49"/>
      <c r="AI130" s="49"/>
      <c r="AJ130" s="49"/>
      <c r="AK130" s="49"/>
      <c r="AL130" s="49"/>
      <c r="AM130" s="49"/>
      <c r="AN130" s="49"/>
      <c r="AO130" s="49"/>
      <c r="AP130" s="49"/>
      <c r="AQ130" s="49"/>
      <c r="AR130" s="49"/>
      <c r="AS130" s="49"/>
      <c r="AT130" s="49"/>
      <c r="AU130" s="49"/>
      <c r="AV130" s="49"/>
      <c r="AW130" s="49"/>
      <c r="AX130" s="49"/>
      <c r="AY130" s="49"/>
      <c r="AZ130" s="49"/>
      <c r="BA130" s="49"/>
      <c r="BB130" s="49"/>
      <c r="BC130" s="49"/>
      <c r="BD130" s="49"/>
      <c r="BE130" s="49"/>
      <c r="BF130" s="49"/>
      <c r="BG130" s="49"/>
      <c r="BH130" s="49"/>
      <c r="BI130" s="49"/>
      <c r="BJ130" s="49"/>
      <c r="BK130" s="49"/>
      <c r="BL130" s="49"/>
      <c r="BM130" s="49"/>
      <c r="BN130" s="49"/>
      <c r="BO130" s="49"/>
      <c r="BP130" s="49"/>
      <c r="BQ130" s="49"/>
      <c r="BR130" s="49"/>
      <c r="BS130" s="49"/>
      <c r="BT130" s="49"/>
      <c r="BU130" s="49"/>
      <c r="BV130" s="49"/>
      <c r="BW130" s="49"/>
      <c r="BX130" s="49"/>
      <c r="BY130" s="49"/>
      <c r="BZ130" s="49"/>
      <c r="CA130" s="49"/>
      <c r="CB130" s="49"/>
      <c r="CC130" s="49"/>
      <c r="CD130" s="49"/>
      <c r="CE130" s="49"/>
      <c r="CF130" s="49"/>
      <c r="CG130" s="49"/>
      <c r="CH130" s="49"/>
      <c r="CI130" s="49"/>
      <c r="CJ130" s="49"/>
      <c r="CK130" s="49"/>
      <c r="CL130" s="49"/>
      <c r="CM130" s="49"/>
      <c r="CN130" s="49"/>
      <c r="CO130" s="49"/>
    </row>
    <row r="131" spans="1:94" ht="18" x14ac:dyDescent="0.4">
      <c r="A131" s="49"/>
      <c r="B131" s="66" t="s">
        <v>43</v>
      </c>
      <c r="C131" s="67">
        <v>0</v>
      </c>
      <c r="D131" s="67">
        <v>1</v>
      </c>
      <c r="E131" s="67">
        <v>2</v>
      </c>
      <c r="F131" s="67">
        <v>3</v>
      </c>
      <c r="G131" s="67">
        <v>4</v>
      </c>
      <c r="H131" s="67">
        <v>5</v>
      </c>
      <c r="I131" s="67">
        <v>6</v>
      </c>
      <c r="J131" s="67">
        <v>7</v>
      </c>
      <c r="K131" s="67">
        <v>8</v>
      </c>
      <c r="L131" s="67">
        <v>9</v>
      </c>
      <c r="M131" s="67">
        <v>10</v>
      </c>
      <c r="N131" s="67">
        <v>11</v>
      </c>
      <c r="O131" s="67">
        <v>12</v>
      </c>
      <c r="P131" s="67">
        <v>13</v>
      </c>
      <c r="Q131" s="67">
        <v>14</v>
      </c>
      <c r="R131" s="67">
        <v>15</v>
      </c>
      <c r="S131" s="67">
        <v>16</v>
      </c>
      <c r="T131" s="67">
        <v>17</v>
      </c>
      <c r="U131" s="67">
        <v>18</v>
      </c>
      <c r="V131" s="67">
        <v>19</v>
      </c>
      <c r="W131" s="67">
        <v>20</v>
      </c>
      <c r="X131" s="67">
        <v>21</v>
      </c>
      <c r="Y131" s="67">
        <v>22</v>
      </c>
      <c r="Z131" s="67">
        <v>23</v>
      </c>
      <c r="AA131" s="67">
        <v>24</v>
      </c>
      <c r="AB131" s="67">
        <v>25</v>
      </c>
      <c r="AC131" s="67">
        <v>26</v>
      </c>
      <c r="AD131" s="67">
        <v>27</v>
      </c>
      <c r="AE131" s="67">
        <v>28</v>
      </c>
      <c r="AF131" s="67">
        <v>29</v>
      </c>
      <c r="AG131" s="67">
        <v>30</v>
      </c>
      <c r="AH131" s="67">
        <v>31</v>
      </c>
      <c r="AI131" s="67">
        <v>32</v>
      </c>
      <c r="AJ131" s="67">
        <v>33</v>
      </c>
      <c r="AK131" s="67">
        <v>34</v>
      </c>
      <c r="AL131" s="67">
        <v>35</v>
      </c>
      <c r="AM131" s="67">
        <v>36</v>
      </c>
      <c r="AN131" s="67">
        <v>37</v>
      </c>
      <c r="AO131" s="67">
        <v>38</v>
      </c>
      <c r="AP131" s="67">
        <v>39</v>
      </c>
      <c r="AQ131" s="67">
        <v>40</v>
      </c>
      <c r="AR131" s="67">
        <v>41</v>
      </c>
      <c r="AS131" s="67">
        <v>42</v>
      </c>
      <c r="AT131" s="67">
        <v>43</v>
      </c>
      <c r="AU131" s="67">
        <v>44</v>
      </c>
      <c r="AV131" s="67">
        <v>45</v>
      </c>
      <c r="AW131" s="67">
        <v>46</v>
      </c>
      <c r="AX131" s="67">
        <v>47</v>
      </c>
      <c r="AY131" s="67">
        <v>48</v>
      </c>
      <c r="AZ131" s="67">
        <v>49</v>
      </c>
      <c r="BA131" s="67">
        <v>50</v>
      </c>
      <c r="BB131" s="67">
        <v>51</v>
      </c>
      <c r="BC131" s="67">
        <v>52</v>
      </c>
      <c r="BD131" s="67">
        <v>53</v>
      </c>
      <c r="BE131" s="67">
        <v>54</v>
      </c>
      <c r="BF131" s="67">
        <v>55</v>
      </c>
      <c r="BG131" s="67">
        <v>56</v>
      </c>
      <c r="BH131" s="67">
        <v>57</v>
      </c>
      <c r="BI131" s="67">
        <v>58</v>
      </c>
      <c r="BJ131" s="67">
        <v>59</v>
      </c>
      <c r="BK131" s="67">
        <v>60</v>
      </c>
      <c r="BL131" s="67">
        <v>61</v>
      </c>
      <c r="BM131" s="67">
        <v>62</v>
      </c>
      <c r="BN131" s="67">
        <v>63</v>
      </c>
      <c r="BO131" s="67">
        <v>64</v>
      </c>
      <c r="BP131" s="67">
        <v>65</v>
      </c>
      <c r="BQ131" s="67">
        <v>66</v>
      </c>
      <c r="BR131" s="67">
        <v>67</v>
      </c>
      <c r="BS131" s="67">
        <v>68</v>
      </c>
      <c r="BT131" s="67">
        <v>69</v>
      </c>
      <c r="BU131" s="67">
        <v>70</v>
      </c>
      <c r="BV131" s="67">
        <v>71</v>
      </c>
      <c r="BW131" s="67">
        <v>72</v>
      </c>
      <c r="BX131" s="67">
        <v>73</v>
      </c>
      <c r="BY131" s="67">
        <v>74</v>
      </c>
      <c r="BZ131" s="67">
        <v>75</v>
      </c>
      <c r="CA131" s="67">
        <v>76</v>
      </c>
      <c r="CB131" s="67">
        <v>77</v>
      </c>
      <c r="CC131" s="67">
        <v>78</v>
      </c>
      <c r="CD131" s="67">
        <v>79</v>
      </c>
      <c r="CE131" s="67">
        <v>80</v>
      </c>
      <c r="CF131" s="67">
        <v>81</v>
      </c>
      <c r="CG131" s="67">
        <v>82</v>
      </c>
      <c r="CH131" s="67">
        <v>83</v>
      </c>
      <c r="CI131" s="67">
        <v>84</v>
      </c>
      <c r="CJ131" s="67">
        <v>85</v>
      </c>
      <c r="CK131" s="67">
        <v>86</v>
      </c>
      <c r="CL131" s="67">
        <v>87</v>
      </c>
      <c r="CM131" s="67">
        <v>88</v>
      </c>
      <c r="CN131" s="67">
        <v>89</v>
      </c>
      <c r="CO131" s="67">
        <v>90</v>
      </c>
    </row>
    <row r="132" spans="1:94" ht="18" x14ac:dyDescent="0.4">
      <c r="A132" s="49"/>
      <c r="B132" s="62" t="s">
        <v>55</v>
      </c>
      <c r="C132" s="79">
        <f>C95</f>
        <v>1.3082595639787749</v>
      </c>
      <c r="D132" s="79">
        <f t="shared" ref="D132:BO132" si="39">D95</f>
        <v>1.30911008866031</v>
      </c>
      <c r="E132" s="79">
        <f t="shared" si="39"/>
        <v>1.3236090953866577</v>
      </c>
      <c r="F132" s="79">
        <f t="shared" si="39"/>
        <v>1.3258638591595706</v>
      </c>
      <c r="G132" s="79">
        <f t="shared" si="39"/>
        <v>1.3241044749852608</v>
      </c>
      <c r="H132" s="79">
        <f t="shared" si="39"/>
        <v>1.3254559169767348</v>
      </c>
      <c r="I132" s="79">
        <f t="shared" si="39"/>
        <v>1.3151677018666577</v>
      </c>
      <c r="J132" s="79">
        <f t="shared" si="39"/>
        <v>1.3242453143729913</v>
      </c>
      <c r="K132" s="79">
        <f t="shared" si="39"/>
        <v>1.3312151985994001</v>
      </c>
      <c r="L132" s="79">
        <f t="shared" si="39"/>
        <v>1.3298572285862948</v>
      </c>
      <c r="M132" s="79">
        <f t="shared" si="39"/>
        <v>1.333314944627775</v>
      </c>
      <c r="N132" s="79">
        <f t="shared" si="39"/>
        <v>1.3284457615532406</v>
      </c>
      <c r="O132" s="79">
        <f t="shared" si="39"/>
        <v>1.3380225510389478</v>
      </c>
      <c r="P132" s="79">
        <f t="shared" si="39"/>
        <v>1.3115863605400178</v>
      </c>
      <c r="Q132" s="79">
        <f t="shared" si="39"/>
        <v>1.3190565634371365</v>
      </c>
      <c r="R132" s="79">
        <f t="shared" si="39"/>
        <v>1.3054622240601474</v>
      </c>
      <c r="S132" s="79">
        <f t="shared" si="39"/>
        <v>1.312430553485896</v>
      </c>
      <c r="T132" s="79">
        <f t="shared" si="39"/>
        <v>1.320902757508821</v>
      </c>
      <c r="U132" s="79">
        <f t="shared" si="39"/>
        <v>1.3216517634008291</v>
      </c>
      <c r="V132" s="79">
        <f t="shared" si="39"/>
        <v>1.3217989714671801</v>
      </c>
      <c r="W132" s="79">
        <f t="shared" si="39"/>
        <v>1.323951843477668</v>
      </c>
      <c r="X132" s="79">
        <f t="shared" si="39"/>
        <v>1.3300154590146342</v>
      </c>
      <c r="Y132" s="79">
        <f t="shared" si="39"/>
        <v>1.334574435463765</v>
      </c>
      <c r="Z132" s="79">
        <f t="shared" si="39"/>
        <v>1.328805015931495</v>
      </c>
      <c r="AA132" s="79">
        <f t="shared" si="39"/>
        <v>1.3132097921162522</v>
      </c>
      <c r="AB132" s="79">
        <f t="shared" si="39"/>
        <v>1.3087451171844413</v>
      </c>
      <c r="AC132" s="79">
        <f t="shared" si="39"/>
        <v>1.3076896311814932</v>
      </c>
      <c r="AD132" s="79">
        <f t="shared" si="39"/>
        <v>1.3083385717418314</v>
      </c>
      <c r="AE132" s="79">
        <f t="shared" si="39"/>
        <v>1.3094887108835789</v>
      </c>
      <c r="AF132" s="79">
        <f t="shared" si="39"/>
        <v>1.2956015905258358</v>
      </c>
      <c r="AG132" s="79">
        <f t="shared" si="39"/>
        <v>1.292040683345004</v>
      </c>
      <c r="AH132" s="79">
        <f t="shared" si="39"/>
        <v>1.2833678357967129</v>
      </c>
      <c r="AI132" s="79">
        <f t="shared" si="39"/>
        <v>1.2876260698003605</v>
      </c>
      <c r="AJ132" s="79">
        <f t="shared" si="39"/>
        <v>1.2921846462174131</v>
      </c>
      <c r="AK132" s="79">
        <f t="shared" si="39"/>
        <v>1.2884239671751321</v>
      </c>
      <c r="AL132" s="79">
        <f t="shared" si="39"/>
        <v>1.2972917334369922</v>
      </c>
      <c r="AM132" s="79">
        <f t="shared" si="39"/>
        <v>1.2980410072183013</v>
      </c>
      <c r="AN132" s="79">
        <f t="shared" si="39"/>
        <v>1.2959841843389557</v>
      </c>
      <c r="AO132" s="79">
        <f t="shared" si="39"/>
        <v>1.297234491002343</v>
      </c>
      <c r="AP132" s="79">
        <f t="shared" si="39"/>
        <v>1.3064010562093478</v>
      </c>
      <c r="AQ132" s="79">
        <f t="shared" si="39"/>
        <v>1.310556715227968</v>
      </c>
      <c r="AR132" s="79">
        <f t="shared" si="39"/>
        <v>1.3135096411118541</v>
      </c>
      <c r="AS132" s="79">
        <f t="shared" si="39"/>
        <v>1.3141578346660561</v>
      </c>
      <c r="AT132" s="79">
        <f t="shared" si="39"/>
        <v>1.30909508311675</v>
      </c>
      <c r="AU132" s="79">
        <f t="shared" si="39"/>
        <v>1.3187602084242449</v>
      </c>
      <c r="AV132" s="79">
        <f t="shared" si="39"/>
        <v>1.3220128409336274</v>
      </c>
      <c r="AW132" s="79">
        <f t="shared" si="39"/>
        <v>1.3089360594199155</v>
      </c>
      <c r="AX132" s="79">
        <f t="shared" si="39"/>
        <v>1.3091835685468742</v>
      </c>
      <c r="AY132" s="79">
        <f t="shared" si="39"/>
        <v>1.2976109102171862</v>
      </c>
      <c r="AZ132" s="79">
        <f t="shared" si="39"/>
        <v>1.2913480122914911</v>
      </c>
      <c r="BA132" s="79">
        <f t="shared" si="39"/>
        <v>1.2892924414598448</v>
      </c>
      <c r="BB132" s="79">
        <f t="shared" si="39"/>
        <v>1.3006582683018517</v>
      </c>
      <c r="BC132" s="79">
        <f t="shared" si="39"/>
        <v>1.2904899615555783</v>
      </c>
      <c r="BD132" s="79">
        <f t="shared" si="39"/>
        <v>1.2880340505283061</v>
      </c>
      <c r="BE132" s="79">
        <f t="shared" si="39"/>
        <v>1.2882822814988526</v>
      </c>
      <c r="BF132" s="79">
        <f t="shared" si="39"/>
        <v>1.2862272125548986</v>
      </c>
      <c r="BG132" s="79">
        <f t="shared" si="39"/>
        <v>1.2764616609222617</v>
      </c>
      <c r="BH132" s="79">
        <f t="shared" si="39"/>
        <v>1.2806155391529579</v>
      </c>
      <c r="BI132" s="79">
        <f t="shared" si="39"/>
        <v>1.2733542435352274</v>
      </c>
      <c r="BJ132" s="79">
        <f t="shared" si="39"/>
        <v>1.2793101638616062</v>
      </c>
      <c r="BK132" s="79">
        <f t="shared" si="39"/>
        <v>1.2738516899915833</v>
      </c>
      <c r="BL132" s="79">
        <f t="shared" si="39"/>
        <v>1.264288817411547</v>
      </c>
      <c r="BM132" s="79">
        <f t="shared" si="39"/>
        <v>1.2621351369418303</v>
      </c>
      <c r="BN132" s="79">
        <f t="shared" si="39"/>
        <v>1.2753985288949581</v>
      </c>
      <c r="BO132" s="79">
        <f t="shared" si="39"/>
        <v>1.2767482570650162</v>
      </c>
      <c r="BP132" s="79">
        <f t="shared" ref="BP132:CO132" si="40">BP95</f>
        <v>1.271190854131121</v>
      </c>
      <c r="BQ132" s="79">
        <f t="shared" si="40"/>
        <v>1.2656338945883314</v>
      </c>
      <c r="BR132" s="79">
        <f t="shared" si="40"/>
        <v>1.2644814935545892</v>
      </c>
      <c r="BS132" s="79">
        <f t="shared" si="40"/>
        <v>1.2686339198760213</v>
      </c>
      <c r="BT132" s="79">
        <f t="shared" si="40"/>
        <v>1.2716850620138196</v>
      </c>
      <c r="BU132" s="79">
        <f t="shared" si="40"/>
        <v>1.2655284659999699</v>
      </c>
      <c r="BV132" s="79">
        <f t="shared" si="40"/>
        <v>1.2665779257295051</v>
      </c>
      <c r="BW132" s="79">
        <f t="shared" si="40"/>
        <v>1.2619231198584462</v>
      </c>
      <c r="BX132" s="79">
        <f t="shared" si="40"/>
        <v>1.2647738700081061</v>
      </c>
      <c r="BY132" s="79">
        <f t="shared" si="40"/>
        <v>1.2632215175866939</v>
      </c>
      <c r="BZ132" s="79">
        <f t="shared" si="40"/>
        <v>1.2590676973653798</v>
      </c>
      <c r="CA132" s="79">
        <f t="shared" si="40"/>
        <v>1.2650199585052266</v>
      </c>
      <c r="CB132" s="79">
        <f t="shared" si="40"/>
        <v>1.2635678152120091</v>
      </c>
      <c r="CC132" s="79">
        <f t="shared" si="40"/>
        <v>1.2493095341592868</v>
      </c>
      <c r="CD132" s="79">
        <f t="shared" si="40"/>
        <v>1.2566620698529258</v>
      </c>
      <c r="CE132" s="79">
        <f t="shared" si="40"/>
        <v>1.2731177022002824</v>
      </c>
      <c r="CF132" s="79">
        <f t="shared" si="40"/>
        <v>1.2785679615137289</v>
      </c>
      <c r="CG132" s="79">
        <f t="shared" si="40"/>
        <v>1.2738144501744972</v>
      </c>
      <c r="CH132" s="79">
        <f t="shared" si="40"/>
        <v>1.2722622289888901</v>
      </c>
      <c r="CI132" s="79">
        <f t="shared" si="40"/>
        <v>1.2728106389718488</v>
      </c>
      <c r="CJ132" s="79">
        <f t="shared" si="40"/>
        <v>1.2751593628245439</v>
      </c>
      <c r="CK132" s="79">
        <f t="shared" si="40"/>
        <v>1.2793081808586151</v>
      </c>
      <c r="CL132" s="79">
        <f t="shared" si="40"/>
        <v>1.2826565559715224</v>
      </c>
      <c r="CM132" s="79">
        <f t="shared" si="40"/>
        <v>1.2748037393912046</v>
      </c>
      <c r="CN132" s="79">
        <f t="shared" si="40"/>
        <v>1.2827521969964406</v>
      </c>
      <c r="CO132" s="79">
        <f t="shared" si="40"/>
        <v>1.2834000000000001</v>
      </c>
    </row>
    <row r="133" spans="1:94" ht="18" x14ac:dyDescent="0.4">
      <c r="A133" s="49"/>
      <c r="B133" s="62" t="s">
        <v>60</v>
      </c>
      <c r="C133" s="80">
        <f>$C$128*$C$127*(C132-$C$132)*$C$125</f>
        <v>0</v>
      </c>
      <c r="D133" s="80">
        <f t="shared" ref="D133:BO133" si="41">$C$128*$C$127*(D132-$C$132)*$C$125</f>
        <v>-815.61630373525634</v>
      </c>
      <c r="E133" s="80">
        <f t="shared" si="41"/>
        <v>-14719.535297164237</v>
      </c>
      <c r="F133" s="80">
        <f t="shared" si="41"/>
        <v>-16881.756023010894</v>
      </c>
      <c r="G133" s="80">
        <f t="shared" si="41"/>
        <v>-15194.582860074794</v>
      </c>
      <c r="H133" s="80">
        <f t="shared" si="41"/>
        <v>-16490.557151860339</v>
      </c>
      <c r="I133" s="80">
        <f t="shared" si="41"/>
        <v>-6624.6048023425428</v>
      </c>
      <c r="J133" s="80">
        <f t="shared" si="41"/>
        <v>-15329.641728247467</v>
      </c>
      <c r="K133" s="80">
        <f t="shared" si="41"/>
        <v>-22013.458592851191</v>
      </c>
      <c r="L133" s="80">
        <f t="shared" si="41"/>
        <v>-20711.224211277327</v>
      </c>
      <c r="M133" s="80">
        <f t="shared" si="41"/>
        <v>-24027.024020905395</v>
      </c>
      <c r="N133" s="80">
        <f t="shared" si="41"/>
        <v>-19357.688506392133</v>
      </c>
      <c r="O133" s="80">
        <f t="shared" si="41"/>
        <v>-28541.414518769656</v>
      </c>
      <c r="P133" s="80">
        <f t="shared" si="41"/>
        <v>-3190.2537027645822</v>
      </c>
      <c r="Q133" s="80">
        <f t="shared" si="41"/>
        <v>-10353.854486346047</v>
      </c>
      <c r="R133" s="80">
        <f t="shared" si="41"/>
        <v>2682.5277317102095</v>
      </c>
      <c r="S133" s="80">
        <f t="shared" si="41"/>
        <v>-3999.7981464529503</v>
      </c>
      <c r="T133" s="80">
        <f t="shared" si="41"/>
        <v>-12124.274578103348</v>
      </c>
      <c r="U133" s="80">
        <f t="shared" si="41"/>
        <v>-12842.538762997961</v>
      </c>
      <c r="V133" s="80">
        <f t="shared" si="41"/>
        <v>-12983.704917918307</v>
      </c>
      <c r="W133" s="80">
        <f t="shared" si="41"/>
        <v>-15048.215860081686</v>
      </c>
      <c r="X133" s="80">
        <f t="shared" si="41"/>
        <v>-20862.960333582083</v>
      </c>
      <c r="Y133" s="80">
        <f t="shared" si="41"/>
        <v>-25234.82114018999</v>
      </c>
      <c r="Z133" s="80">
        <f t="shared" si="41"/>
        <v>-19702.197883314318</v>
      </c>
      <c r="AA133" s="80">
        <f t="shared" si="41"/>
        <v>-4747.0542169901846</v>
      </c>
      <c r="AB133" s="80">
        <f t="shared" si="41"/>
        <v>-465.62447800772514</v>
      </c>
      <c r="AC133" s="80">
        <f t="shared" si="41"/>
        <v>546.54084894675896</v>
      </c>
      <c r="AD133" s="80">
        <f t="shared" si="41"/>
        <v>-75.765020192349624</v>
      </c>
      <c r="AE133" s="80">
        <f t="shared" si="41"/>
        <v>-1178.6986045301339</v>
      </c>
      <c r="AF133" s="80">
        <f t="shared" si="41"/>
        <v>12138.447883524228</v>
      </c>
      <c r="AG133" s="80">
        <f t="shared" si="41"/>
        <v>15553.203522987016</v>
      </c>
      <c r="AH133" s="80">
        <f t="shared" si="41"/>
        <v>23870.08839860182</v>
      </c>
      <c r="AI133" s="80">
        <f t="shared" si="41"/>
        <v>19786.626561578745</v>
      </c>
      <c r="AJ133" s="80">
        <f t="shared" si="41"/>
        <v>15415.149368394435</v>
      </c>
      <c r="AK133" s="80">
        <f t="shared" si="41"/>
        <v>19021.477563907534</v>
      </c>
      <c r="AL133" s="80">
        <f t="shared" si="41"/>
        <v>10517.674090700642</v>
      </c>
      <c r="AM133" s="80">
        <f t="shared" si="41"/>
        <v>9799.1530115780224</v>
      </c>
      <c r="AN133" s="80">
        <f t="shared" si="41"/>
        <v>11771.557000210178</v>
      </c>
      <c r="AO133" s="80">
        <f t="shared" si="41"/>
        <v>10572.567104365027</v>
      </c>
      <c r="AP133" s="80">
        <f t="shared" si="41"/>
        <v>1782.2283941571602</v>
      </c>
      <c r="AQ133" s="80">
        <f t="shared" si="41"/>
        <v>-2202.8684783210238</v>
      </c>
      <c r="AR133" s="80">
        <f t="shared" si="41"/>
        <v>-5034.5964068653948</v>
      </c>
      <c r="AS133" s="80">
        <f t="shared" si="41"/>
        <v>-5656.1859294986716</v>
      </c>
      <c r="AT133" s="80">
        <f t="shared" si="41"/>
        <v>-801.22663787417878</v>
      </c>
      <c r="AU133" s="80">
        <f t="shared" si="41"/>
        <v>-10069.662874443857</v>
      </c>
      <c r="AV133" s="80">
        <f t="shared" si="41"/>
        <v>-13188.796466103291</v>
      </c>
      <c r="AW133" s="80">
        <f t="shared" si="41"/>
        <v>-648.72980546670374</v>
      </c>
      <c r="AX133" s="80">
        <f t="shared" si="41"/>
        <v>-886.08032997638963</v>
      </c>
      <c r="AY133" s="80">
        <f t="shared" si="41"/>
        <v>10211.59739316133</v>
      </c>
      <c r="AZ133" s="80">
        <f t="shared" si="41"/>
        <v>16217.445039589333</v>
      </c>
      <c r="BA133" s="80">
        <f t="shared" si="41"/>
        <v>18188.648368747668</v>
      </c>
      <c r="BB133" s="80">
        <f t="shared" si="41"/>
        <v>7289.3130772181976</v>
      </c>
      <c r="BC133" s="80">
        <f t="shared" si="41"/>
        <v>17040.278503257177</v>
      </c>
      <c r="BD133" s="80">
        <f t="shared" si="41"/>
        <v>19395.390727338654</v>
      </c>
      <c r="BE133" s="80">
        <f t="shared" si="41"/>
        <v>19157.347986116467</v>
      </c>
      <c r="BF133" s="80">
        <f t="shared" si="41"/>
        <v>21128.070026732141</v>
      </c>
      <c r="BG133" s="80">
        <f t="shared" si="41"/>
        <v>30492.810756149982</v>
      </c>
      <c r="BH133" s="80">
        <f t="shared" si="41"/>
        <v>26509.421582102954</v>
      </c>
      <c r="BI133" s="80">
        <f t="shared" si="41"/>
        <v>33472.689339803837</v>
      </c>
      <c r="BJ133" s="80">
        <f t="shared" si="41"/>
        <v>27761.219905224993</v>
      </c>
      <c r="BK133" s="80">
        <f t="shared" si="41"/>
        <v>32995.65974989604</v>
      </c>
      <c r="BL133" s="80">
        <f t="shared" si="41"/>
        <v>42166.040052961143</v>
      </c>
      <c r="BM133" s="80">
        <f t="shared" si="41"/>
        <v>44231.326272482285</v>
      </c>
      <c r="BN133" s="80">
        <f t="shared" si="41"/>
        <v>31512.308289045617</v>
      </c>
      <c r="BO133" s="80">
        <f t="shared" si="41"/>
        <v>30217.9774777126</v>
      </c>
      <c r="BP133" s="80">
        <f t="shared" ref="BP133:CO133" si="42">$C$128*$C$127*(BP132-$C$132)*$C$125</f>
        <v>35547.286006572569</v>
      </c>
      <c r="BQ133" s="80">
        <f t="shared" si="42"/>
        <v>40876.169342580964</v>
      </c>
      <c r="BR133" s="80">
        <f t="shared" si="42"/>
        <v>41981.27198330043</v>
      </c>
      <c r="BS133" s="80">
        <f t="shared" si="42"/>
        <v>37999.275127304951</v>
      </c>
      <c r="BT133" s="80">
        <f t="shared" si="42"/>
        <v>35073.362068426606</v>
      </c>
      <c r="BU133" s="80">
        <f t="shared" si="42"/>
        <v>40977.270789034257</v>
      </c>
      <c r="BV133" s="80">
        <f t="shared" si="42"/>
        <v>39970.884397074937</v>
      </c>
      <c r="BW133" s="80">
        <f t="shared" si="42"/>
        <v>44434.641465600951</v>
      </c>
      <c r="BX133" s="80">
        <f t="shared" si="42"/>
        <v>41700.895637388479</v>
      </c>
      <c r="BY133" s="80">
        <f t="shared" si="42"/>
        <v>43189.534323054257</v>
      </c>
      <c r="BZ133" s="80">
        <f t="shared" si="42"/>
        <v>47172.867868618174</v>
      </c>
      <c r="CA133" s="80">
        <f t="shared" si="42"/>
        <v>41464.907435316658</v>
      </c>
      <c r="CB133" s="80">
        <f t="shared" si="42"/>
        <v>42857.449910592382</v>
      </c>
      <c r="CC133" s="80">
        <f t="shared" si="42"/>
        <v>56530.523417230579</v>
      </c>
      <c r="CD133" s="80">
        <f t="shared" si="42"/>
        <v>49479.760381519969</v>
      </c>
      <c r="CE133" s="80">
        <f t="shared" si="42"/>
        <v>33699.522227169575</v>
      </c>
      <c r="CF133" s="80">
        <f t="shared" si="42"/>
        <v>28472.959786196763</v>
      </c>
      <c r="CG133" s="80">
        <f t="shared" si="42"/>
        <v>33031.371120327596</v>
      </c>
      <c r="CH133" s="80">
        <f t="shared" si="42"/>
        <v>34519.883956544661</v>
      </c>
      <c r="CI133" s="80">
        <f t="shared" si="42"/>
        <v>33993.982553630696</v>
      </c>
      <c r="CJ133" s="80">
        <f t="shared" si="42"/>
        <v>31741.65818395757</v>
      </c>
      <c r="CK133" s="80">
        <f t="shared" si="42"/>
        <v>27763.12151914055</v>
      </c>
      <c r="CL133" s="80">
        <f t="shared" si="42"/>
        <v>24552.174920648697</v>
      </c>
      <c r="CM133" s="80">
        <f t="shared" si="42"/>
        <v>32082.685642088833</v>
      </c>
      <c r="CN133" s="80">
        <f t="shared" si="42"/>
        <v>24460.459323297127</v>
      </c>
      <c r="CO133" s="80">
        <f t="shared" si="42"/>
        <v>23839.244321801645</v>
      </c>
    </row>
    <row r="134" spans="1:94" x14ac:dyDescent="0.35">
      <c r="A134" s="49"/>
      <c r="B134" s="62" t="s">
        <v>57</v>
      </c>
      <c r="C134" s="81">
        <f>C97</f>
        <v>5000000</v>
      </c>
      <c r="D134" s="81">
        <f t="shared" ref="D134:BO134" si="43">D97</f>
        <v>4985153.4616998695</v>
      </c>
      <c r="E134" s="81">
        <f t="shared" si="43"/>
        <v>5083257.935345551</v>
      </c>
      <c r="F134" s="81">
        <f t="shared" si="43"/>
        <v>5106849.9437727593</v>
      </c>
      <c r="G134" s="81">
        <f t="shared" si="43"/>
        <v>5086904.1660352163</v>
      </c>
      <c r="H134" s="81">
        <f t="shared" si="43"/>
        <v>5122810.9653444933</v>
      </c>
      <c r="I134" s="81">
        <f t="shared" si="43"/>
        <v>5106202.8143232074</v>
      </c>
      <c r="J134" s="81">
        <f t="shared" si="43"/>
        <v>5126070.1259868639</v>
      </c>
      <c r="K134" s="81">
        <f t="shared" si="43"/>
        <v>5192907.4882579716</v>
      </c>
      <c r="L134" s="81">
        <f t="shared" si="43"/>
        <v>5211919.5226743342</v>
      </c>
      <c r="M134" s="81">
        <f t="shared" si="43"/>
        <v>5229071.3636952462</v>
      </c>
      <c r="N134" s="81">
        <f t="shared" si="43"/>
        <v>5212124.237662863</v>
      </c>
      <c r="O134" s="81">
        <f t="shared" si="43"/>
        <v>5261240.5504336087</v>
      </c>
      <c r="P134" s="81">
        <f t="shared" si="43"/>
        <v>5096430.9656624505</v>
      </c>
      <c r="Q134" s="81">
        <f t="shared" si="43"/>
        <v>5020700.3013219507</v>
      </c>
      <c r="R134" s="81">
        <f t="shared" si="43"/>
        <v>5054546.9478488602</v>
      </c>
      <c r="S134" s="81">
        <f t="shared" si="43"/>
        <v>5075577.8197790533</v>
      </c>
      <c r="T134" s="81">
        <f t="shared" si="43"/>
        <v>5088350.2802833635</v>
      </c>
      <c r="U134" s="81">
        <f t="shared" si="43"/>
        <v>5003639.8139518732</v>
      </c>
      <c r="V134" s="81">
        <f t="shared" si="43"/>
        <v>5067339.919102571</v>
      </c>
      <c r="W134" s="81">
        <f t="shared" si="43"/>
        <v>5134996.1381655028</v>
      </c>
      <c r="X134" s="81">
        <f t="shared" si="43"/>
        <v>5200316.9028768437</v>
      </c>
      <c r="Y134" s="81">
        <f t="shared" si="43"/>
        <v>5264148.8145583831</v>
      </c>
      <c r="Z134" s="81">
        <f t="shared" si="43"/>
        <v>5230664.2123134248</v>
      </c>
      <c r="AA134" s="81">
        <f t="shared" si="43"/>
        <v>5187023.7649024269</v>
      </c>
      <c r="AB134" s="81">
        <f t="shared" si="43"/>
        <v>5167674.8320295541</v>
      </c>
      <c r="AC134" s="81">
        <f t="shared" si="43"/>
        <v>5226024.8304868797</v>
      </c>
      <c r="AD134" s="81">
        <f t="shared" si="43"/>
        <v>5176925.5977870636</v>
      </c>
      <c r="AE134" s="81">
        <f t="shared" si="43"/>
        <v>5231982.0438856911</v>
      </c>
      <c r="AF134" s="81">
        <f t="shared" si="43"/>
        <v>5142769.7789619844</v>
      </c>
      <c r="AG134" s="81">
        <f t="shared" si="43"/>
        <v>5163692.6358941589</v>
      </c>
      <c r="AH134" s="81">
        <f t="shared" si="43"/>
        <v>5123451.2776414473</v>
      </c>
      <c r="AI134" s="81">
        <f t="shared" si="43"/>
        <v>5072984.183312946</v>
      </c>
      <c r="AJ134" s="81">
        <f t="shared" si="43"/>
        <v>4902607.5779391928</v>
      </c>
      <c r="AK134" s="81">
        <f t="shared" si="43"/>
        <v>4755619.7188265482</v>
      </c>
      <c r="AL134" s="81">
        <f t="shared" si="43"/>
        <v>4755116.2071039593</v>
      </c>
      <c r="AM134" s="81">
        <f t="shared" si="43"/>
        <v>4545807.7167030098</v>
      </c>
      <c r="AN134" s="81">
        <f t="shared" si="43"/>
        <v>4534036.217996276</v>
      </c>
      <c r="AO134" s="81">
        <f t="shared" si="43"/>
        <v>4705875.0399132855</v>
      </c>
      <c r="AP134" s="81">
        <f t="shared" si="43"/>
        <v>4647982.1912939269</v>
      </c>
      <c r="AQ134" s="81">
        <f t="shared" si="43"/>
        <v>4850180.2818832751</v>
      </c>
      <c r="AR134" s="81">
        <f t="shared" si="43"/>
        <v>4682749.2116211047</v>
      </c>
      <c r="AS134" s="81">
        <f t="shared" si="43"/>
        <v>4624930.4606230771</v>
      </c>
      <c r="AT134" s="81">
        <f t="shared" si="43"/>
        <v>4219029.69079326</v>
      </c>
      <c r="AU134" s="81">
        <f t="shared" si="43"/>
        <v>4508905.1085108975</v>
      </c>
      <c r="AV134" s="81">
        <f t="shared" si="43"/>
        <v>4295099.2442648821</v>
      </c>
      <c r="AW134" s="81">
        <f t="shared" si="43"/>
        <v>3852170.7109054574</v>
      </c>
      <c r="AX134" s="81">
        <f t="shared" si="43"/>
        <v>4169338.7143974132</v>
      </c>
      <c r="AY134" s="81">
        <f t="shared" si="43"/>
        <v>3644356.5444209022</v>
      </c>
      <c r="AZ134" s="81">
        <f t="shared" si="43"/>
        <v>3859983.2079286361</v>
      </c>
      <c r="BA134" s="81">
        <f t="shared" si="43"/>
        <v>3635087.1865103249</v>
      </c>
      <c r="BB134" s="81">
        <f t="shared" si="43"/>
        <v>3720984.8152333358</v>
      </c>
      <c r="BC134" s="81">
        <f t="shared" si="43"/>
        <v>3494052.4600530337</v>
      </c>
      <c r="BD134" s="81">
        <f t="shared" si="43"/>
        <v>3405934.7469391506</v>
      </c>
      <c r="BE134" s="81">
        <f t="shared" si="43"/>
        <v>3736889.5150922327</v>
      </c>
      <c r="BF134" s="81">
        <f t="shared" si="43"/>
        <v>3769055.5220459299</v>
      </c>
      <c r="BG134" s="81">
        <f t="shared" si="43"/>
        <v>3960757.617756098</v>
      </c>
      <c r="BH134" s="81">
        <f t="shared" si="43"/>
        <v>3854452.5468192417</v>
      </c>
      <c r="BI134" s="81">
        <f t="shared" si="43"/>
        <v>3948685.4987802384</v>
      </c>
      <c r="BJ134" s="81">
        <f t="shared" si="43"/>
        <v>3895696.1495231399</v>
      </c>
      <c r="BK134" s="81">
        <f t="shared" si="43"/>
        <v>3719152.2346516727</v>
      </c>
      <c r="BL134" s="81">
        <f t="shared" si="43"/>
        <v>3757089.8834578283</v>
      </c>
      <c r="BM134" s="81">
        <f t="shared" si="43"/>
        <v>3728669.5710037644</v>
      </c>
      <c r="BN134" s="81">
        <f t="shared" si="43"/>
        <v>4026555.8512467551</v>
      </c>
      <c r="BO134" s="81">
        <f t="shared" si="43"/>
        <v>4002677.7598163425</v>
      </c>
      <c r="BP134" s="81">
        <f t="shared" ref="BP134:CO134" si="44">BP97</f>
        <v>4145106.2747279746</v>
      </c>
      <c r="BQ134" s="81">
        <f t="shared" si="44"/>
        <v>4149677.409755012</v>
      </c>
      <c r="BR134" s="81">
        <f t="shared" si="44"/>
        <v>4112813.9800346387</v>
      </c>
      <c r="BS134" s="81">
        <f t="shared" si="44"/>
        <v>4275196.4258756312</v>
      </c>
      <c r="BT134" s="81">
        <f t="shared" si="44"/>
        <v>4160729.367865283</v>
      </c>
      <c r="BU134" s="81">
        <f t="shared" si="44"/>
        <v>4192431.0013471302</v>
      </c>
      <c r="BV134" s="81">
        <f t="shared" si="44"/>
        <v>4283296.0937453816</v>
      </c>
      <c r="BW134" s="81">
        <f t="shared" si="44"/>
        <v>4205785.8498297306</v>
      </c>
      <c r="BX134" s="81">
        <f t="shared" si="44"/>
        <v>4074269.3845052575</v>
      </c>
      <c r="BY134" s="81">
        <f t="shared" si="44"/>
        <v>4189610.744471068</v>
      </c>
      <c r="BZ134" s="81">
        <f t="shared" si="44"/>
        <v>4168248.4197767959</v>
      </c>
      <c r="CA134" s="81">
        <f t="shared" si="44"/>
        <v>4252384.360106281</v>
      </c>
      <c r="CB134" s="81">
        <f t="shared" si="44"/>
        <v>4317514.7788926782</v>
      </c>
      <c r="CC134" s="81">
        <f t="shared" si="44"/>
        <v>4209384.9687366653</v>
      </c>
      <c r="CD134" s="81">
        <f t="shared" si="44"/>
        <v>4360918.4760454483</v>
      </c>
      <c r="CE134" s="81">
        <f t="shared" si="44"/>
        <v>4393636.3736937186</v>
      </c>
      <c r="CF134" s="81">
        <f t="shared" si="44"/>
        <v>4290589.4508611327</v>
      </c>
      <c r="CG134" s="81">
        <f t="shared" si="44"/>
        <v>4263618.025915904</v>
      </c>
      <c r="CH134" s="81">
        <f t="shared" si="44"/>
        <v>4335589.5227872329</v>
      </c>
      <c r="CI134" s="81">
        <f t="shared" si="44"/>
        <v>4299225.6605749819</v>
      </c>
      <c r="CJ134" s="81">
        <f t="shared" si="44"/>
        <v>4342050.6310774023</v>
      </c>
      <c r="CK134" s="81">
        <f t="shared" si="44"/>
        <v>4417048.1440775152</v>
      </c>
      <c r="CL134" s="81">
        <f t="shared" si="44"/>
        <v>4419836.766186255</v>
      </c>
      <c r="CM134" s="81">
        <f t="shared" si="44"/>
        <v>4302391.6031197021</v>
      </c>
      <c r="CN134" s="81">
        <f t="shared" si="44"/>
        <v>4294791.0538379485</v>
      </c>
      <c r="CO134" s="81">
        <f t="shared" si="44"/>
        <v>4305353.8016581656</v>
      </c>
    </row>
    <row r="135" spans="1:94" ht="18" x14ac:dyDescent="0.4">
      <c r="A135" s="49"/>
      <c r="B135" s="62" t="s">
        <v>54</v>
      </c>
      <c r="C135" s="82">
        <f>C133+C134</f>
        <v>5000000</v>
      </c>
      <c r="D135" s="82">
        <f t="shared" ref="D135:BO135" si="45">D133+D134</f>
        <v>4984337.8453961341</v>
      </c>
      <c r="E135" s="82">
        <f t="shared" si="45"/>
        <v>5068538.4000483863</v>
      </c>
      <c r="F135" s="82">
        <f t="shared" si="45"/>
        <v>5089968.1877497481</v>
      </c>
      <c r="G135" s="82">
        <f t="shared" si="45"/>
        <v>5071709.5831751414</v>
      </c>
      <c r="H135" s="82">
        <f t="shared" si="45"/>
        <v>5106320.4081926327</v>
      </c>
      <c r="I135" s="82">
        <f t="shared" si="45"/>
        <v>5099578.2095208652</v>
      </c>
      <c r="J135" s="82">
        <f t="shared" si="45"/>
        <v>5110740.4842586163</v>
      </c>
      <c r="K135" s="82">
        <f t="shared" si="45"/>
        <v>5170894.0296651199</v>
      </c>
      <c r="L135" s="82">
        <f t="shared" si="45"/>
        <v>5191208.2984630568</v>
      </c>
      <c r="M135" s="82">
        <f t="shared" si="45"/>
        <v>5205044.3396743406</v>
      </c>
      <c r="N135" s="82">
        <f t="shared" si="45"/>
        <v>5192766.5491564712</v>
      </c>
      <c r="O135" s="82">
        <f t="shared" si="45"/>
        <v>5232699.1359148389</v>
      </c>
      <c r="P135" s="82">
        <f t="shared" si="45"/>
        <v>5093240.7119596861</v>
      </c>
      <c r="Q135" s="82">
        <f t="shared" si="45"/>
        <v>5010346.4468356045</v>
      </c>
      <c r="R135" s="82">
        <f t="shared" si="45"/>
        <v>5057229.4755805703</v>
      </c>
      <c r="S135" s="82">
        <f t="shared" si="45"/>
        <v>5071578.0216326006</v>
      </c>
      <c r="T135" s="82">
        <f t="shared" si="45"/>
        <v>5076226.0057052597</v>
      </c>
      <c r="U135" s="82">
        <f t="shared" si="45"/>
        <v>4990797.2751888754</v>
      </c>
      <c r="V135" s="82">
        <f t="shared" si="45"/>
        <v>5054356.214184653</v>
      </c>
      <c r="W135" s="82">
        <f t="shared" si="45"/>
        <v>5119947.922305421</v>
      </c>
      <c r="X135" s="82">
        <f t="shared" si="45"/>
        <v>5179453.9425432617</v>
      </c>
      <c r="Y135" s="82">
        <f t="shared" si="45"/>
        <v>5238913.9934181934</v>
      </c>
      <c r="Z135" s="82">
        <f t="shared" si="45"/>
        <v>5210962.0144301103</v>
      </c>
      <c r="AA135" s="82">
        <f t="shared" si="45"/>
        <v>5182276.7106854366</v>
      </c>
      <c r="AB135" s="82">
        <f t="shared" si="45"/>
        <v>5167209.2075515464</v>
      </c>
      <c r="AC135" s="82">
        <f t="shared" si="45"/>
        <v>5226571.3713358268</v>
      </c>
      <c r="AD135" s="82">
        <f t="shared" si="45"/>
        <v>5176849.832766871</v>
      </c>
      <c r="AE135" s="82">
        <f t="shared" si="45"/>
        <v>5230803.3452811614</v>
      </c>
      <c r="AF135" s="82">
        <f t="shared" si="45"/>
        <v>5154908.2268455084</v>
      </c>
      <c r="AG135" s="82">
        <f t="shared" si="45"/>
        <v>5179245.8394171456</v>
      </c>
      <c r="AH135" s="82">
        <f t="shared" si="45"/>
        <v>5147321.3660400491</v>
      </c>
      <c r="AI135" s="82">
        <f t="shared" si="45"/>
        <v>5092770.8098745244</v>
      </c>
      <c r="AJ135" s="82">
        <f t="shared" si="45"/>
        <v>4918022.7273075869</v>
      </c>
      <c r="AK135" s="82">
        <f t="shared" si="45"/>
        <v>4774641.1963904556</v>
      </c>
      <c r="AL135" s="82">
        <f t="shared" si="45"/>
        <v>4765633.8811946595</v>
      </c>
      <c r="AM135" s="82">
        <f t="shared" si="45"/>
        <v>4555606.8697145879</v>
      </c>
      <c r="AN135" s="82">
        <f t="shared" si="45"/>
        <v>4545807.7749964865</v>
      </c>
      <c r="AO135" s="82">
        <f t="shared" si="45"/>
        <v>4716447.6070176503</v>
      </c>
      <c r="AP135" s="82">
        <f t="shared" si="45"/>
        <v>4649764.4196880842</v>
      </c>
      <c r="AQ135" s="82">
        <f t="shared" si="45"/>
        <v>4847977.4134049537</v>
      </c>
      <c r="AR135" s="82">
        <f t="shared" si="45"/>
        <v>4677714.6152142398</v>
      </c>
      <c r="AS135" s="82">
        <f t="shared" si="45"/>
        <v>4619274.2746935785</v>
      </c>
      <c r="AT135" s="82">
        <f t="shared" si="45"/>
        <v>4218228.4641553862</v>
      </c>
      <c r="AU135" s="82">
        <f t="shared" si="45"/>
        <v>4498835.445636454</v>
      </c>
      <c r="AV135" s="82">
        <f t="shared" si="45"/>
        <v>4281910.4477987783</v>
      </c>
      <c r="AW135" s="82">
        <f t="shared" si="45"/>
        <v>3851521.9810999907</v>
      </c>
      <c r="AX135" s="82">
        <f t="shared" si="45"/>
        <v>4168452.6340674367</v>
      </c>
      <c r="AY135" s="82">
        <f t="shared" si="45"/>
        <v>3654568.1418140633</v>
      </c>
      <c r="AZ135" s="82">
        <f t="shared" si="45"/>
        <v>3876200.6529682255</v>
      </c>
      <c r="BA135" s="82">
        <f t="shared" si="45"/>
        <v>3653275.8348790724</v>
      </c>
      <c r="BB135" s="82">
        <f t="shared" si="45"/>
        <v>3728274.1283105542</v>
      </c>
      <c r="BC135" s="82">
        <f t="shared" si="45"/>
        <v>3511092.738556291</v>
      </c>
      <c r="BD135" s="82">
        <f t="shared" si="45"/>
        <v>3425330.1376664895</v>
      </c>
      <c r="BE135" s="82">
        <f t="shared" si="45"/>
        <v>3756046.8630783493</v>
      </c>
      <c r="BF135" s="82">
        <f t="shared" si="45"/>
        <v>3790183.592072662</v>
      </c>
      <c r="BG135" s="82">
        <f t="shared" si="45"/>
        <v>3991250.4285122482</v>
      </c>
      <c r="BH135" s="82">
        <f t="shared" si="45"/>
        <v>3880961.9684013445</v>
      </c>
      <c r="BI135" s="82">
        <f t="shared" si="45"/>
        <v>3982158.1881200424</v>
      </c>
      <c r="BJ135" s="82">
        <f t="shared" si="45"/>
        <v>3923457.369428365</v>
      </c>
      <c r="BK135" s="82">
        <f t="shared" si="45"/>
        <v>3752147.8944015689</v>
      </c>
      <c r="BL135" s="82">
        <f t="shared" si="45"/>
        <v>3799255.9235107894</v>
      </c>
      <c r="BM135" s="82">
        <f t="shared" si="45"/>
        <v>3772900.8972762469</v>
      </c>
      <c r="BN135" s="82">
        <f t="shared" si="45"/>
        <v>4058068.1595358006</v>
      </c>
      <c r="BO135" s="82">
        <f t="shared" si="45"/>
        <v>4032895.7372940551</v>
      </c>
      <c r="BP135" s="82">
        <f t="shared" ref="BP135:CO135" si="46">BP133+BP134</f>
        <v>4180653.5607345472</v>
      </c>
      <c r="BQ135" s="82">
        <f t="shared" si="46"/>
        <v>4190553.5790975932</v>
      </c>
      <c r="BR135" s="82">
        <f t="shared" si="46"/>
        <v>4154795.252017939</v>
      </c>
      <c r="BS135" s="82">
        <f t="shared" si="46"/>
        <v>4313195.7010029359</v>
      </c>
      <c r="BT135" s="82">
        <f t="shared" si="46"/>
        <v>4195802.7299337098</v>
      </c>
      <c r="BU135" s="82">
        <f t="shared" si="46"/>
        <v>4233408.2721361648</v>
      </c>
      <c r="BV135" s="82">
        <f t="shared" si="46"/>
        <v>4323266.9781424562</v>
      </c>
      <c r="BW135" s="82">
        <f t="shared" si="46"/>
        <v>4250220.4912953312</v>
      </c>
      <c r="BX135" s="82">
        <f t="shared" si="46"/>
        <v>4115970.2801426458</v>
      </c>
      <c r="BY135" s="82">
        <f t="shared" si="46"/>
        <v>4232800.2787941219</v>
      </c>
      <c r="BZ135" s="82">
        <f t="shared" si="46"/>
        <v>4215421.2876454145</v>
      </c>
      <c r="CA135" s="82">
        <f t="shared" si="46"/>
        <v>4293849.2675415976</v>
      </c>
      <c r="CB135" s="82">
        <f t="shared" si="46"/>
        <v>4360372.2288032705</v>
      </c>
      <c r="CC135" s="82">
        <f t="shared" si="46"/>
        <v>4265915.492153896</v>
      </c>
      <c r="CD135" s="82">
        <f t="shared" si="46"/>
        <v>4410398.2364269681</v>
      </c>
      <c r="CE135" s="82">
        <f t="shared" si="46"/>
        <v>4427335.8959208885</v>
      </c>
      <c r="CF135" s="82">
        <f t="shared" si="46"/>
        <v>4319062.4106473299</v>
      </c>
      <c r="CG135" s="82">
        <f t="shared" si="46"/>
        <v>4296649.3970362311</v>
      </c>
      <c r="CH135" s="82">
        <f t="shared" si="46"/>
        <v>4370109.4067437779</v>
      </c>
      <c r="CI135" s="82">
        <f t="shared" si="46"/>
        <v>4333219.643128613</v>
      </c>
      <c r="CJ135" s="82">
        <f t="shared" si="46"/>
        <v>4373792.2892613597</v>
      </c>
      <c r="CK135" s="82">
        <f t="shared" si="46"/>
        <v>4444811.2655966561</v>
      </c>
      <c r="CL135" s="82">
        <f t="shared" si="46"/>
        <v>4444388.9411069034</v>
      </c>
      <c r="CM135" s="82">
        <f t="shared" si="46"/>
        <v>4334474.2887617908</v>
      </c>
      <c r="CN135" s="82">
        <f t="shared" si="46"/>
        <v>4319251.5131612457</v>
      </c>
      <c r="CO135" s="82">
        <f t="shared" si="46"/>
        <v>4329193.0459799673</v>
      </c>
      <c r="CP135" s="59"/>
    </row>
    <row r="136" spans="1:94" x14ac:dyDescent="0.35">
      <c r="A136" s="49"/>
      <c r="B136" s="50"/>
      <c r="C136" s="49"/>
      <c r="D136" s="49"/>
      <c r="E136" s="49"/>
      <c r="F136" s="49"/>
      <c r="G136" s="49"/>
      <c r="H136" s="49"/>
      <c r="I136" s="49"/>
      <c r="J136" s="49"/>
      <c r="K136" s="49"/>
      <c r="L136" s="49"/>
      <c r="M136" s="49"/>
      <c r="N136" s="49"/>
      <c r="O136" s="49"/>
      <c r="P136" s="49"/>
      <c r="Q136" s="49"/>
      <c r="R136" s="49"/>
      <c r="S136" s="49"/>
      <c r="T136" s="49"/>
      <c r="U136" s="49"/>
      <c r="V136" s="49"/>
      <c r="W136" s="49"/>
      <c r="X136" s="49"/>
      <c r="Y136" s="49"/>
      <c r="Z136" s="49"/>
      <c r="AA136" s="49"/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9"/>
      <c r="AN136" s="49"/>
      <c r="AO136" s="49"/>
      <c r="AP136" s="49"/>
      <c r="AQ136" s="49"/>
      <c r="AR136" s="49"/>
      <c r="AS136" s="49"/>
      <c r="AT136" s="49"/>
      <c r="AU136" s="49"/>
      <c r="AV136" s="49"/>
      <c r="AW136" s="49"/>
      <c r="AX136" s="49"/>
      <c r="AY136" s="49"/>
      <c r="AZ136" s="49"/>
      <c r="BA136" s="49"/>
      <c r="BB136" s="49"/>
      <c r="BC136" s="49"/>
      <c r="BD136" s="49"/>
      <c r="BE136" s="49"/>
      <c r="BF136" s="49"/>
      <c r="BG136" s="49"/>
      <c r="BH136" s="49"/>
      <c r="BI136" s="49"/>
      <c r="BJ136" s="49"/>
      <c r="BK136" s="49"/>
      <c r="BL136" s="49"/>
      <c r="BM136" s="49"/>
      <c r="BN136" s="49"/>
      <c r="BO136" s="49"/>
      <c r="BP136" s="49"/>
      <c r="BQ136" s="49"/>
      <c r="BR136" s="49"/>
      <c r="BS136" s="49"/>
      <c r="BT136" s="49"/>
      <c r="BU136" s="49"/>
      <c r="BV136" s="49"/>
      <c r="BW136" s="49"/>
      <c r="BX136" s="49"/>
      <c r="BY136" s="49"/>
      <c r="BZ136" s="49"/>
      <c r="CA136" s="49"/>
      <c r="CB136" s="49"/>
      <c r="CC136" s="49"/>
      <c r="CD136" s="49"/>
      <c r="CE136" s="49"/>
      <c r="CF136" s="49"/>
      <c r="CG136" s="49"/>
      <c r="CH136" s="49"/>
      <c r="CI136" s="49"/>
      <c r="CJ136" s="49"/>
      <c r="CK136" s="49"/>
      <c r="CL136" s="49"/>
      <c r="CM136" s="49"/>
      <c r="CN136" s="49"/>
      <c r="CO136" s="49"/>
    </row>
    <row r="137" spans="1:94" ht="18" x14ac:dyDescent="0.4">
      <c r="A137" s="49"/>
      <c r="B137" s="61" t="s">
        <v>48</v>
      </c>
      <c r="C137" s="49"/>
      <c r="D137" s="49"/>
      <c r="E137" s="49"/>
      <c r="F137" s="49"/>
      <c r="G137" s="49"/>
      <c r="H137" s="49"/>
      <c r="I137" s="49"/>
      <c r="J137" s="49"/>
      <c r="K137" s="49"/>
      <c r="L137" s="49"/>
      <c r="M137" s="49"/>
      <c r="N137" s="49"/>
      <c r="O137" s="49"/>
      <c r="P137" s="49"/>
      <c r="Q137" s="49"/>
      <c r="R137" s="49"/>
      <c r="S137" s="49"/>
      <c r="T137" s="49"/>
      <c r="U137" s="49"/>
      <c r="V137" s="49"/>
      <c r="W137" s="49"/>
      <c r="X137" s="49"/>
      <c r="Y137" s="49"/>
      <c r="Z137" s="49"/>
      <c r="AA137" s="49"/>
      <c r="AB137" s="49"/>
      <c r="AC137" s="49"/>
      <c r="AD137" s="49"/>
      <c r="AE137" s="49"/>
      <c r="AF137" s="49"/>
      <c r="AG137" s="49"/>
      <c r="AH137" s="49"/>
      <c r="AI137" s="49"/>
      <c r="AJ137" s="49"/>
      <c r="AK137" s="49"/>
      <c r="AL137" s="49"/>
      <c r="AM137" s="49"/>
      <c r="AN137" s="49"/>
      <c r="AO137" s="49"/>
      <c r="AP137" s="49"/>
      <c r="AQ137" s="49"/>
      <c r="AR137" s="49"/>
      <c r="AS137" s="49"/>
      <c r="AT137" s="49"/>
      <c r="AU137" s="49"/>
      <c r="AV137" s="49"/>
      <c r="AW137" s="49"/>
      <c r="AX137" s="49"/>
      <c r="AY137" s="49"/>
      <c r="AZ137" s="49"/>
      <c r="BA137" s="49"/>
      <c r="BB137" s="49"/>
      <c r="BC137" s="49"/>
      <c r="BD137" s="49"/>
      <c r="BE137" s="49"/>
      <c r="BF137" s="49"/>
      <c r="BG137" s="49"/>
      <c r="BH137" s="49"/>
      <c r="BI137" s="49"/>
      <c r="BJ137" s="49"/>
      <c r="BK137" s="49"/>
      <c r="BL137" s="49"/>
      <c r="BM137" s="49"/>
      <c r="BN137" s="49"/>
      <c r="BO137" s="49"/>
      <c r="BP137" s="49"/>
      <c r="BQ137" s="49"/>
      <c r="BR137" s="49"/>
      <c r="BS137" s="49"/>
      <c r="BT137" s="49"/>
      <c r="BU137" s="49"/>
      <c r="BV137" s="49"/>
      <c r="BW137" s="49"/>
      <c r="BX137" s="49"/>
      <c r="BY137" s="49"/>
      <c r="BZ137" s="49"/>
      <c r="CA137" s="49"/>
      <c r="CB137" s="49"/>
      <c r="CC137" s="49"/>
      <c r="CD137" s="49"/>
      <c r="CE137" s="49"/>
      <c r="CF137" s="49"/>
      <c r="CG137" s="49"/>
      <c r="CH137" s="49"/>
      <c r="CI137" s="49"/>
      <c r="CJ137" s="49"/>
      <c r="CK137" s="49"/>
      <c r="CL137" s="49"/>
      <c r="CM137" s="49"/>
      <c r="CN137" s="49"/>
      <c r="CO137" s="49"/>
    </row>
    <row r="138" spans="1:94" ht="18" x14ac:dyDescent="0.4">
      <c r="A138" s="49"/>
      <c r="B138" s="66" t="s">
        <v>43</v>
      </c>
      <c r="C138" s="67">
        <v>0</v>
      </c>
      <c r="D138" s="67">
        <v>1</v>
      </c>
      <c r="E138" s="67">
        <v>2</v>
      </c>
      <c r="F138" s="67">
        <v>3</v>
      </c>
      <c r="G138" s="67">
        <v>4</v>
      </c>
      <c r="H138" s="67">
        <v>5</v>
      </c>
      <c r="I138" s="67">
        <v>6</v>
      </c>
      <c r="J138" s="67">
        <v>7</v>
      </c>
      <c r="K138" s="67">
        <v>8</v>
      </c>
      <c r="L138" s="67">
        <v>9</v>
      </c>
      <c r="M138" s="67">
        <v>10</v>
      </c>
      <c r="N138" s="67">
        <v>11</v>
      </c>
      <c r="O138" s="67">
        <v>12</v>
      </c>
      <c r="P138" s="67">
        <v>13</v>
      </c>
      <c r="Q138" s="67">
        <v>14</v>
      </c>
      <c r="R138" s="67">
        <v>15</v>
      </c>
      <c r="S138" s="67">
        <v>16</v>
      </c>
      <c r="T138" s="67">
        <v>17</v>
      </c>
      <c r="U138" s="67">
        <v>18</v>
      </c>
      <c r="V138" s="67">
        <v>19</v>
      </c>
      <c r="W138" s="67">
        <v>20</v>
      </c>
      <c r="X138" s="67">
        <v>21</v>
      </c>
      <c r="Y138" s="67">
        <v>22</v>
      </c>
      <c r="Z138" s="67">
        <v>23</v>
      </c>
      <c r="AA138" s="67">
        <v>24</v>
      </c>
      <c r="AB138" s="67">
        <v>25</v>
      </c>
      <c r="AC138" s="67">
        <v>26</v>
      </c>
      <c r="AD138" s="67">
        <v>27</v>
      </c>
      <c r="AE138" s="67">
        <v>28</v>
      </c>
      <c r="AF138" s="67">
        <v>29</v>
      </c>
      <c r="AG138" s="67">
        <v>30</v>
      </c>
      <c r="AH138" s="67">
        <v>31</v>
      </c>
      <c r="AI138" s="67">
        <v>32</v>
      </c>
      <c r="AJ138" s="67">
        <v>33</v>
      </c>
      <c r="AK138" s="67">
        <v>34</v>
      </c>
      <c r="AL138" s="67">
        <v>35</v>
      </c>
      <c r="AM138" s="67">
        <v>36</v>
      </c>
      <c r="AN138" s="67">
        <v>37</v>
      </c>
      <c r="AO138" s="67">
        <v>38</v>
      </c>
      <c r="AP138" s="67">
        <v>39</v>
      </c>
      <c r="AQ138" s="67">
        <v>40</v>
      </c>
      <c r="AR138" s="67">
        <v>41</v>
      </c>
      <c r="AS138" s="67">
        <v>42</v>
      </c>
      <c r="AT138" s="67">
        <v>43</v>
      </c>
      <c r="AU138" s="67">
        <v>44</v>
      </c>
      <c r="AV138" s="67">
        <v>45</v>
      </c>
      <c r="AW138" s="67">
        <v>46</v>
      </c>
      <c r="AX138" s="67">
        <v>47</v>
      </c>
      <c r="AY138" s="67">
        <v>48</v>
      </c>
      <c r="AZ138" s="67">
        <v>49</v>
      </c>
      <c r="BA138" s="67">
        <v>50</v>
      </c>
      <c r="BB138" s="67">
        <v>51</v>
      </c>
      <c r="BC138" s="67">
        <v>52</v>
      </c>
      <c r="BD138" s="67">
        <v>53</v>
      </c>
      <c r="BE138" s="67">
        <v>54</v>
      </c>
      <c r="BF138" s="67">
        <v>55</v>
      </c>
      <c r="BG138" s="67">
        <v>56</v>
      </c>
      <c r="BH138" s="67">
        <v>57</v>
      </c>
      <c r="BI138" s="67">
        <v>58</v>
      </c>
      <c r="BJ138" s="67">
        <v>59</v>
      </c>
      <c r="BK138" s="67">
        <v>60</v>
      </c>
      <c r="BL138" s="67">
        <v>61</v>
      </c>
      <c r="BM138" s="67">
        <v>62</v>
      </c>
      <c r="BN138" s="67">
        <v>63</v>
      </c>
      <c r="BO138" s="67">
        <v>64</v>
      </c>
      <c r="BP138" s="67">
        <v>65</v>
      </c>
      <c r="BQ138" s="67">
        <v>66</v>
      </c>
      <c r="BR138" s="67">
        <v>67</v>
      </c>
      <c r="BS138" s="67">
        <v>68</v>
      </c>
      <c r="BT138" s="67">
        <v>69</v>
      </c>
      <c r="BU138" s="67">
        <v>70</v>
      </c>
      <c r="BV138" s="67">
        <v>71</v>
      </c>
      <c r="BW138" s="67">
        <v>72</v>
      </c>
      <c r="BX138" s="67">
        <v>73</v>
      </c>
      <c r="BY138" s="67">
        <v>74</v>
      </c>
      <c r="BZ138" s="67">
        <v>75</v>
      </c>
      <c r="CA138" s="67">
        <v>76</v>
      </c>
      <c r="CB138" s="67">
        <v>77</v>
      </c>
      <c r="CC138" s="67">
        <v>78</v>
      </c>
      <c r="CD138" s="67">
        <v>79</v>
      </c>
      <c r="CE138" s="67">
        <v>80</v>
      </c>
      <c r="CF138" s="67">
        <v>81</v>
      </c>
      <c r="CG138" s="67">
        <v>82</v>
      </c>
      <c r="CH138" s="67">
        <v>83</v>
      </c>
      <c r="CI138" s="67">
        <v>84</v>
      </c>
      <c r="CJ138" s="67">
        <v>85</v>
      </c>
      <c r="CK138" s="67">
        <v>86</v>
      </c>
      <c r="CL138" s="67">
        <v>87</v>
      </c>
      <c r="CM138" s="67">
        <v>88</v>
      </c>
      <c r="CN138" s="67">
        <v>89</v>
      </c>
      <c r="CO138" s="67">
        <v>90</v>
      </c>
    </row>
    <row r="139" spans="1:94" ht="18" x14ac:dyDescent="0.4">
      <c r="A139" s="49"/>
      <c r="B139" s="62" t="s">
        <v>59</v>
      </c>
      <c r="C139" s="65">
        <f>C103</f>
        <v>100</v>
      </c>
      <c r="D139" s="65">
        <f t="shared" ref="D139:BO139" si="47">D103</f>
        <v>99.63781992969858</v>
      </c>
      <c r="E139" s="65">
        <f t="shared" si="47"/>
        <v>100.48759588313789</v>
      </c>
      <c r="F139" s="65">
        <f t="shared" si="47"/>
        <v>100.78645839361431</v>
      </c>
      <c r="G139" s="65">
        <f t="shared" si="47"/>
        <v>100.52251669189836</v>
      </c>
      <c r="H139" s="65">
        <f t="shared" si="47"/>
        <v>101.13697473474103</v>
      </c>
      <c r="I139" s="65">
        <f t="shared" si="47"/>
        <v>101.59408790227673</v>
      </c>
      <c r="J139" s="65">
        <f t="shared" si="47"/>
        <v>101.29503118147747</v>
      </c>
      <c r="K139" s="65">
        <f t="shared" si="47"/>
        <v>102.09707307773135</v>
      </c>
      <c r="L139" s="65">
        <f t="shared" si="47"/>
        <v>102.58149251658449</v>
      </c>
      <c r="M139" s="65">
        <f t="shared" si="47"/>
        <v>102.65926535223248</v>
      </c>
      <c r="N139" s="65">
        <f t="shared" si="47"/>
        <v>102.69386967274589</v>
      </c>
      <c r="O139" s="65">
        <f t="shared" si="47"/>
        <v>102.94149784717061</v>
      </c>
      <c r="P139" s="65">
        <f t="shared" si="47"/>
        <v>101.67339901702783</v>
      </c>
      <c r="Q139" s="65">
        <f t="shared" si="47"/>
        <v>99.585697667531335</v>
      </c>
      <c r="R139" s="65">
        <f t="shared" si="47"/>
        <v>101.30554117551401</v>
      </c>
      <c r="S139" s="65">
        <f t="shared" si="47"/>
        <v>101.19157254386484</v>
      </c>
      <c r="T139" s="65">
        <f t="shared" si="47"/>
        <v>100.79706363941901</v>
      </c>
      <c r="U139" s="65">
        <f t="shared" si="47"/>
        <v>99.045393177997624</v>
      </c>
      <c r="V139" s="65">
        <f t="shared" si="47"/>
        <v>100.30810198861798</v>
      </c>
      <c r="W139" s="65">
        <f t="shared" si="47"/>
        <v>101.49606549450351</v>
      </c>
      <c r="X139" s="65">
        <f t="shared" si="47"/>
        <v>102.33730123085031</v>
      </c>
      <c r="Y139" s="65">
        <f t="shared" si="47"/>
        <v>103.26419059995247</v>
      </c>
      <c r="Z139" s="65">
        <f t="shared" si="47"/>
        <v>103.03710841560336</v>
      </c>
      <c r="AA139" s="65">
        <f t="shared" si="47"/>
        <v>103.36071096068933</v>
      </c>
      <c r="AB139" s="65">
        <f t="shared" si="47"/>
        <v>103.31624668235047</v>
      </c>
      <c r="AC139" s="65">
        <f t="shared" si="47"/>
        <v>104.56421987765331</v>
      </c>
      <c r="AD139" s="65">
        <f t="shared" si="47"/>
        <v>103.53245075412588</v>
      </c>
      <c r="AE139" s="65">
        <f t="shared" si="47"/>
        <v>104.54534498935139</v>
      </c>
      <c r="AF139" s="65">
        <f t="shared" si="47"/>
        <v>103.82647140992162</v>
      </c>
      <c r="AG139" s="65">
        <f t="shared" si="47"/>
        <v>104.51810899972213</v>
      </c>
      <c r="AH139" s="65">
        <f t="shared" si="47"/>
        <v>104.3786326247171</v>
      </c>
      <c r="AI139" s="65">
        <f t="shared" si="47"/>
        <v>103.04261379118522</v>
      </c>
      <c r="AJ139" s="65">
        <f t="shared" si="47"/>
        <v>99.285363508255415</v>
      </c>
      <c r="AK139" s="65">
        <f t="shared" si="47"/>
        <v>96.634112581643578</v>
      </c>
      <c r="AL139" s="65">
        <f t="shared" si="47"/>
        <v>95.94373806933524</v>
      </c>
      <c r="AM139" s="65">
        <f t="shared" si="47"/>
        <v>91.700086574986443</v>
      </c>
      <c r="AN139" s="65">
        <f t="shared" si="47"/>
        <v>91.622448919942343</v>
      </c>
      <c r="AO139" s="65">
        <f t="shared" si="47"/>
        <v>94.963306166614913</v>
      </c>
      <c r="AP139" s="65">
        <f t="shared" si="47"/>
        <v>93.102222097411115</v>
      </c>
      <c r="AQ139" s="65">
        <f t="shared" si="47"/>
        <v>96.827376159399819</v>
      </c>
      <c r="AR139" s="65">
        <f t="shared" si="47"/>
        <v>93.25221651987286</v>
      </c>
      <c r="AS139" s="65">
        <f t="shared" si="47"/>
        <v>92.046114338101646</v>
      </c>
      <c r="AT139" s="65">
        <f t="shared" si="47"/>
        <v>84.31649568483526</v>
      </c>
      <c r="AU139" s="65">
        <f t="shared" si="47"/>
        <v>89.372529140262429</v>
      </c>
      <c r="AV139" s="65">
        <f t="shared" si="47"/>
        <v>84.846881168009375</v>
      </c>
      <c r="AW139" s="65">
        <f t="shared" si="47"/>
        <v>76.991515833671812</v>
      </c>
      <c r="AX139" s="65">
        <f t="shared" si="47"/>
        <v>83.315887861550152</v>
      </c>
      <c r="AY139" s="65">
        <f t="shared" si="47"/>
        <v>73.704058679870954</v>
      </c>
      <c r="AZ139" s="65">
        <f t="shared" si="47"/>
        <v>78.497059761739862</v>
      </c>
      <c r="BA139" s="65">
        <f t="shared" si="47"/>
        <v>74.156835599706312</v>
      </c>
      <c r="BB139" s="65">
        <f t="shared" si="47"/>
        <v>75.002841350844179</v>
      </c>
      <c r="BC139" s="65">
        <f t="shared" si="47"/>
        <v>71.244271481321249</v>
      </c>
      <c r="BD139" s="65">
        <f t="shared" si="47"/>
        <v>69.670326196970095</v>
      </c>
      <c r="BE139" s="65">
        <f t="shared" si="47"/>
        <v>76.270378140733968</v>
      </c>
      <c r="BF139" s="65">
        <f t="shared" si="47"/>
        <v>77.071356043057165</v>
      </c>
      <c r="BG139" s="65">
        <f t="shared" si="47"/>
        <v>81.654577215613955</v>
      </c>
      <c r="BH139" s="65">
        <f t="shared" si="47"/>
        <v>79.209804662953076</v>
      </c>
      <c r="BI139" s="65">
        <f t="shared" si="47"/>
        <v>81.651525122789081</v>
      </c>
      <c r="BJ139" s="65">
        <f t="shared" si="47"/>
        <v>80.134820582880792</v>
      </c>
      <c r="BK139" s="65">
        <f t="shared" si="47"/>
        <v>77.022697473025133</v>
      </c>
      <c r="BL139" s="65">
        <f t="shared" si="47"/>
        <v>78.515080873393444</v>
      </c>
      <c r="BM139" s="65">
        <f t="shared" si="47"/>
        <v>78.111897521873871</v>
      </c>
      <c r="BN139" s="65">
        <f t="shared" si="47"/>
        <v>83.052101688058741</v>
      </c>
      <c r="BO139" s="65">
        <f t="shared" si="47"/>
        <v>82.470993394543854</v>
      </c>
      <c r="BP139" s="65">
        <f t="shared" ref="BP139:CO139" si="48">BP103</f>
        <v>85.745908375085293</v>
      </c>
      <c r="BQ139" s="65">
        <f t="shared" si="48"/>
        <v>86.263641742506707</v>
      </c>
      <c r="BR139" s="65">
        <f t="shared" si="48"/>
        <v>85.614781359356812</v>
      </c>
      <c r="BS139" s="65">
        <f t="shared" si="48"/>
        <v>88.543870527697024</v>
      </c>
      <c r="BT139" s="65">
        <f t="shared" si="48"/>
        <v>86.020456322779779</v>
      </c>
      <c r="BU139" s="65">
        <f t="shared" si="48"/>
        <v>87.126801690065335</v>
      </c>
      <c r="BV139" s="65">
        <f t="shared" si="48"/>
        <v>88.863592626673636</v>
      </c>
      <c r="BW139" s="65">
        <f t="shared" si="48"/>
        <v>87.670488313842696</v>
      </c>
      <c r="BX139" s="65">
        <f t="shared" si="48"/>
        <v>84.821459341096229</v>
      </c>
      <c r="BY139" s="65">
        <f t="shared" si="48"/>
        <v>87.247377635265693</v>
      </c>
      <c r="BZ139" s="65">
        <f t="shared" si="48"/>
        <v>87.138797825025378</v>
      </c>
      <c r="CA139" s="65">
        <f t="shared" si="48"/>
        <v>88.364879796950945</v>
      </c>
      <c r="CB139" s="65">
        <f t="shared" si="48"/>
        <v>89.778891570700949</v>
      </c>
      <c r="CC139" s="65">
        <f t="shared" si="48"/>
        <v>88.710141248111768</v>
      </c>
      <c r="CD139" s="65">
        <f t="shared" si="48"/>
        <v>91.17675035143057</v>
      </c>
      <c r="CE139" s="65">
        <f t="shared" si="48"/>
        <v>90.568689252047932</v>
      </c>
      <c r="CF139" s="65">
        <f t="shared" si="48"/>
        <v>88.089625800118384</v>
      </c>
      <c r="CG139" s="65">
        <f t="shared" si="48"/>
        <v>87.91487020794429</v>
      </c>
      <c r="CH139" s="65">
        <f t="shared" si="48"/>
        <v>89.473381172268219</v>
      </c>
      <c r="CI139" s="65">
        <f t="shared" si="48"/>
        <v>88.704031815790088</v>
      </c>
      <c r="CJ139" s="65">
        <f t="shared" si="48"/>
        <v>89.380345276264663</v>
      </c>
      <c r="CK139" s="65">
        <f t="shared" si="48"/>
        <v>90.562012603081541</v>
      </c>
      <c r="CL139" s="65">
        <f t="shared" si="48"/>
        <v>90.360909317377008</v>
      </c>
      <c r="CM139" s="65">
        <f t="shared" si="48"/>
        <v>88.614446913761142</v>
      </c>
      <c r="CN139" s="65">
        <f t="shared" si="48"/>
        <v>87.852657822622731</v>
      </c>
      <c r="CO139" s="65">
        <f t="shared" si="48"/>
        <v>88.014215578907454</v>
      </c>
    </row>
    <row r="140" spans="1:94" ht="18" x14ac:dyDescent="0.4">
      <c r="A140" s="49"/>
      <c r="B140" s="62" t="s">
        <v>64</v>
      </c>
      <c r="C140" s="65">
        <f>C135/$C$135*100</f>
        <v>100</v>
      </c>
      <c r="D140" s="65">
        <f t="shared" ref="D140:BO140" si="49">D135/$C$135*100</f>
        <v>99.686756907922685</v>
      </c>
      <c r="E140" s="65">
        <f t="shared" si="49"/>
        <v>101.37076800096774</v>
      </c>
      <c r="F140" s="65">
        <f t="shared" si="49"/>
        <v>101.79936375499497</v>
      </c>
      <c r="G140" s="65">
        <f t="shared" si="49"/>
        <v>101.43419166350283</v>
      </c>
      <c r="H140" s="65">
        <f t="shared" si="49"/>
        <v>102.12640816385266</v>
      </c>
      <c r="I140" s="65">
        <f t="shared" si="49"/>
        <v>101.99156419041731</v>
      </c>
      <c r="J140" s="65">
        <f t="shared" si="49"/>
        <v>102.21480968517234</v>
      </c>
      <c r="K140" s="65">
        <f t="shared" si="49"/>
        <v>103.41788059330239</v>
      </c>
      <c r="L140" s="65">
        <f t="shared" si="49"/>
        <v>103.82416596926114</v>
      </c>
      <c r="M140" s="65">
        <f t="shared" si="49"/>
        <v>104.10088679348681</v>
      </c>
      <c r="N140" s="65">
        <f t="shared" si="49"/>
        <v>103.85533098312942</v>
      </c>
      <c r="O140" s="65">
        <f t="shared" si="49"/>
        <v>104.65398271829677</v>
      </c>
      <c r="P140" s="65">
        <f t="shared" si="49"/>
        <v>101.86481423919372</v>
      </c>
      <c r="Q140" s="65">
        <f t="shared" si="49"/>
        <v>100.20692893671207</v>
      </c>
      <c r="R140" s="65">
        <f t="shared" si="49"/>
        <v>101.1445895116114</v>
      </c>
      <c r="S140" s="65">
        <f t="shared" si="49"/>
        <v>101.43156043265201</v>
      </c>
      <c r="T140" s="65">
        <f t="shared" si="49"/>
        <v>101.5245201141052</v>
      </c>
      <c r="U140" s="65">
        <f t="shared" si="49"/>
        <v>99.815945503777499</v>
      </c>
      <c r="V140" s="65">
        <f t="shared" si="49"/>
        <v>101.08712428369306</v>
      </c>
      <c r="W140" s="65">
        <f t="shared" si="49"/>
        <v>102.39895844610842</v>
      </c>
      <c r="X140" s="65">
        <f t="shared" si="49"/>
        <v>103.58907885086523</v>
      </c>
      <c r="Y140" s="65">
        <f t="shared" si="49"/>
        <v>104.77827986836388</v>
      </c>
      <c r="Z140" s="65">
        <f t="shared" si="49"/>
        <v>104.21924028860221</v>
      </c>
      <c r="AA140" s="65">
        <f t="shared" si="49"/>
        <v>103.64553421370873</v>
      </c>
      <c r="AB140" s="65">
        <f t="shared" si="49"/>
        <v>103.34418415103093</v>
      </c>
      <c r="AC140" s="65">
        <f t="shared" si="49"/>
        <v>104.53142742671653</v>
      </c>
      <c r="AD140" s="65">
        <f t="shared" si="49"/>
        <v>103.53699665533742</v>
      </c>
      <c r="AE140" s="65">
        <f t="shared" si="49"/>
        <v>104.61606690562321</v>
      </c>
      <c r="AF140" s="65">
        <f t="shared" si="49"/>
        <v>103.09816453691016</v>
      </c>
      <c r="AG140" s="65">
        <f t="shared" si="49"/>
        <v>103.58491678834292</v>
      </c>
      <c r="AH140" s="65">
        <f t="shared" si="49"/>
        <v>102.94642732080099</v>
      </c>
      <c r="AI140" s="65">
        <f t="shared" si="49"/>
        <v>101.85541619749048</v>
      </c>
      <c r="AJ140" s="65">
        <f t="shared" si="49"/>
        <v>98.360454546151743</v>
      </c>
      <c r="AK140" s="65">
        <f t="shared" si="49"/>
        <v>95.492823927809113</v>
      </c>
      <c r="AL140" s="65">
        <f t="shared" si="49"/>
        <v>95.312677623893194</v>
      </c>
      <c r="AM140" s="65">
        <f t="shared" si="49"/>
        <v>91.112137394291764</v>
      </c>
      <c r="AN140" s="65">
        <f t="shared" si="49"/>
        <v>90.916155499929729</v>
      </c>
      <c r="AO140" s="65">
        <f t="shared" si="49"/>
        <v>94.32895214035301</v>
      </c>
      <c r="AP140" s="65">
        <f t="shared" si="49"/>
        <v>92.995288393761683</v>
      </c>
      <c r="AQ140" s="65">
        <f t="shared" si="49"/>
        <v>96.95954826809907</v>
      </c>
      <c r="AR140" s="65">
        <f t="shared" si="49"/>
        <v>93.554292304284786</v>
      </c>
      <c r="AS140" s="65">
        <f t="shared" si="49"/>
        <v>92.38548549387157</v>
      </c>
      <c r="AT140" s="65">
        <f t="shared" si="49"/>
        <v>84.364569283107727</v>
      </c>
      <c r="AU140" s="65">
        <f t="shared" si="49"/>
        <v>89.97670891272908</v>
      </c>
      <c r="AV140" s="65">
        <f t="shared" si="49"/>
        <v>85.638208955975571</v>
      </c>
      <c r="AW140" s="65">
        <f t="shared" si="49"/>
        <v>77.030439621999818</v>
      </c>
      <c r="AX140" s="65">
        <f t="shared" si="49"/>
        <v>83.369052681348734</v>
      </c>
      <c r="AY140" s="65">
        <f t="shared" si="49"/>
        <v>73.091362836281277</v>
      </c>
      <c r="AZ140" s="65">
        <f t="shared" si="49"/>
        <v>77.52401305936452</v>
      </c>
      <c r="BA140" s="65">
        <f t="shared" si="49"/>
        <v>73.065516697581444</v>
      </c>
      <c r="BB140" s="65">
        <f t="shared" si="49"/>
        <v>74.565482566211088</v>
      </c>
      <c r="BC140" s="65">
        <f t="shared" si="49"/>
        <v>70.22185477112582</v>
      </c>
      <c r="BD140" s="65">
        <f t="shared" si="49"/>
        <v>68.506602753329787</v>
      </c>
      <c r="BE140" s="65">
        <f t="shared" si="49"/>
        <v>75.120937261566993</v>
      </c>
      <c r="BF140" s="65">
        <f t="shared" si="49"/>
        <v>75.803671841453237</v>
      </c>
      <c r="BG140" s="65">
        <f t="shared" si="49"/>
        <v>79.825008570244961</v>
      </c>
      <c r="BH140" s="65">
        <f t="shared" si="49"/>
        <v>77.619239368026896</v>
      </c>
      <c r="BI140" s="65">
        <f t="shared" si="49"/>
        <v>79.643163762400846</v>
      </c>
      <c r="BJ140" s="65">
        <f t="shared" si="49"/>
        <v>78.469147388567293</v>
      </c>
      <c r="BK140" s="65">
        <f t="shared" si="49"/>
        <v>75.042957888031381</v>
      </c>
      <c r="BL140" s="65">
        <f t="shared" si="49"/>
        <v>75.985118470215781</v>
      </c>
      <c r="BM140" s="65">
        <f t="shared" si="49"/>
        <v>75.458017945524929</v>
      </c>
      <c r="BN140" s="65">
        <f t="shared" si="49"/>
        <v>81.161363190716003</v>
      </c>
      <c r="BO140" s="65">
        <f t="shared" si="49"/>
        <v>80.657914745881101</v>
      </c>
      <c r="BP140" s="65">
        <f t="shared" ref="BP140:CO140" si="50">BP135/$C$135*100</f>
        <v>83.613071214690947</v>
      </c>
      <c r="BQ140" s="65">
        <f t="shared" si="50"/>
        <v>83.811071581951865</v>
      </c>
      <c r="BR140" s="65">
        <f t="shared" si="50"/>
        <v>83.095905040358772</v>
      </c>
      <c r="BS140" s="65">
        <f t="shared" si="50"/>
        <v>86.263914020058721</v>
      </c>
      <c r="BT140" s="65">
        <f t="shared" si="50"/>
        <v>83.916054598674194</v>
      </c>
      <c r="BU140" s="65">
        <f t="shared" si="50"/>
        <v>84.668165442723293</v>
      </c>
      <c r="BV140" s="65">
        <f t="shared" si="50"/>
        <v>86.465339562849124</v>
      </c>
      <c r="BW140" s="65">
        <f t="shared" si="50"/>
        <v>85.00440982590662</v>
      </c>
      <c r="BX140" s="65">
        <f t="shared" si="50"/>
        <v>82.31940560285291</v>
      </c>
      <c r="BY140" s="65">
        <f t="shared" si="50"/>
        <v>84.656005575882446</v>
      </c>
      <c r="BZ140" s="65">
        <f t="shared" si="50"/>
        <v>84.308425752908292</v>
      </c>
      <c r="CA140" s="65">
        <f t="shared" si="50"/>
        <v>85.876985350831944</v>
      </c>
      <c r="CB140" s="65">
        <f t="shared" si="50"/>
        <v>87.207444576065413</v>
      </c>
      <c r="CC140" s="65">
        <f t="shared" si="50"/>
        <v>85.318309843077927</v>
      </c>
      <c r="CD140" s="65">
        <f t="shared" si="50"/>
        <v>88.207964728539366</v>
      </c>
      <c r="CE140" s="65">
        <f t="shared" si="50"/>
        <v>88.54671791841777</v>
      </c>
      <c r="CF140" s="65">
        <f t="shared" si="50"/>
        <v>86.381248212946588</v>
      </c>
      <c r="CG140" s="65">
        <f t="shared" si="50"/>
        <v>85.93298794072463</v>
      </c>
      <c r="CH140" s="65">
        <f t="shared" si="50"/>
        <v>87.402188134875558</v>
      </c>
      <c r="CI140" s="65">
        <f t="shared" si="50"/>
        <v>86.664392862572257</v>
      </c>
      <c r="CJ140" s="65">
        <f t="shared" si="50"/>
        <v>87.475845785227193</v>
      </c>
      <c r="CK140" s="65">
        <f t="shared" si="50"/>
        <v>88.896225311933122</v>
      </c>
      <c r="CL140" s="65">
        <f t="shared" si="50"/>
        <v>88.88777882213806</v>
      </c>
      <c r="CM140" s="65">
        <f t="shared" si="50"/>
        <v>86.689485775235823</v>
      </c>
      <c r="CN140" s="65">
        <f t="shared" si="50"/>
        <v>86.38503026322492</v>
      </c>
      <c r="CO140" s="65">
        <f t="shared" si="50"/>
        <v>86.583860919599346</v>
      </c>
    </row>
    <row r="141" spans="1:94" ht="18" x14ac:dyDescent="0.4">
      <c r="A141" s="49"/>
      <c r="B141" s="62" t="s">
        <v>61</v>
      </c>
      <c r="C141" s="65">
        <f>C102</f>
        <v>100</v>
      </c>
      <c r="D141" s="65">
        <f t="shared" ref="D141:BO141" si="51">D102</f>
        <v>99.703069233997383</v>
      </c>
      <c r="E141" s="65">
        <f t="shared" si="51"/>
        <v>101.66515870691101</v>
      </c>
      <c r="F141" s="65">
        <f t="shared" si="51"/>
        <v>102.13699887545518</v>
      </c>
      <c r="G141" s="65">
        <f t="shared" si="51"/>
        <v>101.73808332070433</v>
      </c>
      <c r="H141" s="65">
        <f t="shared" si="51"/>
        <v>102.45621930688986</v>
      </c>
      <c r="I141" s="65">
        <f t="shared" si="51"/>
        <v>102.12405628646415</v>
      </c>
      <c r="J141" s="65">
        <f t="shared" si="51"/>
        <v>102.52140251973726</v>
      </c>
      <c r="K141" s="65">
        <f t="shared" si="51"/>
        <v>103.85814976515944</v>
      </c>
      <c r="L141" s="65">
        <f t="shared" si="51"/>
        <v>104.23839045348669</v>
      </c>
      <c r="M141" s="65">
        <f t="shared" si="51"/>
        <v>104.58142727390492</v>
      </c>
      <c r="N141" s="65">
        <f t="shared" si="51"/>
        <v>104.24248475325726</v>
      </c>
      <c r="O141" s="65">
        <f t="shared" si="51"/>
        <v>105.22481100867218</v>
      </c>
      <c r="P141" s="65">
        <f t="shared" si="51"/>
        <v>101.92861931324902</v>
      </c>
      <c r="Q141" s="65">
        <f t="shared" si="51"/>
        <v>100.41400602643901</v>
      </c>
      <c r="R141" s="65">
        <f t="shared" si="51"/>
        <v>101.09093895697721</v>
      </c>
      <c r="S141" s="65">
        <f t="shared" si="51"/>
        <v>101.51155639558107</v>
      </c>
      <c r="T141" s="65">
        <f t="shared" si="51"/>
        <v>101.76700560566726</v>
      </c>
      <c r="U141" s="65">
        <f t="shared" si="51"/>
        <v>100.07279627903746</v>
      </c>
      <c r="V141" s="65">
        <f t="shared" si="51"/>
        <v>101.34679838205143</v>
      </c>
      <c r="W141" s="65">
        <f t="shared" si="51"/>
        <v>102.69992276331006</v>
      </c>
      <c r="X141" s="65">
        <f t="shared" si="51"/>
        <v>104.00633805753688</v>
      </c>
      <c r="Y141" s="65">
        <f t="shared" si="51"/>
        <v>105.28297629116766</v>
      </c>
      <c r="Z141" s="65">
        <f t="shared" si="51"/>
        <v>104.61328424626851</v>
      </c>
      <c r="AA141" s="65">
        <f t="shared" si="51"/>
        <v>103.74047529804852</v>
      </c>
      <c r="AB141" s="65">
        <f t="shared" si="51"/>
        <v>103.35349664059108</v>
      </c>
      <c r="AC141" s="65">
        <f t="shared" si="51"/>
        <v>104.52049660973759</v>
      </c>
      <c r="AD141" s="65">
        <f t="shared" si="51"/>
        <v>103.53851195574126</v>
      </c>
      <c r="AE141" s="65">
        <f t="shared" si="51"/>
        <v>104.63964087771383</v>
      </c>
      <c r="AF141" s="65">
        <f t="shared" si="51"/>
        <v>102.85539557923968</v>
      </c>
      <c r="AG141" s="65">
        <f t="shared" si="51"/>
        <v>103.27385271788319</v>
      </c>
      <c r="AH141" s="65">
        <f t="shared" si="51"/>
        <v>102.46902555282895</v>
      </c>
      <c r="AI141" s="65">
        <f t="shared" si="51"/>
        <v>101.45968366625893</v>
      </c>
      <c r="AJ141" s="65">
        <f t="shared" si="51"/>
        <v>98.052151558783848</v>
      </c>
      <c r="AK141" s="65">
        <f t="shared" si="51"/>
        <v>95.112394376530958</v>
      </c>
      <c r="AL141" s="65">
        <f t="shared" si="51"/>
        <v>95.102324142079183</v>
      </c>
      <c r="AM141" s="65">
        <f t="shared" si="51"/>
        <v>90.916154334060195</v>
      </c>
      <c r="AN141" s="65">
        <f t="shared" si="51"/>
        <v>90.68072435992552</v>
      </c>
      <c r="AO141" s="65">
        <f t="shared" si="51"/>
        <v>94.117500798265709</v>
      </c>
      <c r="AP141" s="65">
        <f t="shared" si="51"/>
        <v>92.95964382587853</v>
      </c>
      <c r="AQ141" s="65">
        <f t="shared" si="51"/>
        <v>97.003605637665501</v>
      </c>
      <c r="AR141" s="65">
        <f t="shared" si="51"/>
        <v>93.654984232422095</v>
      </c>
      <c r="AS141" s="65">
        <f t="shared" si="51"/>
        <v>92.498609212461545</v>
      </c>
      <c r="AT141" s="65">
        <f t="shared" si="51"/>
        <v>84.380593815865197</v>
      </c>
      <c r="AU141" s="65">
        <f t="shared" si="51"/>
        <v>90.178102170217954</v>
      </c>
      <c r="AV141" s="65">
        <f t="shared" si="51"/>
        <v>85.901984885297651</v>
      </c>
      <c r="AW141" s="65">
        <f t="shared" si="51"/>
        <v>77.043414218109149</v>
      </c>
      <c r="AX141" s="65">
        <f t="shared" si="51"/>
        <v>83.386774287948256</v>
      </c>
      <c r="AY141" s="65">
        <f t="shared" si="51"/>
        <v>72.887130888418042</v>
      </c>
      <c r="AZ141" s="65">
        <f t="shared" si="51"/>
        <v>77.199664158572716</v>
      </c>
      <c r="BA141" s="65">
        <f t="shared" si="51"/>
        <v>72.701743730206502</v>
      </c>
      <c r="BB141" s="65">
        <f t="shared" si="51"/>
        <v>74.419696304666715</v>
      </c>
      <c r="BC141" s="65">
        <f t="shared" si="51"/>
        <v>69.881049201060677</v>
      </c>
      <c r="BD141" s="65">
        <f t="shared" si="51"/>
        <v>68.118694938783008</v>
      </c>
      <c r="BE141" s="65">
        <f t="shared" si="51"/>
        <v>74.737790301844655</v>
      </c>
      <c r="BF141" s="65">
        <f t="shared" si="51"/>
        <v>75.381110440918604</v>
      </c>
      <c r="BG141" s="65">
        <f t="shared" si="51"/>
        <v>79.215152355121958</v>
      </c>
      <c r="BH141" s="65">
        <f t="shared" si="51"/>
        <v>77.089050936384837</v>
      </c>
      <c r="BI141" s="65">
        <f t="shared" si="51"/>
        <v>78.973709975604763</v>
      </c>
      <c r="BJ141" s="65">
        <f t="shared" si="51"/>
        <v>77.913922990462808</v>
      </c>
      <c r="BK141" s="65">
        <f t="shared" si="51"/>
        <v>74.383044693033455</v>
      </c>
      <c r="BL141" s="65">
        <f t="shared" si="51"/>
        <v>75.14179766915656</v>
      </c>
      <c r="BM141" s="65">
        <f t="shared" si="51"/>
        <v>74.573391420075282</v>
      </c>
      <c r="BN141" s="65">
        <f t="shared" si="51"/>
        <v>80.531117024935099</v>
      </c>
      <c r="BO141" s="65">
        <f t="shared" si="51"/>
        <v>80.053555196326855</v>
      </c>
      <c r="BP141" s="65">
        <f t="shared" ref="BP141:CO141" si="52">BP102</f>
        <v>82.902125494559485</v>
      </c>
      <c r="BQ141" s="65">
        <f t="shared" si="52"/>
        <v>82.993548195100246</v>
      </c>
      <c r="BR141" s="65">
        <f t="shared" si="52"/>
        <v>82.256279600692778</v>
      </c>
      <c r="BS141" s="65">
        <f t="shared" si="52"/>
        <v>85.503928517512634</v>
      </c>
      <c r="BT141" s="65">
        <f t="shared" si="52"/>
        <v>83.21458735730566</v>
      </c>
      <c r="BU141" s="65">
        <f t="shared" si="52"/>
        <v>83.848620026942598</v>
      </c>
      <c r="BV141" s="65">
        <f t="shared" si="52"/>
        <v>85.665921874907639</v>
      </c>
      <c r="BW141" s="65">
        <f t="shared" si="52"/>
        <v>84.115716996594614</v>
      </c>
      <c r="BX141" s="65">
        <f t="shared" si="52"/>
        <v>81.485387690105142</v>
      </c>
      <c r="BY141" s="65">
        <f t="shared" si="52"/>
        <v>83.792214889421359</v>
      </c>
      <c r="BZ141" s="65">
        <f t="shared" si="52"/>
        <v>83.364968395535925</v>
      </c>
      <c r="CA141" s="65">
        <f t="shared" si="52"/>
        <v>85.047687202125616</v>
      </c>
      <c r="CB141" s="65">
        <f t="shared" si="52"/>
        <v>86.350295577853558</v>
      </c>
      <c r="CC141" s="65">
        <f t="shared" si="52"/>
        <v>84.187699374733299</v>
      </c>
      <c r="CD141" s="65">
        <f t="shared" si="52"/>
        <v>87.218369520908965</v>
      </c>
      <c r="CE141" s="65">
        <f t="shared" si="52"/>
        <v>87.872727473874363</v>
      </c>
      <c r="CF141" s="65">
        <f t="shared" si="52"/>
        <v>85.811789017222651</v>
      </c>
      <c r="CG141" s="65">
        <f t="shared" si="52"/>
        <v>85.272360518318081</v>
      </c>
      <c r="CH141" s="65">
        <f t="shared" si="52"/>
        <v>86.711790455744648</v>
      </c>
      <c r="CI141" s="65">
        <f t="shared" si="52"/>
        <v>85.984513211499632</v>
      </c>
      <c r="CJ141" s="65">
        <f t="shared" si="52"/>
        <v>86.841012621548046</v>
      </c>
      <c r="CK141" s="65">
        <f t="shared" si="52"/>
        <v>88.340962881550297</v>
      </c>
      <c r="CL141" s="65">
        <f t="shared" si="52"/>
        <v>88.396735323725096</v>
      </c>
      <c r="CM141" s="65">
        <f t="shared" si="52"/>
        <v>86.047832062394036</v>
      </c>
      <c r="CN141" s="65">
        <f t="shared" si="52"/>
        <v>85.895821076758978</v>
      </c>
      <c r="CO141" s="65">
        <f t="shared" si="52"/>
        <v>86.10707603316331</v>
      </c>
    </row>
    <row r="142" spans="1:94" x14ac:dyDescent="0.35">
      <c r="A142" s="49"/>
      <c r="B142" s="50"/>
      <c r="C142" s="60"/>
      <c r="D142" s="60"/>
      <c r="E142" s="60"/>
      <c r="F142" s="60"/>
      <c r="G142" s="60"/>
      <c r="H142" s="60"/>
      <c r="I142" s="60"/>
      <c r="J142" s="60"/>
      <c r="K142" s="60"/>
      <c r="L142" s="60"/>
      <c r="M142" s="60"/>
      <c r="N142" s="60"/>
      <c r="O142" s="60"/>
      <c r="P142" s="60"/>
      <c r="Q142" s="60"/>
      <c r="R142" s="60"/>
      <c r="S142" s="60"/>
      <c r="T142" s="60"/>
      <c r="U142" s="60"/>
      <c r="V142" s="60"/>
      <c r="W142" s="60"/>
      <c r="X142" s="60"/>
      <c r="Y142" s="60"/>
      <c r="Z142" s="60"/>
      <c r="AA142" s="60"/>
      <c r="AB142" s="60"/>
      <c r="AC142" s="60"/>
      <c r="AD142" s="60"/>
      <c r="AE142" s="60"/>
      <c r="AF142" s="60"/>
      <c r="AG142" s="60"/>
      <c r="AH142" s="60"/>
      <c r="AI142" s="60"/>
      <c r="AJ142" s="60"/>
      <c r="AK142" s="60"/>
      <c r="AL142" s="60"/>
      <c r="AM142" s="60"/>
      <c r="AN142" s="60"/>
      <c r="AO142" s="60"/>
      <c r="AP142" s="60"/>
      <c r="AQ142" s="60"/>
      <c r="AR142" s="60"/>
      <c r="AS142" s="60"/>
      <c r="AT142" s="60"/>
      <c r="AU142" s="60"/>
      <c r="AV142" s="60"/>
      <c r="AW142" s="60"/>
      <c r="AX142" s="60"/>
      <c r="AY142" s="60"/>
      <c r="AZ142" s="60"/>
      <c r="BA142" s="60"/>
      <c r="BB142" s="60"/>
      <c r="BC142" s="60"/>
      <c r="BD142" s="60"/>
      <c r="BE142" s="60"/>
      <c r="BF142" s="60"/>
      <c r="BG142" s="60"/>
      <c r="BH142" s="60"/>
      <c r="BI142" s="60"/>
      <c r="BJ142" s="60"/>
      <c r="BK142" s="60"/>
      <c r="BL142" s="60"/>
      <c r="BM142" s="60"/>
      <c r="BN142" s="60"/>
      <c r="BO142" s="60"/>
      <c r="BP142" s="60"/>
      <c r="BQ142" s="60"/>
      <c r="BR142" s="60"/>
      <c r="BS142" s="60"/>
      <c r="BT142" s="60"/>
      <c r="BU142" s="60"/>
      <c r="BV142" s="60"/>
      <c r="BW142" s="60"/>
      <c r="BX142" s="60"/>
      <c r="BY142" s="60"/>
      <c r="BZ142" s="60"/>
      <c r="CA142" s="60"/>
      <c r="CB142" s="60"/>
      <c r="CC142" s="60"/>
      <c r="CD142" s="60"/>
      <c r="CE142" s="60"/>
      <c r="CF142" s="60"/>
      <c r="CG142" s="60"/>
      <c r="CH142" s="60"/>
      <c r="CI142" s="60"/>
      <c r="CJ142" s="60"/>
      <c r="CK142" s="60"/>
      <c r="CL142" s="60"/>
      <c r="CM142" s="60"/>
      <c r="CN142" s="60"/>
      <c r="CO142" s="60"/>
    </row>
    <row r="143" spans="1:94" x14ac:dyDescent="0.35">
      <c r="A143" s="49"/>
      <c r="B143" s="49"/>
      <c r="C143" s="49"/>
      <c r="D143" s="49"/>
      <c r="E143" s="49"/>
      <c r="F143" s="49"/>
      <c r="G143" s="49"/>
      <c r="H143" s="49"/>
      <c r="I143" s="49"/>
      <c r="J143" s="49"/>
      <c r="K143" s="49"/>
      <c r="L143" s="49"/>
      <c r="M143" s="49"/>
      <c r="N143" s="49"/>
      <c r="O143" s="49"/>
      <c r="P143" s="49"/>
      <c r="Q143" s="49"/>
      <c r="R143" s="49"/>
      <c r="S143" s="49"/>
      <c r="T143" s="49"/>
      <c r="U143" s="49"/>
      <c r="V143" s="49"/>
      <c r="W143" s="49"/>
      <c r="X143" s="49"/>
      <c r="Y143" s="49"/>
      <c r="Z143" s="49"/>
      <c r="AA143" s="49"/>
      <c r="AB143" s="49"/>
      <c r="AC143" s="49"/>
      <c r="AD143" s="49"/>
      <c r="AE143" s="49"/>
      <c r="AF143" s="49"/>
      <c r="AG143" s="49"/>
      <c r="AH143" s="49"/>
      <c r="AI143" s="49"/>
      <c r="AJ143" s="49"/>
      <c r="AK143" s="49"/>
      <c r="AL143" s="49"/>
      <c r="AM143" s="49"/>
      <c r="AN143" s="49"/>
      <c r="AO143" s="49"/>
      <c r="AP143" s="49"/>
      <c r="AQ143" s="49"/>
      <c r="AR143" s="49"/>
      <c r="AS143" s="49"/>
      <c r="AT143" s="49"/>
      <c r="AU143" s="49"/>
      <c r="AV143" s="49"/>
      <c r="AW143" s="49"/>
      <c r="AX143" s="49"/>
      <c r="AY143" s="49"/>
      <c r="AZ143" s="49"/>
      <c r="BA143" s="49"/>
      <c r="BB143" s="49"/>
      <c r="BC143" s="49"/>
      <c r="BD143" s="49"/>
      <c r="BE143" s="49"/>
      <c r="BF143" s="49"/>
      <c r="BG143" s="49"/>
      <c r="BH143" s="49"/>
      <c r="BI143" s="49"/>
      <c r="BJ143" s="49"/>
      <c r="BK143" s="49"/>
      <c r="BL143" s="49"/>
      <c r="BM143" s="49"/>
      <c r="BN143" s="49"/>
      <c r="BO143" s="49"/>
      <c r="BP143" s="49"/>
      <c r="BQ143" s="49"/>
      <c r="BR143" s="49"/>
      <c r="BS143" s="49"/>
      <c r="BT143" s="49"/>
      <c r="BU143" s="49"/>
      <c r="BV143" s="49"/>
      <c r="BW143" s="49"/>
      <c r="BX143" s="49"/>
      <c r="BY143" s="49"/>
      <c r="BZ143" s="49"/>
      <c r="CA143" s="49"/>
      <c r="CB143" s="49"/>
      <c r="CC143" s="49"/>
      <c r="CD143" s="49"/>
      <c r="CE143" s="49"/>
      <c r="CF143" s="49"/>
      <c r="CG143" s="49"/>
      <c r="CH143" s="49"/>
      <c r="CI143" s="49"/>
      <c r="CJ143" s="49"/>
      <c r="CK143" s="49"/>
      <c r="CL143" s="49"/>
      <c r="CM143" s="49"/>
      <c r="CN143" s="49"/>
      <c r="CO143" s="49"/>
    </row>
    <row r="144" spans="1:94" x14ac:dyDescent="0.35">
      <c r="A144" s="49"/>
      <c r="B144" s="49"/>
      <c r="C144" s="49"/>
      <c r="D144" s="49"/>
      <c r="E144" s="49"/>
      <c r="F144" s="49"/>
      <c r="G144" s="49"/>
      <c r="H144" s="49"/>
      <c r="I144" s="49"/>
      <c r="J144" s="49"/>
      <c r="K144" s="49"/>
      <c r="L144" s="49"/>
      <c r="M144" s="49"/>
      <c r="N144" s="49"/>
      <c r="O144" s="49"/>
      <c r="P144" s="49"/>
      <c r="Q144" s="49"/>
      <c r="R144" s="49"/>
      <c r="S144" s="49"/>
      <c r="T144" s="49"/>
      <c r="U144" s="49"/>
      <c r="V144" s="49"/>
      <c r="W144" s="49"/>
      <c r="X144" s="49"/>
      <c r="Y144" s="49"/>
      <c r="Z144" s="49"/>
      <c r="AA144" s="49"/>
      <c r="AB144" s="49"/>
      <c r="AC144" s="49"/>
      <c r="AD144" s="49"/>
      <c r="AE144" s="49"/>
      <c r="AF144" s="49"/>
      <c r="AG144" s="49"/>
      <c r="AH144" s="49"/>
      <c r="AI144" s="49"/>
      <c r="AJ144" s="49"/>
      <c r="AK144" s="49"/>
      <c r="AL144" s="49"/>
      <c r="AM144" s="49"/>
      <c r="AN144" s="49"/>
      <c r="AO144" s="49"/>
      <c r="AP144" s="49"/>
      <c r="AQ144" s="49"/>
      <c r="AR144" s="49"/>
      <c r="AS144" s="49"/>
      <c r="AT144" s="49"/>
      <c r="AU144" s="49"/>
      <c r="AV144" s="49"/>
      <c r="AW144" s="49"/>
      <c r="AX144" s="49"/>
      <c r="AY144" s="49"/>
      <c r="AZ144" s="49"/>
      <c r="BA144" s="49"/>
      <c r="BB144" s="49"/>
      <c r="BC144" s="49"/>
      <c r="BD144" s="49"/>
      <c r="BE144" s="49"/>
      <c r="BF144" s="49"/>
      <c r="BG144" s="49"/>
      <c r="BH144" s="49"/>
      <c r="BI144" s="49"/>
      <c r="BJ144" s="49"/>
      <c r="BK144" s="49"/>
      <c r="BL144" s="49"/>
      <c r="BM144" s="49"/>
      <c r="BN144" s="49"/>
      <c r="BO144" s="49"/>
      <c r="BP144" s="49"/>
      <c r="BQ144" s="49"/>
      <c r="BR144" s="49"/>
      <c r="BS144" s="49"/>
      <c r="BT144" s="49"/>
      <c r="BU144" s="49"/>
      <c r="BV144" s="49"/>
      <c r="BW144" s="49"/>
      <c r="BX144" s="49"/>
      <c r="BY144" s="49"/>
      <c r="BZ144" s="49"/>
      <c r="CA144" s="49"/>
      <c r="CB144" s="49"/>
      <c r="CC144" s="49"/>
      <c r="CD144" s="49"/>
      <c r="CE144" s="49"/>
      <c r="CF144" s="49"/>
      <c r="CG144" s="49"/>
      <c r="CH144" s="49"/>
      <c r="CI144" s="49"/>
      <c r="CJ144" s="49"/>
      <c r="CK144" s="49"/>
      <c r="CL144" s="49"/>
      <c r="CM144" s="49"/>
      <c r="CN144" s="49"/>
      <c r="CO144" s="49"/>
    </row>
    <row r="145" spans="1:93" x14ac:dyDescent="0.35">
      <c r="A145" s="49"/>
      <c r="B145" s="49"/>
      <c r="C145" s="49"/>
      <c r="D145" s="49"/>
      <c r="E145" s="49"/>
      <c r="F145" s="49"/>
      <c r="G145" s="49"/>
      <c r="H145" s="49"/>
      <c r="I145" s="49"/>
      <c r="J145" s="49"/>
      <c r="K145" s="49"/>
      <c r="L145" s="49"/>
      <c r="M145" s="49"/>
      <c r="N145" s="49"/>
      <c r="O145" s="49"/>
      <c r="P145" s="49"/>
      <c r="Q145" s="49"/>
      <c r="R145" s="49"/>
      <c r="S145" s="49"/>
      <c r="T145" s="49"/>
      <c r="U145" s="49"/>
      <c r="V145" s="49"/>
      <c r="W145" s="49"/>
      <c r="X145" s="49"/>
      <c r="Y145" s="49"/>
      <c r="Z145" s="49"/>
      <c r="AA145" s="49"/>
      <c r="AB145" s="49"/>
      <c r="AC145" s="49"/>
      <c r="AD145" s="49"/>
      <c r="AE145" s="49"/>
      <c r="AF145" s="49"/>
      <c r="AG145" s="49"/>
      <c r="AH145" s="49"/>
      <c r="AI145" s="49"/>
      <c r="AJ145" s="49"/>
      <c r="AK145" s="49"/>
      <c r="AL145" s="49"/>
      <c r="AM145" s="49"/>
      <c r="AN145" s="49"/>
      <c r="AO145" s="49"/>
      <c r="AP145" s="49"/>
      <c r="AQ145" s="49"/>
      <c r="AR145" s="49"/>
      <c r="AS145" s="49"/>
      <c r="AT145" s="49"/>
      <c r="AU145" s="49"/>
      <c r="AV145" s="49"/>
      <c r="AW145" s="49"/>
      <c r="AX145" s="49"/>
      <c r="AY145" s="49"/>
      <c r="AZ145" s="49"/>
      <c r="BA145" s="49"/>
      <c r="BB145" s="49"/>
      <c r="BC145" s="49"/>
      <c r="BD145" s="49"/>
      <c r="BE145" s="49"/>
      <c r="BF145" s="49"/>
      <c r="BG145" s="49"/>
      <c r="BH145" s="49"/>
      <c r="BI145" s="49"/>
      <c r="BJ145" s="49"/>
      <c r="BK145" s="49"/>
      <c r="BL145" s="49"/>
      <c r="BM145" s="49"/>
      <c r="BN145" s="49"/>
      <c r="BO145" s="49"/>
      <c r="BP145" s="49"/>
      <c r="BQ145" s="49"/>
      <c r="BR145" s="49"/>
      <c r="BS145" s="49"/>
      <c r="BT145" s="49"/>
      <c r="BU145" s="49"/>
      <c r="BV145" s="49"/>
      <c r="BW145" s="49"/>
      <c r="BX145" s="49"/>
      <c r="BY145" s="49"/>
      <c r="BZ145" s="49"/>
      <c r="CA145" s="49"/>
      <c r="CB145" s="49"/>
      <c r="CC145" s="49"/>
      <c r="CD145" s="49"/>
      <c r="CE145" s="49"/>
      <c r="CF145" s="49"/>
      <c r="CG145" s="49"/>
      <c r="CH145" s="49"/>
      <c r="CI145" s="49"/>
      <c r="CJ145" s="49"/>
      <c r="CK145" s="49"/>
      <c r="CL145" s="49"/>
      <c r="CM145" s="49"/>
      <c r="CN145" s="49"/>
      <c r="CO145" s="49"/>
    </row>
    <row r="146" spans="1:93" x14ac:dyDescent="0.35">
      <c r="A146" s="49"/>
      <c r="B146" s="49"/>
      <c r="C146" s="49"/>
      <c r="D146" s="49"/>
      <c r="E146" s="49"/>
      <c r="F146" s="49"/>
      <c r="G146" s="49"/>
      <c r="H146" s="49"/>
      <c r="I146" s="49"/>
      <c r="J146" s="49"/>
      <c r="K146" s="49"/>
      <c r="L146" s="49"/>
      <c r="M146" s="49"/>
      <c r="N146" s="49"/>
      <c r="O146" s="49"/>
      <c r="P146" s="49"/>
      <c r="Q146" s="49"/>
      <c r="R146" s="49"/>
      <c r="S146" s="49"/>
      <c r="T146" s="49"/>
      <c r="U146" s="49"/>
      <c r="V146" s="49"/>
      <c r="W146" s="49"/>
      <c r="X146" s="49"/>
      <c r="Y146" s="49"/>
      <c r="Z146" s="49"/>
      <c r="AA146" s="49"/>
      <c r="AB146" s="49"/>
      <c r="AC146" s="49"/>
      <c r="AD146" s="49"/>
      <c r="AE146" s="49"/>
      <c r="AF146" s="49"/>
      <c r="AG146" s="49"/>
      <c r="AH146" s="49"/>
      <c r="AI146" s="49"/>
      <c r="AJ146" s="49"/>
      <c r="AK146" s="49"/>
      <c r="AL146" s="49"/>
      <c r="AM146" s="49"/>
      <c r="AN146" s="49"/>
      <c r="AO146" s="49"/>
      <c r="AP146" s="49"/>
      <c r="AQ146" s="49"/>
      <c r="AR146" s="49"/>
      <c r="AS146" s="49"/>
      <c r="AT146" s="49"/>
      <c r="AU146" s="49"/>
      <c r="AV146" s="49"/>
      <c r="AW146" s="49"/>
      <c r="AX146" s="49"/>
      <c r="AY146" s="49"/>
      <c r="AZ146" s="49"/>
      <c r="BA146" s="49"/>
      <c r="BB146" s="49"/>
      <c r="BC146" s="49"/>
      <c r="BD146" s="49"/>
      <c r="BE146" s="49"/>
      <c r="BF146" s="49"/>
      <c r="BG146" s="49"/>
      <c r="BH146" s="49"/>
      <c r="BI146" s="49"/>
      <c r="BJ146" s="49"/>
      <c r="BK146" s="49"/>
      <c r="BL146" s="49"/>
      <c r="BM146" s="49"/>
      <c r="BN146" s="49"/>
      <c r="BO146" s="49"/>
      <c r="BP146" s="49"/>
      <c r="BQ146" s="49"/>
      <c r="BR146" s="49"/>
      <c r="BS146" s="49"/>
      <c r="BT146" s="49"/>
      <c r="BU146" s="49"/>
      <c r="BV146" s="49"/>
      <c r="BW146" s="49"/>
      <c r="BX146" s="49"/>
      <c r="BY146" s="49"/>
      <c r="BZ146" s="49"/>
      <c r="CA146" s="49"/>
      <c r="CB146" s="49"/>
      <c r="CC146" s="49"/>
      <c r="CD146" s="49"/>
      <c r="CE146" s="49"/>
      <c r="CF146" s="49"/>
      <c r="CG146" s="49"/>
      <c r="CH146" s="49"/>
      <c r="CI146" s="49"/>
      <c r="CJ146" s="49"/>
      <c r="CK146" s="49"/>
      <c r="CL146" s="49"/>
      <c r="CM146" s="49"/>
      <c r="CN146" s="49"/>
      <c r="CO146" s="49"/>
    </row>
    <row r="147" spans="1:93" x14ac:dyDescent="0.35">
      <c r="A147" s="49"/>
      <c r="B147" s="49"/>
      <c r="C147" s="49"/>
      <c r="D147" s="49"/>
      <c r="E147" s="49"/>
      <c r="F147" s="49"/>
      <c r="G147" s="49"/>
      <c r="H147" s="49"/>
      <c r="I147" s="49"/>
      <c r="J147" s="49"/>
      <c r="K147" s="49"/>
      <c r="L147" s="49"/>
      <c r="M147" s="49"/>
      <c r="N147" s="49"/>
      <c r="O147" s="49"/>
      <c r="P147" s="49"/>
      <c r="Q147" s="49"/>
      <c r="R147" s="49"/>
      <c r="S147" s="49"/>
      <c r="T147" s="49"/>
      <c r="U147" s="49"/>
      <c r="V147" s="49"/>
      <c r="W147" s="49"/>
      <c r="X147" s="49"/>
      <c r="Y147" s="49"/>
      <c r="Z147" s="49"/>
      <c r="AA147" s="49"/>
      <c r="AB147" s="49"/>
      <c r="AC147" s="49"/>
      <c r="AD147" s="49"/>
      <c r="AE147" s="49"/>
      <c r="AF147" s="49"/>
      <c r="AG147" s="49"/>
      <c r="AH147" s="49"/>
      <c r="AI147" s="49"/>
      <c r="AJ147" s="49"/>
      <c r="AK147" s="49"/>
      <c r="AL147" s="49"/>
      <c r="AM147" s="49"/>
      <c r="AN147" s="49"/>
      <c r="AO147" s="49"/>
      <c r="AP147" s="49"/>
      <c r="AQ147" s="49"/>
      <c r="AR147" s="49"/>
      <c r="AS147" s="49"/>
      <c r="AT147" s="49"/>
      <c r="AU147" s="49"/>
      <c r="AV147" s="49"/>
      <c r="AW147" s="49"/>
      <c r="AX147" s="49"/>
      <c r="AY147" s="49"/>
      <c r="AZ147" s="49"/>
      <c r="BA147" s="49"/>
      <c r="BB147" s="49"/>
      <c r="BC147" s="49"/>
      <c r="BD147" s="49"/>
      <c r="BE147" s="49"/>
      <c r="BF147" s="49"/>
      <c r="BG147" s="49"/>
      <c r="BH147" s="49"/>
      <c r="BI147" s="49"/>
      <c r="BJ147" s="49"/>
      <c r="BK147" s="49"/>
      <c r="BL147" s="49"/>
      <c r="BM147" s="49"/>
      <c r="BN147" s="49"/>
      <c r="BO147" s="49"/>
      <c r="BP147" s="49"/>
      <c r="BQ147" s="49"/>
      <c r="BR147" s="49"/>
      <c r="BS147" s="49"/>
      <c r="BT147" s="49"/>
      <c r="BU147" s="49"/>
      <c r="BV147" s="49"/>
      <c r="BW147" s="49"/>
      <c r="BX147" s="49"/>
      <c r="BY147" s="49"/>
      <c r="BZ147" s="49"/>
      <c r="CA147" s="49"/>
      <c r="CB147" s="49"/>
      <c r="CC147" s="49"/>
      <c r="CD147" s="49"/>
      <c r="CE147" s="49"/>
      <c r="CF147" s="49"/>
      <c r="CG147" s="49"/>
      <c r="CH147" s="49"/>
      <c r="CI147" s="49"/>
      <c r="CJ147" s="49"/>
      <c r="CK147" s="49"/>
      <c r="CL147" s="49"/>
      <c r="CM147" s="49"/>
      <c r="CN147" s="49"/>
      <c r="CO147" s="49"/>
    </row>
    <row r="148" spans="1:93" x14ac:dyDescent="0.35">
      <c r="A148" s="49"/>
      <c r="B148" s="49"/>
      <c r="C148" s="49"/>
      <c r="D148" s="49"/>
      <c r="E148" s="49"/>
      <c r="F148" s="49"/>
      <c r="G148" s="49"/>
      <c r="H148" s="49"/>
      <c r="I148" s="49"/>
      <c r="J148" s="49"/>
      <c r="K148" s="49"/>
      <c r="L148" s="49"/>
      <c r="M148" s="49"/>
      <c r="N148" s="49"/>
      <c r="O148" s="49"/>
      <c r="P148" s="49"/>
      <c r="Q148" s="49"/>
      <c r="R148" s="49"/>
      <c r="S148" s="49"/>
      <c r="T148" s="49"/>
      <c r="U148" s="49"/>
      <c r="V148" s="49"/>
      <c r="W148" s="49"/>
      <c r="X148" s="49"/>
      <c r="Y148" s="49"/>
      <c r="Z148" s="49"/>
      <c r="AA148" s="49"/>
      <c r="AB148" s="49"/>
      <c r="AC148" s="49"/>
      <c r="AD148" s="49"/>
      <c r="AE148" s="49"/>
      <c r="AF148" s="49"/>
      <c r="AG148" s="49"/>
      <c r="AH148" s="49"/>
      <c r="AI148" s="49"/>
      <c r="AJ148" s="49"/>
      <c r="AK148" s="49"/>
      <c r="AL148" s="49"/>
      <c r="AM148" s="49"/>
      <c r="AN148" s="49"/>
      <c r="AO148" s="49"/>
      <c r="AP148" s="49"/>
      <c r="AQ148" s="49"/>
      <c r="AR148" s="49"/>
      <c r="AS148" s="49"/>
      <c r="AT148" s="49"/>
      <c r="AU148" s="49"/>
      <c r="AV148" s="49"/>
      <c r="AW148" s="49"/>
      <c r="AX148" s="49"/>
      <c r="AY148" s="49"/>
      <c r="AZ148" s="49"/>
      <c r="BA148" s="49"/>
      <c r="BB148" s="49"/>
      <c r="BC148" s="49"/>
      <c r="BD148" s="49"/>
      <c r="BE148" s="49"/>
      <c r="BF148" s="49"/>
      <c r="BG148" s="49"/>
      <c r="BH148" s="49"/>
      <c r="BI148" s="49"/>
      <c r="BJ148" s="49"/>
      <c r="BK148" s="49"/>
      <c r="BL148" s="49"/>
      <c r="BM148" s="49"/>
      <c r="BN148" s="49"/>
      <c r="BO148" s="49"/>
      <c r="BP148" s="49"/>
      <c r="BQ148" s="49"/>
      <c r="BR148" s="49"/>
      <c r="BS148" s="49"/>
      <c r="BT148" s="49"/>
      <c r="BU148" s="49"/>
      <c r="BV148" s="49"/>
      <c r="BW148" s="49"/>
      <c r="BX148" s="49"/>
      <c r="BY148" s="49"/>
      <c r="BZ148" s="49"/>
      <c r="CA148" s="49"/>
      <c r="CB148" s="49"/>
      <c r="CC148" s="49"/>
      <c r="CD148" s="49"/>
      <c r="CE148" s="49"/>
      <c r="CF148" s="49"/>
      <c r="CG148" s="49"/>
      <c r="CH148" s="49"/>
      <c r="CI148" s="49"/>
      <c r="CJ148" s="49"/>
      <c r="CK148" s="49"/>
      <c r="CL148" s="49"/>
      <c r="CM148" s="49"/>
      <c r="CN148" s="49"/>
      <c r="CO148" s="49"/>
    </row>
    <row r="149" spans="1:93" x14ac:dyDescent="0.35">
      <c r="A149" s="49"/>
      <c r="B149" s="49"/>
      <c r="C149" s="49"/>
      <c r="D149" s="49"/>
      <c r="E149" s="49"/>
      <c r="F149" s="49"/>
      <c r="G149" s="49"/>
      <c r="H149" s="49"/>
      <c r="I149" s="49"/>
      <c r="J149" s="49"/>
      <c r="K149" s="49"/>
      <c r="L149" s="49"/>
      <c r="M149" s="49"/>
      <c r="N149" s="49"/>
      <c r="O149" s="49"/>
      <c r="P149" s="49"/>
      <c r="Q149" s="49"/>
      <c r="R149" s="49"/>
      <c r="S149" s="49"/>
      <c r="T149" s="49"/>
      <c r="U149" s="49"/>
      <c r="V149" s="49"/>
      <c r="W149" s="49"/>
      <c r="X149" s="49"/>
      <c r="Y149" s="49"/>
      <c r="Z149" s="49"/>
      <c r="AA149" s="49"/>
      <c r="AB149" s="49"/>
      <c r="AC149" s="49"/>
      <c r="AD149" s="49"/>
      <c r="AE149" s="49"/>
      <c r="AF149" s="49"/>
      <c r="AG149" s="49"/>
      <c r="AH149" s="49"/>
      <c r="AI149" s="49"/>
      <c r="AJ149" s="49"/>
      <c r="AK149" s="49"/>
      <c r="AL149" s="49"/>
      <c r="AM149" s="49"/>
      <c r="AN149" s="49"/>
      <c r="AO149" s="49"/>
      <c r="AP149" s="49"/>
      <c r="AQ149" s="49"/>
      <c r="AR149" s="49"/>
      <c r="AS149" s="49"/>
      <c r="AT149" s="49"/>
      <c r="AU149" s="49"/>
      <c r="AV149" s="49"/>
      <c r="AW149" s="49"/>
      <c r="AX149" s="49"/>
      <c r="AY149" s="49"/>
      <c r="AZ149" s="49"/>
      <c r="BA149" s="49"/>
      <c r="BB149" s="49"/>
      <c r="BC149" s="49"/>
      <c r="BD149" s="49"/>
      <c r="BE149" s="49"/>
      <c r="BF149" s="49"/>
      <c r="BG149" s="49"/>
      <c r="BH149" s="49"/>
      <c r="BI149" s="49"/>
      <c r="BJ149" s="49"/>
      <c r="BK149" s="49"/>
      <c r="BL149" s="49"/>
      <c r="BM149" s="49"/>
      <c r="BN149" s="49"/>
      <c r="BO149" s="49"/>
      <c r="BP149" s="49"/>
      <c r="BQ149" s="49"/>
      <c r="BR149" s="49"/>
      <c r="BS149" s="49"/>
      <c r="BT149" s="49"/>
      <c r="BU149" s="49"/>
      <c r="BV149" s="49"/>
      <c r="BW149" s="49"/>
      <c r="BX149" s="49"/>
      <c r="BY149" s="49"/>
      <c r="BZ149" s="49"/>
      <c r="CA149" s="49"/>
      <c r="CB149" s="49"/>
      <c r="CC149" s="49"/>
      <c r="CD149" s="49"/>
      <c r="CE149" s="49"/>
      <c r="CF149" s="49"/>
      <c r="CG149" s="49"/>
      <c r="CH149" s="49"/>
      <c r="CI149" s="49"/>
      <c r="CJ149" s="49"/>
      <c r="CK149" s="49"/>
      <c r="CL149" s="49"/>
      <c r="CM149" s="49"/>
      <c r="CN149" s="49"/>
      <c r="CO149" s="49"/>
    </row>
    <row r="150" spans="1:93" x14ac:dyDescent="0.35">
      <c r="A150" s="49"/>
      <c r="B150" s="49"/>
      <c r="C150" s="49"/>
      <c r="D150" s="49"/>
      <c r="E150" s="49"/>
      <c r="F150" s="49"/>
      <c r="G150" s="49"/>
      <c r="H150" s="49"/>
      <c r="I150" s="49"/>
      <c r="J150" s="49"/>
      <c r="K150" s="49"/>
      <c r="L150" s="49"/>
      <c r="M150" s="49"/>
      <c r="N150" s="49"/>
      <c r="O150" s="49"/>
      <c r="P150" s="49"/>
      <c r="Q150" s="49"/>
      <c r="R150" s="49"/>
      <c r="S150" s="49"/>
      <c r="T150" s="49"/>
      <c r="U150" s="49"/>
      <c r="V150" s="49"/>
      <c r="W150" s="49"/>
      <c r="X150" s="49"/>
      <c r="Y150" s="49"/>
      <c r="Z150" s="49"/>
      <c r="AA150" s="49"/>
      <c r="AB150" s="49"/>
      <c r="AC150" s="49"/>
      <c r="AD150" s="49"/>
      <c r="AE150" s="49"/>
      <c r="AF150" s="49"/>
      <c r="AG150" s="49"/>
      <c r="AH150" s="49"/>
      <c r="AI150" s="49"/>
      <c r="AJ150" s="49"/>
      <c r="AK150" s="49"/>
      <c r="AL150" s="49"/>
      <c r="AM150" s="49"/>
      <c r="AN150" s="49"/>
      <c r="AO150" s="49"/>
      <c r="AP150" s="49"/>
      <c r="AQ150" s="49"/>
      <c r="AR150" s="49"/>
      <c r="AS150" s="49"/>
      <c r="AT150" s="49"/>
      <c r="AU150" s="49"/>
      <c r="AV150" s="49"/>
      <c r="AW150" s="49"/>
      <c r="AX150" s="49"/>
      <c r="AY150" s="49"/>
      <c r="AZ150" s="49"/>
      <c r="BA150" s="49"/>
      <c r="BB150" s="49"/>
      <c r="BC150" s="49"/>
      <c r="BD150" s="49"/>
      <c r="BE150" s="49"/>
      <c r="BF150" s="49"/>
      <c r="BG150" s="49"/>
      <c r="BH150" s="49"/>
      <c r="BI150" s="49"/>
      <c r="BJ150" s="49"/>
      <c r="BK150" s="49"/>
      <c r="BL150" s="49"/>
      <c r="BM150" s="49"/>
      <c r="BN150" s="49"/>
      <c r="BO150" s="49"/>
      <c r="BP150" s="49"/>
      <c r="BQ150" s="49"/>
      <c r="BR150" s="49"/>
      <c r="BS150" s="49"/>
      <c r="BT150" s="49"/>
      <c r="BU150" s="49"/>
      <c r="BV150" s="49"/>
      <c r="BW150" s="49"/>
      <c r="BX150" s="49"/>
      <c r="BY150" s="49"/>
      <c r="BZ150" s="49"/>
      <c r="CA150" s="49"/>
      <c r="CB150" s="49"/>
      <c r="CC150" s="49"/>
      <c r="CD150" s="49"/>
      <c r="CE150" s="49"/>
      <c r="CF150" s="49"/>
      <c r="CG150" s="49"/>
      <c r="CH150" s="49"/>
      <c r="CI150" s="49"/>
      <c r="CJ150" s="49"/>
      <c r="CK150" s="49"/>
      <c r="CL150" s="49"/>
      <c r="CM150" s="49"/>
      <c r="CN150" s="49"/>
      <c r="CO150" s="49"/>
    </row>
    <row r="151" spans="1:93" x14ac:dyDescent="0.35">
      <c r="A151" s="49"/>
      <c r="B151" s="49"/>
      <c r="C151" s="49"/>
      <c r="D151" s="49"/>
      <c r="E151" s="49"/>
      <c r="F151" s="49"/>
      <c r="G151" s="49"/>
      <c r="H151" s="49"/>
      <c r="I151" s="49"/>
      <c r="J151" s="49"/>
      <c r="K151" s="49"/>
      <c r="L151" s="49"/>
      <c r="M151" s="49"/>
      <c r="N151" s="49"/>
      <c r="O151" s="49"/>
      <c r="P151" s="49"/>
      <c r="Q151" s="49"/>
      <c r="R151" s="49"/>
      <c r="S151" s="49"/>
      <c r="T151" s="49"/>
      <c r="U151" s="49"/>
      <c r="V151" s="49"/>
      <c r="W151" s="49"/>
      <c r="X151" s="49"/>
      <c r="Y151" s="49"/>
      <c r="Z151" s="49"/>
      <c r="AA151" s="49"/>
      <c r="AB151" s="49"/>
      <c r="AC151" s="49"/>
      <c r="AD151" s="49"/>
      <c r="AE151" s="49"/>
      <c r="AF151" s="49"/>
      <c r="AG151" s="49"/>
      <c r="AH151" s="49"/>
      <c r="AI151" s="49"/>
      <c r="AJ151" s="49"/>
      <c r="AK151" s="49"/>
      <c r="AL151" s="49"/>
      <c r="AM151" s="49"/>
      <c r="AN151" s="49"/>
      <c r="AO151" s="49"/>
      <c r="AP151" s="49"/>
      <c r="AQ151" s="49"/>
      <c r="AR151" s="49"/>
      <c r="AS151" s="49"/>
      <c r="AT151" s="49"/>
      <c r="AU151" s="49"/>
      <c r="AV151" s="49"/>
      <c r="AW151" s="49"/>
      <c r="AX151" s="49"/>
      <c r="AY151" s="49"/>
      <c r="AZ151" s="49"/>
      <c r="BA151" s="49"/>
      <c r="BB151" s="49"/>
      <c r="BC151" s="49"/>
      <c r="BD151" s="49"/>
      <c r="BE151" s="49"/>
      <c r="BF151" s="49"/>
      <c r="BG151" s="49"/>
      <c r="BH151" s="49"/>
      <c r="BI151" s="49"/>
      <c r="BJ151" s="49"/>
      <c r="BK151" s="49"/>
      <c r="BL151" s="49"/>
      <c r="BM151" s="49"/>
      <c r="BN151" s="49"/>
      <c r="BO151" s="49"/>
      <c r="BP151" s="49"/>
      <c r="BQ151" s="49"/>
      <c r="BR151" s="49"/>
      <c r="BS151" s="49"/>
      <c r="BT151" s="49"/>
      <c r="BU151" s="49"/>
      <c r="BV151" s="49"/>
      <c r="BW151" s="49"/>
      <c r="BX151" s="49"/>
      <c r="BY151" s="49"/>
      <c r="BZ151" s="49"/>
      <c r="CA151" s="49"/>
      <c r="CB151" s="49"/>
      <c r="CC151" s="49"/>
      <c r="CD151" s="49"/>
      <c r="CE151" s="49"/>
      <c r="CF151" s="49"/>
      <c r="CG151" s="49"/>
      <c r="CH151" s="49"/>
      <c r="CI151" s="49"/>
      <c r="CJ151" s="49"/>
      <c r="CK151" s="49"/>
      <c r="CL151" s="49"/>
      <c r="CM151" s="49"/>
      <c r="CN151" s="49"/>
      <c r="CO151" s="49"/>
    </row>
    <row r="152" spans="1:93" x14ac:dyDescent="0.35">
      <c r="A152" s="49"/>
      <c r="B152" s="49"/>
      <c r="C152" s="49"/>
      <c r="D152" s="49"/>
      <c r="E152" s="49"/>
      <c r="F152" s="49"/>
      <c r="G152" s="49"/>
      <c r="H152" s="49"/>
      <c r="I152" s="49"/>
      <c r="J152" s="49"/>
      <c r="K152" s="49"/>
      <c r="L152" s="49"/>
      <c r="M152" s="49"/>
      <c r="N152" s="49"/>
      <c r="O152" s="49"/>
      <c r="P152" s="49"/>
      <c r="Q152" s="49"/>
      <c r="R152" s="49"/>
      <c r="S152" s="49"/>
      <c r="T152" s="49"/>
      <c r="U152" s="49"/>
      <c r="V152" s="49"/>
      <c r="W152" s="49"/>
      <c r="X152" s="49"/>
      <c r="Y152" s="49"/>
      <c r="Z152" s="49"/>
      <c r="AA152" s="49"/>
      <c r="AB152" s="49"/>
      <c r="AC152" s="49"/>
      <c r="AD152" s="49"/>
      <c r="AE152" s="49"/>
      <c r="AF152" s="49"/>
      <c r="AG152" s="49"/>
      <c r="AH152" s="49"/>
      <c r="AI152" s="49"/>
      <c r="AJ152" s="49"/>
      <c r="AK152" s="49"/>
      <c r="AL152" s="49"/>
      <c r="AM152" s="49"/>
      <c r="AN152" s="49"/>
      <c r="AO152" s="49"/>
      <c r="AP152" s="49"/>
      <c r="AQ152" s="49"/>
      <c r="AR152" s="49"/>
      <c r="AS152" s="49"/>
      <c r="AT152" s="49"/>
      <c r="AU152" s="49"/>
      <c r="AV152" s="49"/>
      <c r="AW152" s="49"/>
      <c r="AX152" s="49"/>
      <c r="AY152" s="49"/>
      <c r="AZ152" s="49"/>
      <c r="BA152" s="49"/>
      <c r="BB152" s="49"/>
      <c r="BC152" s="49"/>
      <c r="BD152" s="49"/>
      <c r="BE152" s="49"/>
      <c r="BF152" s="49"/>
      <c r="BG152" s="49"/>
      <c r="BH152" s="49"/>
      <c r="BI152" s="49"/>
      <c r="BJ152" s="49"/>
      <c r="BK152" s="49"/>
      <c r="BL152" s="49"/>
      <c r="BM152" s="49"/>
      <c r="BN152" s="49"/>
      <c r="BO152" s="49"/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49"/>
      <c r="CA152" s="49"/>
      <c r="CB152" s="49"/>
      <c r="CC152" s="49"/>
      <c r="CD152" s="49"/>
      <c r="CE152" s="49"/>
      <c r="CF152" s="49"/>
      <c r="CG152" s="49"/>
      <c r="CH152" s="49"/>
      <c r="CI152" s="49"/>
      <c r="CJ152" s="49"/>
      <c r="CK152" s="49"/>
      <c r="CL152" s="49"/>
      <c r="CM152" s="49"/>
      <c r="CN152" s="49"/>
      <c r="CO152" s="49"/>
    </row>
    <row r="153" spans="1:93" x14ac:dyDescent="0.35">
      <c r="A153" s="49"/>
      <c r="B153" s="49"/>
      <c r="C153" s="49"/>
      <c r="D153" s="49"/>
      <c r="E153" s="49"/>
      <c r="F153" s="49"/>
      <c r="G153" s="49"/>
      <c r="H153" s="49"/>
      <c r="I153" s="49"/>
      <c r="J153" s="49"/>
      <c r="K153" s="49"/>
      <c r="L153" s="49"/>
      <c r="M153" s="49"/>
      <c r="N153" s="49"/>
      <c r="O153" s="49"/>
      <c r="P153" s="49"/>
      <c r="Q153" s="49"/>
      <c r="R153" s="49"/>
      <c r="S153" s="49"/>
      <c r="T153" s="49"/>
      <c r="U153" s="49"/>
      <c r="V153" s="49"/>
      <c r="W153" s="49"/>
      <c r="X153" s="49"/>
      <c r="Y153" s="49"/>
      <c r="Z153" s="49"/>
      <c r="AA153" s="49"/>
      <c r="AB153" s="49"/>
      <c r="AC153" s="49"/>
      <c r="AD153" s="49"/>
      <c r="AE153" s="49"/>
      <c r="AF153" s="49"/>
      <c r="AG153" s="49"/>
      <c r="AH153" s="49"/>
      <c r="AI153" s="49"/>
      <c r="AJ153" s="49"/>
      <c r="AK153" s="49"/>
      <c r="AL153" s="49"/>
      <c r="AM153" s="49"/>
      <c r="AN153" s="49"/>
      <c r="AO153" s="49"/>
      <c r="AP153" s="49"/>
      <c r="AQ153" s="49"/>
      <c r="AR153" s="49"/>
      <c r="AS153" s="49"/>
      <c r="AT153" s="49"/>
      <c r="AU153" s="49"/>
      <c r="AV153" s="49"/>
      <c r="AW153" s="49"/>
      <c r="AX153" s="49"/>
      <c r="AY153" s="49"/>
      <c r="AZ153" s="49"/>
      <c r="BA153" s="49"/>
      <c r="BB153" s="49"/>
      <c r="BC153" s="49"/>
      <c r="BD153" s="49"/>
      <c r="BE153" s="49"/>
      <c r="BF153" s="49"/>
      <c r="BG153" s="49"/>
      <c r="BH153" s="49"/>
      <c r="BI153" s="49"/>
      <c r="BJ153" s="49"/>
      <c r="BK153" s="49"/>
      <c r="BL153" s="49"/>
      <c r="BM153" s="49"/>
      <c r="BN153" s="49"/>
      <c r="BO153" s="49"/>
      <c r="BP153" s="49"/>
      <c r="BQ153" s="49"/>
      <c r="BR153" s="49"/>
      <c r="BS153" s="49"/>
      <c r="BT153" s="49"/>
      <c r="BU153" s="49"/>
      <c r="BV153" s="49"/>
      <c r="BW153" s="49"/>
      <c r="BX153" s="49"/>
      <c r="BY153" s="49"/>
      <c r="BZ153" s="49"/>
      <c r="CA153" s="49"/>
      <c r="CB153" s="49"/>
      <c r="CC153" s="49"/>
      <c r="CD153" s="49"/>
      <c r="CE153" s="49"/>
      <c r="CF153" s="49"/>
      <c r="CG153" s="49"/>
      <c r="CH153" s="49"/>
      <c r="CI153" s="49"/>
      <c r="CJ153" s="49"/>
      <c r="CK153" s="49"/>
      <c r="CL153" s="49"/>
      <c r="CM153" s="49"/>
      <c r="CN153" s="49"/>
      <c r="CO153" s="49"/>
    </row>
    <row r="154" spans="1:93" x14ac:dyDescent="0.35">
      <c r="A154" s="49"/>
      <c r="B154" s="49"/>
      <c r="C154" s="49"/>
      <c r="D154" s="49"/>
      <c r="E154" s="49"/>
      <c r="F154" s="49"/>
      <c r="G154" s="49"/>
      <c r="H154" s="49"/>
      <c r="I154" s="49"/>
      <c r="J154" s="49"/>
      <c r="K154" s="49"/>
      <c r="L154" s="49"/>
      <c r="M154" s="49"/>
      <c r="N154" s="49"/>
      <c r="O154" s="49"/>
      <c r="P154" s="49"/>
      <c r="Q154" s="49"/>
      <c r="R154" s="49"/>
      <c r="S154" s="49"/>
      <c r="T154" s="49"/>
      <c r="U154" s="49"/>
      <c r="V154" s="49"/>
      <c r="W154" s="49"/>
      <c r="X154" s="49"/>
      <c r="Y154" s="49"/>
      <c r="Z154" s="49"/>
      <c r="AA154" s="49"/>
      <c r="AB154" s="49"/>
      <c r="AC154" s="49"/>
      <c r="AD154" s="49"/>
      <c r="AE154" s="49"/>
      <c r="AF154" s="49"/>
      <c r="AG154" s="49"/>
      <c r="AH154" s="49"/>
      <c r="AI154" s="49"/>
      <c r="AJ154" s="49"/>
      <c r="AK154" s="49"/>
      <c r="AL154" s="49"/>
      <c r="AM154" s="49"/>
      <c r="AN154" s="49"/>
      <c r="AO154" s="49"/>
      <c r="AP154" s="49"/>
      <c r="AQ154" s="49"/>
      <c r="AR154" s="49"/>
      <c r="AS154" s="49"/>
      <c r="AT154" s="49"/>
      <c r="AU154" s="49"/>
      <c r="AV154" s="49"/>
      <c r="AW154" s="49"/>
      <c r="AX154" s="49"/>
      <c r="AY154" s="49"/>
      <c r="AZ154" s="49"/>
      <c r="BA154" s="49"/>
      <c r="BB154" s="49"/>
      <c r="BC154" s="49"/>
      <c r="BD154" s="49"/>
      <c r="BE154" s="49"/>
      <c r="BF154" s="49"/>
      <c r="BG154" s="49"/>
      <c r="BH154" s="49"/>
      <c r="BI154" s="49"/>
      <c r="BJ154" s="49"/>
      <c r="BK154" s="49"/>
      <c r="BL154" s="49"/>
      <c r="BM154" s="49"/>
      <c r="BN154" s="49"/>
      <c r="BO154" s="49"/>
      <c r="BP154" s="49"/>
      <c r="BQ154" s="49"/>
      <c r="BR154" s="49"/>
      <c r="BS154" s="49"/>
      <c r="BT154" s="49"/>
      <c r="BU154" s="49"/>
      <c r="BV154" s="49"/>
      <c r="BW154" s="49"/>
      <c r="BX154" s="49"/>
      <c r="BY154" s="49"/>
      <c r="BZ154" s="49"/>
      <c r="CA154" s="49"/>
      <c r="CB154" s="49"/>
      <c r="CC154" s="49"/>
      <c r="CD154" s="49"/>
      <c r="CE154" s="49"/>
      <c r="CF154" s="49"/>
      <c r="CG154" s="49"/>
      <c r="CH154" s="49"/>
      <c r="CI154" s="49"/>
      <c r="CJ154" s="49"/>
      <c r="CK154" s="49"/>
      <c r="CL154" s="49"/>
      <c r="CM154" s="49"/>
      <c r="CN154" s="49"/>
      <c r="CO154" s="49"/>
    </row>
    <row r="155" spans="1:93" x14ac:dyDescent="0.35">
      <c r="A155" s="49"/>
      <c r="B155" s="49"/>
      <c r="C155" s="49"/>
      <c r="D155" s="49"/>
      <c r="E155" s="49"/>
      <c r="F155" s="49"/>
      <c r="G155" s="49"/>
      <c r="H155" s="49"/>
      <c r="I155" s="49"/>
      <c r="J155" s="49"/>
      <c r="K155" s="49"/>
      <c r="L155" s="49"/>
      <c r="M155" s="49"/>
      <c r="N155" s="49"/>
      <c r="O155" s="49"/>
      <c r="P155" s="49"/>
      <c r="Q155" s="49"/>
      <c r="R155" s="49"/>
      <c r="S155" s="49"/>
      <c r="T155" s="49"/>
      <c r="U155" s="49"/>
      <c r="V155" s="49"/>
      <c r="W155" s="49"/>
      <c r="X155" s="49"/>
      <c r="Y155" s="49"/>
      <c r="Z155" s="49"/>
      <c r="AA155" s="49"/>
      <c r="AB155" s="49"/>
      <c r="AC155" s="49"/>
      <c r="AD155" s="49"/>
      <c r="AE155" s="49"/>
      <c r="AF155" s="49"/>
      <c r="AG155" s="49"/>
      <c r="AH155" s="49"/>
      <c r="AI155" s="49"/>
      <c r="AJ155" s="49"/>
      <c r="AK155" s="49"/>
      <c r="AL155" s="49"/>
      <c r="AM155" s="49"/>
      <c r="AN155" s="49"/>
      <c r="AO155" s="49"/>
      <c r="AP155" s="49"/>
      <c r="AQ155" s="49"/>
      <c r="AR155" s="49"/>
      <c r="AS155" s="49"/>
      <c r="AT155" s="49"/>
      <c r="AU155" s="49"/>
      <c r="AV155" s="49"/>
      <c r="AW155" s="49"/>
      <c r="AX155" s="49"/>
      <c r="AY155" s="49"/>
      <c r="AZ155" s="49"/>
      <c r="BA155" s="49"/>
      <c r="BB155" s="49"/>
      <c r="BC155" s="49"/>
      <c r="BD155" s="49"/>
      <c r="BE155" s="49"/>
      <c r="BF155" s="49"/>
      <c r="BG155" s="49"/>
      <c r="BH155" s="49"/>
      <c r="BI155" s="49"/>
      <c r="BJ155" s="49"/>
      <c r="BK155" s="49"/>
      <c r="BL155" s="49"/>
      <c r="BM155" s="49"/>
      <c r="BN155" s="49"/>
      <c r="BO155" s="49"/>
      <c r="BP155" s="49"/>
      <c r="BQ155" s="49"/>
      <c r="BR155" s="49"/>
      <c r="BS155" s="49"/>
      <c r="BT155" s="49"/>
      <c r="BU155" s="49"/>
      <c r="BV155" s="49"/>
      <c r="BW155" s="49"/>
      <c r="BX155" s="49"/>
      <c r="BY155" s="49"/>
      <c r="BZ155" s="49"/>
      <c r="CA155" s="49"/>
      <c r="CB155" s="49"/>
      <c r="CC155" s="49"/>
      <c r="CD155" s="49"/>
      <c r="CE155" s="49"/>
      <c r="CF155" s="49"/>
      <c r="CG155" s="49"/>
      <c r="CH155" s="49"/>
      <c r="CI155" s="49"/>
      <c r="CJ155" s="49"/>
      <c r="CK155" s="49"/>
      <c r="CL155" s="49"/>
      <c r="CM155" s="49"/>
      <c r="CN155" s="49"/>
      <c r="CO155" s="49"/>
    </row>
    <row r="156" spans="1:93" x14ac:dyDescent="0.35">
      <c r="A156" s="49"/>
      <c r="B156" s="49"/>
      <c r="C156" s="49"/>
      <c r="D156" s="49"/>
      <c r="E156" s="49"/>
      <c r="F156" s="49"/>
      <c r="G156" s="49"/>
      <c r="H156" s="49"/>
      <c r="I156" s="49"/>
      <c r="J156" s="49"/>
      <c r="K156" s="49"/>
      <c r="L156" s="49"/>
      <c r="M156" s="49"/>
      <c r="N156" s="49"/>
      <c r="O156" s="49"/>
      <c r="P156" s="49"/>
      <c r="Q156" s="49"/>
      <c r="R156" s="49"/>
      <c r="S156" s="49"/>
      <c r="T156" s="49"/>
      <c r="U156" s="49"/>
      <c r="V156" s="49"/>
      <c r="W156" s="49"/>
      <c r="X156" s="49"/>
      <c r="Y156" s="49"/>
      <c r="Z156" s="49"/>
      <c r="AA156" s="49"/>
      <c r="AB156" s="49"/>
      <c r="AC156" s="49"/>
      <c r="AD156" s="49"/>
      <c r="AE156" s="49"/>
      <c r="AF156" s="49"/>
      <c r="AG156" s="49"/>
      <c r="AH156" s="49"/>
      <c r="AI156" s="49"/>
      <c r="AJ156" s="49"/>
      <c r="AK156" s="49"/>
      <c r="AL156" s="49"/>
      <c r="AM156" s="49"/>
      <c r="AN156" s="49"/>
      <c r="AO156" s="49"/>
      <c r="AP156" s="49"/>
      <c r="AQ156" s="49"/>
      <c r="AR156" s="49"/>
      <c r="AS156" s="49"/>
      <c r="AT156" s="49"/>
      <c r="AU156" s="49"/>
      <c r="AV156" s="49"/>
      <c r="AW156" s="49"/>
      <c r="AX156" s="49"/>
      <c r="AY156" s="49"/>
      <c r="AZ156" s="49"/>
      <c r="BA156" s="49"/>
      <c r="BB156" s="49"/>
      <c r="BC156" s="49"/>
      <c r="BD156" s="49"/>
      <c r="BE156" s="49"/>
      <c r="BF156" s="49"/>
      <c r="BG156" s="49"/>
      <c r="BH156" s="49"/>
      <c r="BI156" s="49"/>
      <c r="BJ156" s="49"/>
      <c r="BK156" s="49"/>
      <c r="BL156" s="49"/>
      <c r="BM156" s="49"/>
      <c r="BN156" s="49"/>
      <c r="BO156" s="49"/>
      <c r="BP156" s="49"/>
      <c r="BQ156" s="49"/>
      <c r="BR156" s="49"/>
      <c r="BS156" s="49"/>
      <c r="BT156" s="49"/>
      <c r="BU156" s="49"/>
      <c r="BV156" s="49"/>
      <c r="BW156" s="49"/>
      <c r="BX156" s="49"/>
      <c r="BY156" s="49"/>
      <c r="BZ156" s="49"/>
      <c r="CA156" s="49"/>
      <c r="CB156" s="49"/>
      <c r="CC156" s="49"/>
      <c r="CD156" s="49"/>
      <c r="CE156" s="49"/>
      <c r="CF156" s="49"/>
      <c r="CG156" s="49"/>
      <c r="CH156" s="49"/>
      <c r="CI156" s="49"/>
      <c r="CJ156" s="49"/>
      <c r="CK156" s="49"/>
      <c r="CL156" s="49"/>
      <c r="CM156" s="49"/>
      <c r="CN156" s="49"/>
      <c r="CO156" s="49"/>
    </row>
    <row r="157" spans="1:93" x14ac:dyDescent="0.35">
      <c r="A157" s="49"/>
      <c r="B157" s="49"/>
      <c r="C157" s="49"/>
      <c r="D157" s="49"/>
      <c r="E157" s="49"/>
      <c r="F157" s="49"/>
      <c r="G157" s="49"/>
      <c r="H157" s="49"/>
      <c r="I157" s="49"/>
      <c r="J157" s="49"/>
      <c r="K157" s="49"/>
      <c r="L157" s="49"/>
      <c r="M157" s="49"/>
      <c r="N157" s="49"/>
      <c r="O157" s="49"/>
      <c r="P157" s="49"/>
      <c r="Q157" s="49"/>
      <c r="R157" s="49"/>
      <c r="S157" s="49"/>
      <c r="T157" s="49"/>
      <c r="U157" s="49"/>
      <c r="V157" s="49"/>
      <c r="W157" s="49"/>
      <c r="X157" s="49"/>
      <c r="Y157" s="49"/>
      <c r="Z157" s="49"/>
      <c r="AA157" s="49"/>
      <c r="AB157" s="49"/>
      <c r="AC157" s="49"/>
      <c r="AD157" s="49"/>
      <c r="AE157" s="49"/>
      <c r="AF157" s="49"/>
      <c r="AG157" s="49"/>
      <c r="AH157" s="49"/>
      <c r="AI157" s="49"/>
      <c r="AJ157" s="49"/>
      <c r="AK157" s="49"/>
      <c r="AL157" s="49"/>
      <c r="AM157" s="49"/>
      <c r="AN157" s="49"/>
      <c r="AO157" s="49"/>
      <c r="AP157" s="49"/>
      <c r="AQ157" s="49"/>
      <c r="AR157" s="49"/>
      <c r="AS157" s="49"/>
      <c r="AT157" s="49"/>
      <c r="AU157" s="49"/>
      <c r="AV157" s="49"/>
      <c r="AW157" s="49"/>
      <c r="AX157" s="49"/>
      <c r="AY157" s="49"/>
      <c r="AZ157" s="49"/>
      <c r="BA157" s="49"/>
      <c r="BB157" s="49"/>
      <c r="BC157" s="49"/>
      <c r="BD157" s="49"/>
      <c r="BE157" s="49"/>
      <c r="BF157" s="49"/>
      <c r="BG157" s="49"/>
      <c r="BH157" s="49"/>
      <c r="BI157" s="49"/>
      <c r="BJ157" s="49"/>
      <c r="BK157" s="49"/>
      <c r="BL157" s="49"/>
      <c r="BM157" s="49"/>
      <c r="BN157" s="49"/>
      <c r="BO157" s="49"/>
      <c r="BP157" s="49"/>
      <c r="BQ157" s="49"/>
      <c r="BR157" s="49"/>
      <c r="BS157" s="49"/>
      <c r="BT157" s="49"/>
      <c r="BU157" s="49"/>
      <c r="BV157" s="49"/>
      <c r="BW157" s="49"/>
      <c r="BX157" s="49"/>
      <c r="BY157" s="49"/>
      <c r="BZ157" s="49"/>
      <c r="CA157" s="49"/>
      <c r="CB157" s="49"/>
      <c r="CC157" s="49"/>
      <c r="CD157" s="49"/>
      <c r="CE157" s="49"/>
      <c r="CF157" s="49"/>
      <c r="CG157" s="49"/>
      <c r="CH157" s="49"/>
      <c r="CI157" s="49"/>
      <c r="CJ157" s="49"/>
      <c r="CK157" s="49"/>
      <c r="CL157" s="49"/>
      <c r="CM157" s="49"/>
      <c r="CN157" s="49"/>
      <c r="CO157" s="49"/>
    </row>
    <row r="158" spans="1:93" x14ac:dyDescent="0.35">
      <c r="A158" s="49"/>
      <c r="B158" s="49"/>
      <c r="C158" s="49"/>
      <c r="D158" s="49"/>
      <c r="E158" s="49"/>
      <c r="F158" s="49"/>
      <c r="G158" s="49"/>
      <c r="H158" s="49"/>
      <c r="I158" s="49"/>
      <c r="J158" s="49"/>
      <c r="K158" s="49"/>
      <c r="L158" s="49"/>
      <c r="M158" s="49"/>
      <c r="N158" s="49"/>
      <c r="O158" s="49"/>
      <c r="P158" s="49"/>
      <c r="Q158" s="49"/>
      <c r="R158" s="49"/>
      <c r="S158" s="49"/>
      <c r="T158" s="49"/>
      <c r="U158" s="49"/>
      <c r="V158" s="49"/>
      <c r="W158" s="49"/>
      <c r="X158" s="49"/>
      <c r="Y158" s="49"/>
      <c r="Z158" s="49"/>
      <c r="AA158" s="49"/>
      <c r="AB158" s="49"/>
      <c r="AC158" s="49"/>
      <c r="AD158" s="49"/>
      <c r="AE158" s="49"/>
      <c r="AF158" s="49"/>
      <c r="AG158" s="49"/>
      <c r="AH158" s="49"/>
      <c r="AI158" s="49"/>
      <c r="AJ158" s="49"/>
      <c r="AK158" s="49"/>
      <c r="AL158" s="49"/>
      <c r="AM158" s="49"/>
      <c r="AN158" s="49"/>
      <c r="AO158" s="49"/>
      <c r="AP158" s="49"/>
      <c r="AQ158" s="49"/>
      <c r="AR158" s="49"/>
      <c r="AS158" s="49"/>
      <c r="AT158" s="49"/>
      <c r="AU158" s="49"/>
      <c r="AV158" s="49"/>
      <c r="AW158" s="49"/>
      <c r="AX158" s="49"/>
      <c r="AY158" s="49"/>
      <c r="AZ158" s="49"/>
      <c r="BA158" s="49"/>
      <c r="BB158" s="49"/>
      <c r="BC158" s="49"/>
      <c r="BD158" s="49"/>
      <c r="BE158" s="49"/>
      <c r="BF158" s="49"/>
      <c r="BG158" s="49"/>
      <c r="BH158" s="49"/>
      <c r="BI158" s="49"/>
      <c r="BJ158" s="49"/>
      <c r="BK158" s="49"/>
      <c r="BL158" s="49"/>
      <c r="BM158" s="49"/>
      <c r="BN158" s="49"/>
      <c r="BO158" s="49"/>
      <c r="BP158" s="49"/>
      <c r="BQ158" s="49"/>
      <c r="BR158" s="49"/>
      <c r="BS158" s="49"/>
      <c r="BT158" s="49"/>
      <c r="BU158" s="49"/>
      <c r="BV158" s="49"/>
      <c r="BW158" s="49"/>
      <c r="BX158" s="49"/>
      <c r="BY158" s="49"/>
      <c r="BZ158" s="49"/>
      <c r="CA158" s="49"/>
      <c r="CB158" s="49"/>
      <c r="CC158" s="49"/>
      <c r="CD158" s="49"/>
      <c r="CE158" s="49"/>
      <c r="CF158" s="49"/>
      <c r="CG158" s="49"/>
      <c r="CH158" s="49"/>
      <c r="CI158" s="49"/>
      <c r="CJ158" s="49"/>
      <c r="CK158" s="49"/>
      <c r="CL158" s="49"/>
      <c r="CM158" s="49"/>
      <c r="CN158" s="49"/>
      <c r="CO158" s="49"/>
    </row>
    <row r="159" spans="1:93" x14ac:dyDescent="0.35">
      <c r="A159" s="49"/>
      <c r="B159" s="49"/>
      <c r="C159" s="49"/>
      <c r="D159" s="49"/>
      <c r="E159" s="49"/>
      <c r="F159" s="49"/>
      <c r="G159" s="49"/>
      <c r="H159" s="49"/>
      <c r="I159" s="49"/>
      <c r="J159" s="49"/>
      <c r="K159" s="49"/>
      <c r="L159" s="49"/>
      <c r="M159" s="49"/>
      <c r="N159" s="49"/>
      <c r="O159" s="49"/>
      <c r="P159" s="49"/>
      <c r="Q159" s="49"/>
      <c r="R159" s="49"/>
      <c r="S159" s="49"/>
      <c r="T159" s="49"/>
      <c r="U159" s="49"/>
      <c r="V159" s="49"/>
      <c r="W159" s="49"/>
      <c r="X159" s="49"/>
      <c r="Y159" s="49"/>
      <c r="Z159" s="49"/>
      <c r="AA159" s="49"/>
      <c r="AB159" s="49"/>
      <c r="AC159" s="49"/>
      <c r="AD159" s="49"/>
      <c r="AE159" s="49"/>
      <c r="AF159" s="49"/>
      <c r="AG159" s="49"/>
      <c r="AH159" s="49"/>
      <c r="AI159" s="49"/>
      <c r="AJ159" s="49"/>
      <c r="AK159" s="49"/>
      <c r="AL159" s="49"/>
      <c r="AM159" s="49"/>
      <c r="AN159" s="49"/>
      <c r="AO159" s="49"/>
      <c r="AP159" s="49"/>
      <c r="AQ159" s="49"/>
      <c r="AR159" s="49"/>
      <c r="AS159" s="49"/>
      <c r="AT159" s="49"/>
      <c r="AU159" s="49"/>
      <c r="AV159" s="49"/>
      <c r="AW159" s="49"/>
      <c r="AX159" s="49"/>
      <c r="AY159" s="49"/>
      <c r="AZ159" s="49"/>
      <c r="BA159" s="49"/>
      <c r="BB159" s="49"/>
      <c r="BC159" s="49"/>
      <c r="BD159" s="49"/>
      <c r="BE159" s="49"/>
      <c r="BF159" s="49"/>
      <c r="BG159" s="49"/>
      <c r="BH159" s="49"/>
      <c r="BI159" s="49"/>
      <c r="BJ159" s="49"/>
      <c r="BK159" s="49"/>
      <c r="BL159" s="49"/>
      <c r="BM159" s="49"/>
      <c r="BN159" s="49"/>
      <c r="BO159" s="49"/>
      <c r="BP159" s="49"/>
      <c r="BQ159" s="49"/>
      <c r="BR159" s="49"/>
      <c r="BS159" s="49"/>
      <c r="BT159" s="49"/>
      <c r="BU159" s="49"/>
      <c r="BV159" s="49"/>
      <c r="BW159" s="49"/>
      <c r="BX159" s="49"/>
      <c r="BY159" s="49"/>
      <c r="BZ159" s="49"/>
      <c r="CA159" s="49"/>
      <c r="CB159" s="49"/>
      <c r="CC159" s="49"/>
      <c r="CD159" s="49"/>
      <c r="CE159" s="49"/>
      <c r="CF159" s="49"/>
      <c r="CG159" s="49"/>
      <c r="CH159" s="49"/>
      <c r="CI159" s="49"/>
      <c r="CJ159" s="49"/>
      <c r="CK159" s="49"/>
      <c r="CL159" s="49"/>
      <c r="CM159" s="49"/>
      <c r="CN159" s="49"/>
      <c r="CO159" s="49"/>
    </row>
    <row r="160" spans="1:93" x14ac:dyDescent="0.35">
      <c r="A160" s="49"/>
      <c r="B160" s="49"/>
      <c r="C160" s="49"/>
      <c r="D160" s="49"/>
      <c r="E160" s="49"/>
      <c r="F160" s="49"/>
      <c r="G160" s="49"/>
      <c r="H160" s="49"/>
      <c r="I160" s="49"/>
      <c r="J160" s="49"/>
      <c r="K160" s="49"/>
      <c r="L160" s="49"/>
      <c r="M160" s="49"/>
      <c r="N160" s="49"/>
      <c r="O160" s="49"/>
      <c r="P160" s="49"/>
      <c r="Q160" s="49"/>
      <c r="R160" s="49"/>
      <c r="S160" s="49"/>
      <c r="T160" s="49"/>
      <c r="U160" s="49"/>
      <c r="V160" s="49"/>
      <c r="W160" s="49"/>
      <c r="X160" s="49"/>
      <c r="Y160" s="49"/>
      <c r="Z160" s="49"/>
      <c r="AA160" s="49"/>
      <c r="AB160" s="49"/>
      <c r="AC160" s="49"/>
      <c r="AD160" s="49"/>
      <c r="AE160" s="49"/>
      <c r="AF160" s="49"/>
      <c r="AG160" s="49"/>
      <c r="AH160" s="49"/>
      <c r="AI160" s="49"/>
      <c r="AJ160" s="49"/>
      <c r="AK160" s="49"/>
      <c r="AL160" s="49"/>
      <c r="AM160" s="49"/>
      <c r="AN160" s="49"/>
      <c r="AO160" s="49"/>
      <c r="AP160" s="49"/>
      <c r="AQ160" s="49"/>
      <c r="AR160" s="49"/>
      <c r="AS160" s="49"/>
      <c r="AT160" s="49"/>
      <c r="AU160" s="49"/>
      <c r="AV160" s="49"/>
      <c r="AW160" s="49"/>
      <c r="AX160" s="49"/>
      <c r="AY160" s="49"/>
      <c r="AZ160" s="49"/>
      <c r="BA160" s="49"/>
      <c r="BB160" s="49"/>
      <c r="BC160" s="49"/>
      <c r="BD160" s="49"/>
      <c r="BE160" s="49"/>
      <c r="BF160" s="49"/>
      <c r="BG160" s="49"/>
      <c r="BH160" s="49"/>
      <c r="BI160" s="49"/>
      <c r="BJ160" s="49"/>
      <c r="BK160" s="49"/>
      <c r="BL160" s="49"/>
      <c r="BM160" s="49"/>
      <c r="BN160" s="49"/>
      <c r="BO160" s="49"/>
      <c r="BP160" s="49"/>
      <c r="BQ160" s="49"/>
      <c r="BR160" s="49"/>
      <c r="BS160" s="49"/>
      <c r="BT160" s="49"/>
      <c r="BU160" s="49"/>
      <c r="BV160" s="49"/>
      <c r="BW160" s="49"/>
      <c r="BX160" s="49"/>
      <c r="BY160" s="49"/>
      <c r="BZ160" s="49"/>
      <c r="CA160" s="49"/>
      <c r="CB160" s="49"/>
      <c r="CC160" s="49"/>
      <c r="CD160" s="49"/>
      <c r="CE160" s="49"/>
      <c r="CF160" s="49"/>
      <c r="CG160" s="49"/>
      <c r="CH160" s="49"/>
      <c r="CI160" s="49"/>
      <c r="CJ160" s="49"/>
      <c r="CK160" s="49"/>
      <c r="CL160" s="49"/>
      <c r="CM160" s="49"/>
      <c r="CN160" s="49"/>
      <c r="CO160" s="49"/>
    </row>
  </sheetData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9dc9034-7580-41c9-a812-2b62a8df4258" xsi:nil="true"/>
    <Password xmlns="208516fb-bec9-4b51-af80-c22c81e4c800" xsi:nil="true"/>
    <ModuleName xmlns="208516fb-bec9-4b51-af80-c22c81e4c800" xsi:nil="true"/>
    <ConceptCode xmlns="208516fb-bec9-4b51-af80-c22c81e4c800" xsi:nil="true"/>
    <Sequence xmlns="208516fb-bec9-4b51-af80-c22c81e4c800" xsi:nil="true"/>
    <lcf76f155ced4ddcb4097134ff3c332f xmlns="208516fb-bec9-4b51-af80-c22c81e4c800">
      <Terms xmlns="http://schemas.microsoft.com/office/infopath/2007/PartnerControls"/>
    </lcf76f155ced4ddcb4097134ff3c332f>
    <Comment xmlns="208516fb-bec9-4b51-af80-c22c81e4c800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haredContentType xmlns="Microsoft.SharePoint.Taxonomy.ContentTypeSync" SourceId="53f3b1a9-51f1-41b1-ab2b-6b3ab766cedb" ContentTypeId="0x0101" PreviousValue="false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167A1D472FC0499AC7E3EDDEA0BE45" ma:contentTypeVersion="24" ma:contentTypeDescription="Create a new document." ma:contentTypeScope="" ma:versionID="c4f95ee37b027e73b27444f8f87dd4bb">
  <xsd:schema xmlns:xsd="http://www.w3.org/2001/XMLSchema" xmlns:xs="http://www.w3.org/2001/XMLSchema" xmlns:p="http://schemas.microsoft.com/office/2006/metadata/properties" xmlns:ns2="d9dc9034-7580-41c9-a812-2b62a8df4258" xmlns:ns3="208516fb-bec9-4b51-af80-c22c81e4c800" xmlns:ns4="c9357dfc-5c33-4d4f-b1ba-9a3a96b5474b" targetNamespace="http://schemas.microsoft.com/office/2006/metadata/properties" ma:root="true" ma:fieldsID="3d50b2f024fa7908f10f6affb74441f5" ns2:_="" ns3:_="" ns4:_="">
    <xsd:import namespace="d9dc9034-7580-41c9-a812-2b62a8df4258"/>
    <xsd:import namespace="208516fb-bec9-4b51-af80-c22c81e4c800"/>
    <xsd:import namespace="c9357dfc-5c33-4d4f-b1ba-9a3a96b5474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3:MediaServiceDateTaken" minOccurs="0"/>
                <xsd:element ref="ns3:Sequence" minOccurs="0"/>
                <xsd:element ref="ns3:ConceptCode" minOccurs="0"/>
                <xsd:element ref="ns3:ModuleName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Password" minOccurs="0"/>
                <xsd:element ref="ns3:MediaServiceLocation" minOccurs="0"/>
                <xsd:element ref="ns3:MediaLengthInSeconds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dc9034-7580-41c9-a812-2b62a8df4258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bce49362-bf96-4dc6-805a-c45b96e59ff6}" ma:internalName="TaxCatchAll" ma:showField="CatchAllData" ma:web="c9357dfc-5c33-4d4f-b1ba-9a3a96b547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bce49362-bf96-4dc6-805a-c45b96e59ff6}" ma:internalName="TaxCatchAllLabel" ma:readOnly="true" ma:showField="CatchAllDataLabel" ma:web="c9357dfc-5c33-4d4f-b1ba-9a3a96b5474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8516fb-bec9-4b51-af80-c22c81e4c80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Sequence" ma:index="17" nillable="true" ma:displayName="Concept No" ma:description="Logical order of display" ma:format="Dropdown" ma:internalName="Sequence">
      <xsd:simpleType>
        <xsd:restriction base="dms:Text">
          <xsd:maxLength value="255"/>
        </xsd:restriction>
      </xsd:simpleType>
    </xsd:element>
    <xsd:element name="ConceptCode" ma:index="18" nillable="true" ma:displayName="Concept Code" ma:format="Dropdown" ma:indexed="true" ma:internalName="ConceptCode">
      <xsd:simpleType>
        <xsd:restriction base="dms:Text">
          <xsd:maxLength value="255"/>
        </xsd:restriction>
      </xsd:simpleType>
    </xsd:element>
    <xsd:element name="ModuleName" ma:index="19" nillable="true" ma:displayName="Module Name" ma:format="Dropdown" ma:internalName="ModuleName">
      <xsd:simpleType>
        <xsd:restriction base="dms:Text">
          <xsd:maxLength value="255"/>
        </xsd:restriction>
      </xsd:simpleType>
    </xsd:element>
    <xsd:element name="MediaServiceAutoTags" ma:index="20" nillable="true" ma:displayName="Tags" ma:internalName="MediaServiceAutoTags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Password" ma:index="24" nillable="true" ma:displayName="Password" ma:format="Dropdown" ma:internalName="Password">
      <xsd:simpleType>
        <xsd:restriction base="dms:Text">
          <xsd:maxLength value="255"/>
        </xsd:restriction>
      </xsd:simpleType>
    </xsd:element>
    <xsd:element name="MediaServiceLocation" ma:index="25" nillable="true" ma:displayName="Location" ma:internalName="MediaServiceLocation" ma:readOnly="true">
      <xsd:simpleType>
        <xsd:restriction base="dms:Text"/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8" nillable="true" ma:taxonomy="true" ma:internalName="lcf76f155ced4ddcb4097134ff3c332f" ma:taxonomyFieldName="MediaServiceImageTags" ma:displayName="Image Tags" ma:readOnly="false" ma:fieldId="{5cf76f15-5ced-4ddc-b409-7134ff3c332f}" ma:taxonomyMulti="true" ma:sspId="53f3b1a9-51f1-41b1-ab2b-6b3ab766ced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9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Comment" ma:index="31" nillable="true" ma:displayName="Comment" ma:format="Dropdown" ma:internalName="Comment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357dfc-5c33-4d4f-b1ba-9a3a96b5474b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FECC70-7B2E-4DC0-A7D9-3B38B15AA407}">
  <ds:schemaRefs>
    <ds:schemaRef ds:uri="d9dc9034-7580-41c9-a812-2b62a8df4258"/>
    <ds:schemaRef ds:uri="http://purl.org/dc/elements/1.1/"/>
    <ds:schemaRef ds:uri="http://schemas.microsoft.com/office/2006/metadata/properties"/>
    <ds:schemaRef ds:uri="http://schemas.microsoft.com/office/2006/documentManagement/types"/>
    <ds:schemaRef ds:uri="208516fb-bec9-4b51-af80-c22c81e4c800"/>
    <ds:schemaRef ds:uri="http://schemas.microsoft.com/office/infopath/2007/PartnerControls"/>
    <ds:schemaRef ds:uri="http://www.w3.org/XML/1998/namespace"/>
    <ds:schemaRef ds:uri="http://purl.org/dc/dcmitype/"/>
    <ds:schemaRef ds:uri="c9357dfc-5c33-4d4f-b1ba-9a3a96b5474b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76C907B-3968-4967-875B-5D06C2DC63B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AC28B7-EC63-48D7-8729-38D651F86277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BFC18258-38CD-4321-8EA6-CF08BC0510A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9dc9034-7580-41c9-a812-2b62a8df4258"/>
    <ds:schemaRef ds:uri="208516fb-bec9-4b51-af80-c22c81e4c800"/>
    <ds:schemaRef ds:uri="c9357dfc-5c33-4d4f-b1ba-9a3a96b5474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SAA with CME</vt:lpstr>
      <vt:lpstr>Index Returns</vt:lpstr>
      <vt:lpstr>SAAPortfolioPerformance</vt:lpstr>
      <vt:lpstr>TAA</vt:lpstr>
      <vt:lpstr>TAAPortfolioPerformance</vt:lpstr>
      <vt:lpstr>CurrencyHedge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Cara Marshall</dc:creator>
  <cp:keywords/>
  <dc:description/>
  <cp:lastModifiedBy>Labao, Dianne</cp:lastModifiedBy>
  <cp:revision/>
  <dcterms:created xsi:type="dcterms:W3CDTF">2023-12-16T15:41:22Z</dcterms:created>
  <dcterms:modified xsi:type="dcterms:W3CDTF">2024-03-21T06:43:34Z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0x010100A8167A1D472FC0499AC7E3EDDEA0BE45</vt:lpwstr>
  </property>
  <property fmtid="{D5CDD505-2E9C-101B-9397-08002B2CF9AE}" pid="3" name="MediaServiceImageTags">
    <vt:lpwstr/>
  </property>
</Properties>
</file>