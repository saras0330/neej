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1920" windowWidth="29040" windowHeight="15840" tabRatio="834" firstSheet="0" activeTab="0" autoFilterDateGrouping="1"/>
  </bookViews>
  <sheets>
    <sheet xmlns:r="http://schemas.openxmlformats.org/officeDocument/2006/relationships" name="CME - AM1" sheetId="1" state="visible" r:id="rId1"/>
    <sheet xmlns:r="http://schemas.openxmlformats.org/officeDocument/2006/relationships" name="CME - AM2" sheetId="2" state="visible" r:id="rId2"/>
    <sheet xmlns:r="http://schemas.openxmlformats.org/officeDocument/2006/relationships" name="Index Returns" sheetId="3" state="visible" r:id="rId3"/>
    <sheet xmlns:r="http://schemas.openxmlformats.org/officeDocument/2006/relationships" name="CME - AM" sheetId="4" state="visible" r:id="rId4"/>
    <sheet xmlns:r="http://schemas.openxmlformats.org/officeDocument/2006/relationships" name="SAA with CME" sheetId="5" state="visible" r:id="rId5"/>
    <sheet xmlns:r="http://schemas.openxmlformats.org/officeDocument/2006/relationships" name="SAA applied to Index Returns" sheetId="6" state="visible" r:id="rId6"/>
    <sheet xmlns:r="http://schemas.openxmlformats.org/officeDocument/2006/relationships" name="Backtesting SAA" sheetId="7" state="visible" r:id="rId7"/>
    <sheet xmlns:r="http://schemas.openxmlformats.org/officeDocument/2006/relationships" name="Interpretation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m/d/yyyy;@"/>
    <numFmt numFmtId="166" formatCode="0.0000%"/>
    <numFmt numFmtId="167" formatCode="0.000"/>
    <numFmt numFmtId="168" formatCode="0.0000"/>
    <numFmt numFmtId="169" formatCode="mmm-yyyy"/>
    <numFmt numFmtId="170" formatCode="dd-mmm-yyyy"/>
    <numFmt numFmtId="171" formatCode="#,##0_);\(#,##0\);\-\-_)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Lato"/>
      <family val="2"/>
      <b val="1"/>
      <color rgb="FFFFFFFF"/>
      <sz val="10"/>
    </font>
    <font>
      <name val="Lato"/>
      <family val="2"/>
      <b val="1"/>
      <color rgb="FF333333"/>
      <sz val="8"/>
    </font>
    <font>
      <name val="Arial"/>
      <family val="2"/>
      <b val="1"/>
      <color theme="1"/>
      <sz val="14"/>
      <u val="single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Arial"/>
      <family val="2"/>
      <color theme="0"/>
      <sz val="14"/>
    </font>
    <font>
      <name val="Arial"/>
      <family val="2"/>
      <b val="1"/>
      <color theme="1"/>
      <sz val="14"/>
    </font>
    <font>
      <b val="1"/>
      <sz val="14"/>
    </font>
    <font>
      <color rgb="000000FF"/>
    </font>
    <font>
      <b val="1"/>
      <color rgb="00FFFFFF"/>
    </font>
    <font>
      <b val="1"/>
    </font>
    <font>
      <i val="1"/>
      <color rgb="00595959"/>
    </font>
    <font>
      <b val="1"/>
      <sz val="12"/>
    </font>
    <font>
      <i val="1"/>
    </font>
  </fonts>
  <fills count="7">
    <fill>
      <patternFill/>
    </fill>
    <fill>
      <patternFill patternType="gray125"/>
    </fill>
    <fill>
      <patternFill patternType="solid">
        <fgColor rgb="FF007A87"/>
        <bgColor indexed="64"/>
      </patternFill>
    </fill>
    <fill>
      <patternFill patternType="solid">
        <fgColor rgb="FF4476FF"/>
        <bgColor indexed="64"/>
      </patternFill>
    </fill>
    <fill>
      <patternFill patternType="solid">
        <fgColor rgb="FF06005A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5">
    <xf numFmtId="0" fontId="1" fillId="0" borderId="0"/>
    <xf numFmtId="9" fontId="1" fillId="0" borderId="0"/>
    <xf numFmtId="171" fontId="2" fillId="2" borderId="0" applyAlignment="1" applyProtection="1">
      <alignment horizontal="left" vertical="top"/>
      <protection locked="0" hidden="0"/>
    </xf>
    <xf numFmtId="171" fontId="3" fillId="0" borderId="1" applyAlignment="1" applyProtection="1">
      <alignment horizontal="left"/>
      <protection locked="0" hidden="0"/>
    </xf>
    <xf numFmtId="43" fontId="1" fillId="0" borderId="0"/>
  </cellStyleXfs>
  <cellXfs count="5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3" borderId="0" pivotButton="0" quotePrefix="0" xfId="0"/>
    <xf numFmtId="10" fontId="5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5" fontId="7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165" fontId="8" fillId="0" borderId="2" applyAlignment="1" pivotButton="0" quotePrefix="0" xfId="0">
      <alignment horizontal="center" vertical="top"/>
    </xf>
    <xf numFmtId="166" fontId="5" fillId="0" borderId="0" pivotButton="0" quotePrefix="0" xfId="0"/>
    <xf numFmtId="165" fontId="5" fillId="0" borderId="0" pivotButton="0" quotePrefix="0" xfId="0"/>
    <xf numFmtId="164" fontId="5" fillId="0" borderId="0" applyAlignment="1" pivotButton="0" quotePrefix="0" xfId="1">
      <alignment horizontal="center"/>
    </xf>
    <xf numFmtId="165" fontId="5" fillId="0" borderId="0" pivotButton="0" quotePrefix="0" xfId="0"/>
    <xf numFmtId="165" fontId="7" fillId="4" borderId="0" applyAlignment="1" pivotButton="0" quotePrefix="0" xfId="0">
      <alignment horizontal="center"/>
    </xf>
    <xf numFmtId="165" fontId="8" fillId="0" borderId="2" applyAlignment="1" pivotButton="0" quotePrefix="0" xfId="0">
      <alignment horizontal="center" vertical="top"/>
    </xf>
    <xf numFmtId="0" fontId="9" fillId="0" borderId="0" pivotButton="0" quotePrefix="0" xfId="0"/>
    <xf numFmtId="2" fontId="10" fillId="0" borderId="3" pivotButton="0" quotePrefix="0" xfId="0"/>
    <xf numFmtId="0" fontId="11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10" fontId="0" fillId="0" borderId="3" pivotButton="0" quotePrefix="0" xfId="0"/>
    <xf numFmtId="10" fontId="0" fillId="6" borderId="3" pivotButton="0" quotePrefix="0" xfId="0"/>
    <xf numFmtId="167" fontId="0" fillId="0" borderId="3" pivotButton="0" quotePrefix="0" xfId="0"/>
    <xf numFmtId="167" fontId="0" fillId="6" borderId="3" pivotButton="0" quotePrefix="0" xfId="0"/>
    <xf numFmtId="0" fontId="12" fillId="0" borderId="0" pivotButton="0" quotePrefix="0" xfId="0"/>
    <xf numFmtId="0" fontId="12" fillId="0" borderId="3" pivotButton="0" quotePrefix="0" xfId="0"/>
    <xf numFmtId="164" fontId="10" fillId="0" borderId="3" pivotButton="0" quotePrefix="0" xfId="0"/>
    <xf numFmtId="0" fontId="13" fillId="0" borderId="0" pivotButton="0" quotePrefix="0" xfId="0"/>
    <xf numFmtId="0" fontId="14" fillId="0" borderId="0" pivotButton="0" quotePrefix="0" xfId="0"/>
    <xf numFmtId="10" fontId="10" fillId="0" borderId="3" pivotButton="0" quotePrefix="0" xfId="0"/>
    <xf numFmtId="168" fontId="0" fillId="0" borderId="3" pivotButton="0" quotePrefix="0" xfId="0"/>
    <xf numFmtId="2" fontId="0" fillId="6" borderId="3" pivotButton="0" quotePrefix="0" xfId="0"/>
    <xf numFmtId="0" fontId="15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10" fontId="12" fillId="0" borderId="0" pivotButton="0" quotePrefix="0" xfId="0"/>
    <xf numFmtId="167" fontId="0" fillId="0" borderId="0" pivotButton="0" quotePrefix="0" xfId="0"/>
    <xf numFmtId="170" fontId="10" fillId="0" borderId="0" pivotButton="0" quotePrefix="0" xfId="0"/>
    <xf numFmtId="0" fontId="10" fillId="0" borderId="3" pivotButton="0" quotePrefix="0" xfId="0"/>
    <xf numFmtId="170" fontId="0" fillId="0" borderId="3" pivotButton="0" quotePrefix="0" xfId="0"/>
    <xf numFmtId="10" fontId="12" fillId="6" borderId="3" pivotButton="0" quotePrefix="0" xfId="0"/>
    <xf numFmtId="2" fontId="0" fillId="0" borderId="3" pivotButton="0" quotePrefix="0" xfId="0"/>
    <xf numFmtId="2" fontId="12" fillId="6" borderId="3" pivotButton="0" quotePrefix="0" xfId="0"/>
    <xf numFmtId="0" fontId="0" fillId="0" borderId="6" pivotButton="0" quotePrefix="0" xfId="0"/>
    <xf numFmtId="0" fontId="0" fillId="0" borderId="7" pivotButton="0" quotePrefix="0" xfId="0"/>
    <xf numFmtId="167" fontId="0" fillId="0" borderId="3" pivotButton="0" quotePrefix="0" xfId="0"/>
    <xf numFmtId="167" fontId="0" fillId="6" borderId="3" pivotButton="0" quotePrefix="0" xfId="0"/>
    <xf numFmtId="168" fontId="0" fillId="0" borderId="3" pivotButton="0" quotePrefix="0" xfId="0"/>
    <xf numFmtId="169" fontId="0" fillId="0" borderId="0" pivotButton="0" quotePrefix="0" xfId="0"/>
    <xf numFmtId="167" fontId="0" fillId="0" borderId="0" pivotButton="0" quotePrefix="0" xfId="0"/>
    <xf numFmtId="170" fontId="10" fillId="0" borderId="0" pivotButton="0" quotePrefix="0" xfId="0"/>
    <xf numFmtId="170" fontId="0" fillId="0" borderId="3" pivotButton="0" quotePrefix="0" xfId="0"/>
    <xf numFmtId="0" fontId="1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5">
    <cellStyle name="Normal" xfId="0" builtinId="0"/>
    <cellStyle name="Percent" xfId="1" builtinId="5"/>
    <cellStyle name="banner1" xfId="2"/>
    <cellStyle name="headingL" xfId="3"/>
    <cellStyle name="Comma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8">
    <tabColor rgb="FF06005A"/>
    <outlinePr summaryBelow="1" summaryRight="1"/>
    <pageSetUpPr/>
  </sheetPr>
  <dimension ref="A1:BC54"/>
  <sheetViews>
    <sheetView tabSelected="1" workbookViewId="0">
      <selection activeCell="A1" sqref="A1"/>
    </sheetView>
  </sheetViews>
  <sheetFormatPr baseColWidth="8" defaultColWidth="0" defaultRowHeight="17.5" zeroHeight="1"/>
  <cols>
    <col width="48.08984375" bestFit="1" customWidth="1" style="2" min="1" max="1"/>
    <col width="51.26953125" bestFit="1" customWidth="1" style="2" min="2" max="2"/>
    <col width="21" bestFit="1" customWidth="1" style="3" min="3" max="3"/>
    <col width="17" bestFit="1" customWidth="1" style="3" min="4" max="4"/>
    <col width="12.54296875" bestFit="1" customWidth="1" style="2" min="5" max="5"/>
    <col width="14.1796875" bestFit="1" customWidth="1" style="2" min="6" max="6"/>
    <col width="35" bestFit="1" customWidth="1" style="2" min="7" max="7"/>
    <col width="26.1796875" bestFit="1" customWidth="1" style="2" min="8" max="8"/>
    <col width="12.54296875" bestFit="1" customWidth="1" style="2" min="9" max="9"/>
    <col width="27.6328125" bestFit="1" customWidth="1" style="2" min="10" max="10"/>
    <col width="46.90625" bestFit="1" customWidth="1" style="2" min="11" max="11"/>
    <col width="46.6328125" bestFit="1" customWidth="1" style="2" min="12" max="12"/>
    <col width="39.54296875" bestFit="1" customWidth="1" style="2" min="13" max="13"/>
    <col width="33.90625" bestFit="1" customWidth="1" style="2" min="14" max="14"/>
    <col width="27.08984375" bestFit="1" customWidth="1" style="2" min="15" max="15"/>
    <col width="27.54296875" bestFit="1" customWidth="1" style="2" min="16" max="16"/>
    <col width="41.81640625" bestFit="1" customWidth="1" style="2" min="17" max="17"/>
    <col width="31.90625" bestFit="1" customWidth="1" style="2" min="18" max="18"/>
    <col width="51.26953125" bestFit="1" customWidth="1" style="2" min="19" max="19"/>
    <col width="41.453125" bestFit="1" customWidth="1" style="2" min="20" max="20"/>
    <col width="41.81640625" bestFit="1" customWidth="1" style="2" min="21" max="21"/>
    <col width="47.54296875" bestFit="1" customWidth="1" style="2" min="22" max="22"/>
    <col width="43.6328125" bestFit="1" customWidth="1" style="2" min="23" max="23"/>
    <col width="29.453125" bestFit="1" customWidth="1" style="2" min="24" max="24"/>
    <col width="24.90625" bestFit="1" customWidth="1" style="2" min="25" max="25"/>
    <col width="19.1796875" bestFit="1" customWidth="1" style="2" min="26" max="26"/>
    <col width="16.453125" bestFit="1" customWidth="1" style="2" min="27" max="27"/>
    <col width="18.90625" bestFit="1" customWidth="1" style="2" min="28" max="28"/>
    <col width="26.7265625" bestFit="1" customWidth="1" style="2" min="29" max="29"/>
    <col width="28.36328125" bestFit="1" customWidth="1" style="2" min="30" max="30"/>
    <col width="26.1796875" bestFit="1" customWidth="1" style="2" min="31" max="31"/>
    <col width="20.7265625" bestFit="1" customWidth="1" style="2" min="32" max="32"/>
    <col width="22.36328125" bestFit="1" customWidth="1" style="2" min="33" max="33"/>
    <col width="17.81640625" bestFit="1" customWidth="1" style="2" min="34" max="34"/>
    <col width="26" bestFit="1" customWidth="1" style="2" min="35" max="35"/>
    <col width="16.08984375" bestFit="1" customWidth="1" style="2" min="36" max="36"/>
    <col width="30.54296875" bestFit="1" customWidth="1" style="2" min="37" max="37"/>
    <col width="30.26953125" bestFit="1" customWidth="1" style="2" min="38" max="38"/>
    <col width="20.7265625" bestFit="1" customWidth="1" style="2" min="39" max="39"/>
    <col width="17.1796875" bestFit="1" customWidth="1" style="2" min="40" max="40"/>
    <col width="34.90625" bestFit="1" customWidth="1" style="2" min="41" max="41"/>
    <col width="36.90625" bestFit="1" customWidth="1" style="2" min="42" max="42"/>
    <col width="50.54296875" bestFit="1" customWidth="1" style="2" min="43" max="43"/>
    <col width="43.7265625" bestFit="1" customWidth="1" style="2" min="44" max="44"/>
    <col width="14.453125" bestFit="1" customWidth="1" style="2" min="45" max="45"/>
    <col width="40.90625" bestFit="1" customWidth="1" style="2" min="46" max="46"/>
    <col width="31.453125" bestFit="1" customWidth="1" style="2" min="47" max="47"/>
    <col width="30.54296875" bestFit="1" customWidth="1" style="2" min="48" max="48"/>
    <col width="33" bestFit="1" customWidth="1" style="2" min="49" max="49"/>
    <col width="37.90625" bestFit="1" customWidth="1" style="2" min="50" max="50"/>
    <col width="34.90625" bestFit="1" customWidth="1" style="2" min="51" max="51"/>
    <col width="25.1796875" bestFit="1" customWidth="1" style="2" min="52" max="52"/>
    <col width="18.26953125" bestFit="1" customWidth="1" style="2" min="53" max="53"/>
    <col width="16.90625" bestFit="1" customWidth="1" style="2" min="54" max="54"/>
    <col width="6.81640625" bestFit="1" customWidth="1" style="2" min="55" max="55"/>
    <col width="6.1796875" customWidth="1" style="2" min="56" max="56"/>
    <col hidden="1" width="13" customWidth="1" style="2" min="57" max="16384"/>
  </cols>
  <sheetData>
    <row r="1" ht="18" customHeight="1">
      <c r="A1" s="1" t="inlineStr">
        <is>
          <t>10-Year Capital Market Expectations</t>
        </is>
      </c>
    </row>
    <row r="3">
      <c r="C3" s="3" t="inlineStr">
        <is>
          <t>Expected Return</t>
        </is>
      </c>
      <c r="D3" s="4" t="inlineStr">
        <is>
          <t>Expected Vol</t>
        </is>
      </c>
      <c r="E3" s="2" t="inlineStr">
        <is>
          <t>Inflation</t>
        </is>
      </c>
      <c r="F3" s="2" t="inlineStr">
        <is>
          <t>U.S. Cash</t>
        </is>
      </c>
      <c r="G3" s="2" t="inlineStr">
        <is>
          <t>U.S. Intermediate Treasuries</t>
        </is>
      </c>
      <c r="H3" s="2" t="inlineStr">
        <is>
          <t>U.S. Long Treasuries</t>
        </is>
      </c>
      <c r="I3" s="2" t="inlineStr">
        <is>
          <t>TIPS</t>
        </is>
      </c>
      <c r="J3" s="2" t="inlineStr">
        <is>
          <t>U.S. Aggregate Bonds</t>
        </is>
      </c>
      <c r="K3" s="2" t="inlineStr">
        <is>
          <t>U.S. Short Duration Government/Credit</t>
        </is>
      </c>
      <c r="L3" s="2" t="inlineStr">
        <is>
          <t>U.S. Long Duration Government/Credit</t>
        </is>
      </c>
      <c r="M3" s="2" t="inlineStr">
        <is>
          <t>U.S. Inv Grade Corporate Bonds</t>
        </is>
      </c>
      <c r="N3" s="2" t="inlineStr">
        <is>
          <t>U.S. Long Corporate Bonds</t>
        </is>
      </c>
      <c r="O3" s="2" t="inlineStr">
        <is>
          <t>U.S. High Yield Bonds</t>
        </is>
      </c>
      <c r="P3" s="2" t="inlineStr">
        <is>
          <t>U.S. Leveraged Loans</t>
        </is>
      </c>
      <c r="Q3" s="2" t="inlineStr">
        <is>
          <t>World Government Bonds hedged</t>
        </is>
      </c>
      <c r="R3" s="2" t="inlineStr">
        <is>
          <t>World Government Bonds</t>
        </is>
      </c>
      <c r="S3" s="2" t="inlineStr">
        <is>
          <t>World ex-U.S. Government Bonds hedged</t>
        </is>
      </c>
      <c r="T3" s="2" t="inlineStr">
        <is>
          <t>World ex-U.S. Government Bonds</t>
        </is>
      </c>
      <c r="U3" s="2" t="inlineStr">
        <is>
          <t>Emerging Markets Sovereign Debt</t>
        </is>
      </c>
      <c r="V3" s="2" t="inlineStr">
        <is>
          <t>Emerging Markets Local Currency Debt</t>
        </is>
      </c>
      <c r="W3" s="2" t="inlineStr">
        <is>
          <t>Emerging Markets Corporate Bonds</t>
        </is>
      </c>
      <c r="X3" s="2" t="inlineStr">
        <is>
          <t>U.S. Muni 1-15-Yr Blend</t>
        </is>
      </c>
      <c r="Y3" s="2" t="inlineStr">
        <is>
          <t>U.S. Muni High Yield</t>
        </is>
      </c>
      <c r="Z3" s="2" t="inlineStr">
        <is>
          <t>U.S. Large Cap</t>
        </is>
      </c>
      <c r="AA3" s="2" t="inlineStr">
        <is>
          <t>U.S. Mid Cap</t>
        </is>
      </c>
      <c r="AB3" s="2" t="inlineStr">
        <is>
          <t>U.S. Small Cap</t>
        </is>
      </c>
      <c r="AC3" s="2" t="inlineStr">
        <is>
          <t>U.S. Large Cap Value</t>
        </is>
      </c>
      <c r="AD3" s="2" t="inlineStr">
        <is>
          <t>U.S. Large Cap Growth</t>
        </is>
      </c>
      <c r="AE3" s="2" t="inlineStr">
        <is>
          <t>Euro Area Large Cap</t>
        </is>
      </c>
      <c r="AF3" s="2" t="inlineStr">
        <is>
          <t>Japanese Equity</t>
        </is>
      </c>
      <c r="AG3" s="2" t="inlineStr">
        <is>
          <t>Hong Kong Equity</t>
        </is>
      </c>
      <c r="AH3" s="2" t="inlineStr">
        <is>
          <t>UK Large Cap</t>
        </is>
      </c>
      <c r="AI3" s="2" t="inlineStr">
        <is>
          <t>EAFE Equity hedged</t>
        </is>
      </c>
      <c r="AJ3" s="2" t="inlineStr">
        <is>
          <t>EAFE Equity</t>
        </is>
      </c>
      <c r="AK3" s="2" t="inlineStr">
        <is>
          <t>Emerging Markets Equity</t>
        </is>
      </c>
      <c r="AL3" s="2" t="inlineStr">
        <is>
          <t>AC Asia ex-Japan Equity</t>
        </is>
      </c>
      <c r="AM3" s="2" t="inlineStr">
        <is>
          <t>AC World Equity</t>
        </is>
      </c>
      <c r="AN3" s="2" t="inlineStr">
        <is>
          <t>Private Equity</t>
        </is>
      </c>
      <c r="AO3" s="2" t="inlineStr">
        <is>
          <t>U.S. Core Direct Real Estate</t>
        </is>
      </c>
      <c r="AP3" s="2" t="inlineStr">
        <is>
          <t>U.S. Value-Added Real Estate</t>
        </is>
      </c>
      <c r="AQ3" s="2" t="inlineStr">
        <is>
          <t>European ex-UK Prime Direct Real Estate</t>
        </is>
      </c>
      <c r="AR3" s="2" t="inlineStr">
        <is>
          <t>Asia Pacific Core Direct Real Estate</t>
        </is>
      </c>
      <c r="AS3" s="2" t="inlineStr">
        <is>
          <t>U.S. REITs</t>
        </is>
      </c>
      <c r="AT3" s="2" t="inlineStr">
        <is>
          <t>Global Direct Infrastructure Equity</t>
        </is>
      </c>
      <c r="AU3" s="2" t="inlineStr">
        <is>
          <t>Global Infrastructure Debt</t>
        </is>
      </c>
      <c r="AV3" s="2" t="inlineStr">
        <is>
          <t>Diversified Hedge Funds</t>
        </is>
      </c>
      <c r="AW3" s="2" t="inlineStr">
        <is>
          <t>Event Driven Hedge Funds</t>
        </is>
      </c>
      <c r="AX3" s="2" t="inlineStr">
        <is>
          <t>Equity Long Bias Hedge Funds</t>
        </is>
      </c>
      <c r="AY3" s="2" t="inlineStr">
        <is>
          <t>Relative Value Hedge Funds</t>
        </is>
      </c>
      <c r="AZ3" s="2" t="inlineStr">
        <is>
          <t>Macro Hedge Funds</t>
        </is>
      </c>
      <c r="BA3" s="2" t="inlineStr">
        <is>
          <t>Direct Lending</t>
        </is>
      </c>
      <c r="BB3" s="2" t="inlineStr">
        <is>
          <t>Commodities</t>
        </is>
      </c>
      <c r="BC3" s="2" t="inlineStr">
        <is>
          <t>Gold</t>
        </is>
      </c>
    </row>
    <row r="4">
      <c r="A4" s="2" t="inlineStr">
        <is>
          <t>FIXED INCOME</t>
        </is>
      </c>
      <c r="B4" s="2" t="inlineStr">
        <is>
          <t>Inflation</t>
        </is>
      </c>
      <c r="C4" s="5" t="n">
        <v>0.02439</v>
      </c>
      <c r="D4" s="5" t="n">
        <v>0.01362</v>
      </c>
      <c r="E4" s="2" t="n">
        <v>1</v>
      </c>
    </row>
    <row r="5">
      <c r="A5" s="2" t="inlineStr">
        <is>
          <t>FIXED INCOME</t>
        </is>
      </c>
      <c r="B5" s="2" t="inlineStr">
        <is>
          <t>U.S. Cash</t>
        </is>
      </c>
      <c r="C5" s="5" t="n">
        <v>0.01846</v>
      </c>
      <c r="D5" s="5" t="n">
        <v>0.00459</v>
      </c>
      <c r="E5" s="2" t="n">
        <v>0.08400000000000001</v>
      </c>
      <c r="F5" s="2" t="n">
        <v>1</v>
      </c>
    </row>
    <row r="6">
      <c r="A6" s="2" t="inlineStr">
        <is>
          <t>FIXED INCOME</t>
        </is>
      </c>
      <c r="B6" s="2" t="inlineStr">
        <is>
          <t>U.S. Intermediate Treasuries</t>
        </is>
      </c>
      <c r="C6" s="5" t="n">
        <v>0.02253</v>
      </c>
      <c r="D6" s="5" t="n">
        <v>0.06043</v>
      </c>
      <c r="E6" s="2" t="n">
        <v>-0.183</v>
      </c>
      <c r="F6" s="2" t="n">
        <v>0.092</v>
      </c>
      <c r="G6" s="2" t="n">
        <v>1</v>
      </c>
    </row>
    <row r="7">
      <c r="A7" s="2" t="inlineStr">
        <is>
          <t>FIXED INCOME</t>
        </is>
      </c>
      <c r="B7" s="2" t="inlineStr">
        <is>
          <t>U.S. Long Treasuries</t>
        </is>
      </c>
      <c r="C7" s="5" t="n">
        <v>0.01808</v>
      </c>
      <c r="D7" s="5" t="n">
        <v>0.13723</v>
      </c>
      <c r="E7" s="2" t="n">
        <v>-0.2589</v>
      </c>
      <c r="F7" s="2" t="n">
        <v>0.028</v>
      </c>
      <c r="G7" s="2" t="n">
        <v>0.97</v>
      </c>
      <c r="H7" s="2" t="n">
        <v>1</v>
      </c>
    </row>
    <row r="8">
      <c r="A8" s="2" t="inlineStr">
        <is>
          <t>FIXED INCOME</t>
        </is>
      </c>
      <c r="B8" s="2" t="inlineStr">
        <is>
          <t>TIPS</t>
        </is>
      </c>
      <c r="C8" s="5" t="n">
        <v>0.03773</v>
      </c>
      <c r="D8" s="5" t="n">
        <v>0.05684</v>
      </c>
      <c r="E8" s="2" t="n">
        <v>0.05</v>
      </c>
      <c r="F8" s="2" t="n">
        <v>0.066</v>
      </c>
      <c r="G8" s="2" t="n">
        <v>0.68</v>
      </c>
      <c r="H8" s="2" t="n">
        <v>0.5</v>
      </c>
      <c r="I8" s="2" t="n">
        <v>1</v>
      </c>
    </row>
    <row r="9">
      <c r="A9" s="2" t="inlineStr">
        <is>
          <t>FIXED INCOME</t>
        </is>
      </c>
      <c r="B9" s="2" t="inlineStr">
        <is>
          <t>U.S. Aggregate Bonds</t>
        </is>
      </c>
      <c r="C9" s="5" t="n">
        <v>0.0296</v>
      </c>
      <c r="D9" s="5" t="n">
        <v>0.03332</v>
      </c>
      <c r="E9" s="2" t="n">
        <v>-0.1439</v>
      </c>
      <c r="F9" s="2" t="n">
        <v>0.091</v>
      </c>
      <c r="G9" s="2" t="n">
        <v>0.92</v>
      </c>
      <c r="H9" s="2" t="n">
        <v>0.75</v>
      </c>
      <c r="I9" s="2" t="n">
        <v>0.79</v>
      </c>
      <c r="J9" s="2" t="n">
        <v>1</v>
      </c>
    </row>
    <row r="10">
      <c r="A10" s="2" t="inlineStr">
        <is>
          <t>FIXED INCOME</t>
        </is>
      </c>
      <c r="B10" s="2" t="inlineStr">
        <is>
          <t>U.S. Short Duration Government/Credit</t>
        </is>
      </c>
      <c r="C10" s="5" t="n">
        <v>0.03315</v>
      </c>
      <c r="D10" s="5" t="n">
        <v>0.01602</v>
      </c>
      <c r="E10" s="2" t="n">
        <v>-0.1075</v>
      </c>
      <c r="F10" s="2" t="n">
        <v>0.38</v>
      </c>
      <c r="G10" s="2" t="n">
        <v>0.67</v>
      </c>
      <c r="H10" s="2" t="n">
        <v>0.42</v>
      </c>
      <c r="I10" s="2" t="n">
        <v>0.72</v>
      </c>
      <c r="J10" s="2" t="n">
        <v>0.77</v>
      </c>
      <c r="K10" s="2" t="n">
        <v>1</v>
      </c>
    </row>
    <row r="11">
      <c r="A11" s="2" t="inlineStr">
        <is>
          <t>FIXED INCOME</t>
        </is>
      </c>
      <c r="B11" s="2" t="inlineStr">
        <is>
          <t>U.S. Long Duration Government/Credit</t>
        </is>
      </c>
      <c r="C11" s="5" t="n">
        <v>0.03336</v>
      </c>
      <c r="D11" s="5" t="n">
        <v>0.08963</v>
      </c>
      <c r="E11" s="2" t="n">
        <v>-0.217</v>
      </c>
      <c r="F11" s="2" t="n">
        <v>-0.01884</v>
      </c>
      <c r="G11" s="2" t="n">
        <v>0.85</v>
      </c>
      <c r="H11" s="2" t="n">
        <v>0.9399999999999999</v>
      </c>
      <c r="I11" s="2" t="n">
        <v>0.63</v>
      </c>
      <c r="J11" s="2" t="n">
        <v>0.84</v>
      </c>
      <c r="K11" s="2" t="n">
        <v>0.51</v>
      </c>
      <c r="L11" s="2" t="n">
        <v>1</v>
      </c>
    </row>
    <row r="12">
      <c r="A12" s="2" t="inlineStr">
        <is>
          <t>FIXED INCOME</t>
        </is>
      </c>
      <c r="B12" s="2" t="inlineStr">
        <is>
          <t>U.S. Inv Grade Corporate Bonds</t>
        </is>
      </c>
      <c r="C12" s="5" t="n">
        <v>0.03277</v>
      </c>
      <c r="D12" s="5" t="n">
        <v>0.05834</v>
      </c>
      <c r="E12" s="2" t="n">
        <v>-0.1416</v>
      </c>
      <c r="F12" s="2" t="n">
        <v>-0.0483</v>
      </c>
      <c r="G12" s="2" t="n">
        <v>0.52</v>
      </c>
      <c r="H12" s="2" t="n">
        <v>0.47</v>
      </c>
      <c r="I12" s="2" t="n">
        <v>0.6899999999999999</v>
      </c>
      <c r="J12" s="2" t="n">
        <v>0.75</v>
      </c>
      <c r="K12" s="2" t="n">
        <v>0.5600000000000001</v>
      </c>
      <c r="L12" s="2" t="n">
        <v>0.78</v>
      </c>
      <c r="M12" s="2" t="n">
        <v>1</v>
      </c>
    </row>
    <row r="13">
      <c r="A13" s="2" t="inlineStr">
        <is>
          <t>FIXED INCOME</t>
        </is>
      </c>
      <c r="B13" s="2" t="inlineStr">
        <is>
          <t>U.S. Long Corporate Bonds</t>
        </is>
      </c>
      <c r="C13" s="5" t="n">
        <v>0.03945</v>
      </c>
      <c r="D13" s="5" t="n">
        <v>0.1056</v>
      </c>
      <c r="E13" s="2" t="n">
        <v>-0.166</v>
      </c>
      <c r="F13" s="2" t="n">
        <v>-0.06877999999999999</v>
      </c>
      <c r="G13" s="2" t="n">
        <v>0.5</v>
      </c>
      <c r="H13" s="2" t="n">
        <v>0.55</v>
      </c>
      <c r="I13" s="2" t="n">
        <v>0.59</v>
      </c>
      <c r="J13" s="2" t="n">
        <v>0.9</v>
      </c>
      <c r="K13" s="2" t="n">
        <v>0.46</v>
      </c>
      <c r="L13" s="2" t="n">
        <v>0.8</v>
      </c>
      <c r="M13" s="2" t="n">
        <v>0.91</v>
      </c>
      <c r="N13" s="2" t="n">
        <v>1</v>
      </c>
    </row>
    <row r="14">
      <c r="A14" s="2" t="inlineStr">
        <is>
          <t>FIXED INCOME</t>
        </is>
      </c>
      <c r="B14" s="2" t="inlineStr">
        <is>
          <t>U.S. High Yield Bonds</t>
        </is>
      </c>
      <c r="C14" s="5" t="n">
        <v>0.05623</v>
      </c>
      <c r="D14" s="5" t="n">
        <v>0.09884999999999999</v>
      </c>
      <c r="E14" s="2" t="n">
        <v>0.13</v>
      </c>
      <c r="F14" s="2" t="n">
        <v>-0.107</v>
      </c>
      <c r="G14" s="2" t="n">
        <v>-0.2141</v>
      </c>
      <c r="H14" s="2" t="n">
        <v>-0.299</v>
      </c>
      <c r="I14" s="2" t="n">
        <v>0.33</v>
      </c>
      <c r="J14" s="2" t="n">
        <v>0.18</v>
      </c>
      <c r="K14" s="2" t="n">
        <v>0.13</v>
      </c>
      <c r="L14" s="2" t="n">
        <v>0.12</v>
      </c>
      <c r="M14" s="2" t="n">
        <v>0.5600000000000001</v>
      </c>
      <c r="N14" s="2" t="n">
        <v>0.51</v>
      </c>
      <c r="O14" s="2" t="n">
        <v>1</v>
      </c>
    </row>
    <row r="15">
      <c r="A15" s="2" t="inlineStr">
        <is>
          <t>FIXED INCOME</t>
        </is>
      </c>
      <c r="B15" s="2" t="inlineStr">
        <is>
          <t>U.S. Leveraged Loans</t>
        </is>
      </c>
      <c r="C15" s="5" t="n">
        <v>0.05247</v>
      </c>
      <c r="D15" s="5" t="n">
        <v>0.05672</v>
      </c>
      <c r="E15" s="2" t="n">
        <v>0.22</v>
      </c>
      <c r="F15" s="2" t="n">
        <v>-0.1167</v>
      </c>
      <c r="G15" s="2" t="n">
        <v>-0.3685</v>
      </c>
      <c r="H15" s="2" t="n">
        <v>-0.2901</v>
      </c>
      <c r="I15" s="2" t="n">
        <v>0.066</v>
      </c>
      <c r="J15" s="2" t="n">
        <v>0</v>
      </c>
      <c r="K15" s="2" t="n">
        <v>-0.1263</v>
      </c>
      <c r="L15" s="2" t="n">
        <v>0.022</v>
      </c>
      <c r="M15" s="2" t="n">
        <v>0.38</v>
      </c>
      <c r="N15" s="2" t="n">
        <v>0.37</v>
      </c>
      <c r="O15" s="2" t="n">
        <v>0.74</v>
      </c>
      <c r="P15" s="2" t="n">
        <v>1</v>
      </c>
    </row>
    <row r="16">
      <c r="A16" s="2" t="inlineStr">
        <is>
          <t>FIXED INCOME</t>
        </is>
      </c>
      <c r="B16" s="2" t="inlineStr">
        <is>
          <t>World Government Bonds hedged</t>
        </is>
      </c>
      <c r="C16" s="5" t="n">
        <v>0.01826</v>
      </c>
      <c r="D16" s="5" t="n">
        <v>0.0298</v>
      </c>
      <c r="E16" s="2" t="n">
        <v>-0.2726</v>
      </c>
      <c r="F16" s="2" t="n">
        <v>0.08500000000000001</v>
      </c>
      <c r="G16" s="2" t="n">
        <v>0.95</v>
      </c>
      <c r="H16" s="2" t="n">
        <v>0.83</v>
      </c>
      <c r="I16" s="2" t="n">
        <v>0.52</v>
      </c>
      <c r="J16" s="2" t="n">
        <v>0.8</v>
      </c>
      <c r="K16" s="2" t="n">
        <v>0.5600000000000001</v>
      </c>
      <c r="L16" s="2" t="n">
        <v>0.77</v>
      </c>
      <c r="M16" s="2" t="n">
        <v>0.5</v>
      </c>
      <c r="N16" s="2" t="n">
        <v>0.57</v>
      </c>
      <c r="O16" s="2" t="n">
        <v>-0.2255</v>
      </c>
      <c r="P16" s="2" t="n">
        <v>-0.3225</v>
      </c>
      <c r="Q16" s="2" t="n">
        <v>1</v>
      </c>
    </row>
    <row r="17">
      <c r="A17" s="2" t="inlineStr">
        <is>
          <t>FIXED INCOME</t>
        </is>
      </c>
      <c r="B17" s="2" t="inlineStr">
        <is>
          <t>World Government Bonds</t>
        </is>
      </c>
      <c r="C17" s="5" t="n">
        <v>0.02107</v>
      </c>
      <c r="D17" s="5" t="n">
        <v>0.05941</v>
      </c>
      <c r="E17" s="2" t="n">
        <v>-0.03744</v>
      </c>
      <c r="F17" s="2" t="n">
        <v>0.13</v>
      </c>
      <c r="G17" s="2" t="n">
        <v>0.6</v>
      </c>
      <c r="H17" s="2" t="n">
        <v>0.48</v>
      </c>
      <c r="I17" s="2" t="n">
        <v>0.6</v>
      </c>
      <c r="J17" s="2" t="n">
        <v>0.66</v>
      </c>
      <c r="K17" s="2" t="n">
        <v>0.68</v>
      </c>
      <c r="L17" s="2" t="n">
        <v>0.58</v>
      </c>
      <c r="M17" s="2" t="n">
        <v>0.54</v>
      </c>
      <c r="N17" s="2" t="n">
        <v>0.5</v>
      </c>
      <c r="O17" s="2" t="n">
        <v>0.19</v>
      </c>
      <c r="P17" s="2" t="n">
        <v>-0.1266</v>
      </c>
      <c r="Q17" s="2" t="n">
        <v>0.59</v>
      </c>
      <c r="R17" s="2" t="n">
        <v>1</v>
      </c>
    </row>
    <row r="18">
      <c r="A18" s="2" t="inlineStr">
        <is>
          <t>FIXED INCOME</t>
        </is>
      </c>
      <c r="B18" s="2" t="inlineStr">
        <is>
          <t>World ex-U.S. Government Bonds hedged</t>
        </is>
      </c>
      <c r="C18" s="5" t="n">
        <v>0.01805</v>
      </c>
      <c r="D18" s="5" t="n">
        <v>0.02725</v>
      </c>
      <c r="E18" s="2" t="n">
        <v>-0.2814</v>
      </c>
      <c r="F18" s="2" t="n">
        <v>0.055</v>
      </c>
      <c r="G18" s="2" t="n">
        <v>0.78</v>
      </c>
      <c r="H18" s="2" t="n">
        <v>0.7</v>
      </c>
      <c r="I18" s="2" t="n">
        <v>0.39</v>
      </c>
      <c r="J18" s="2" t="n">
        <v>0.75</v>
      </c>
      <c r="K18" s="2" t="n">
        <v>0.51</v>
      </c>
      <c r="L18" s="2" t="n">
        <v>0.79</v>
      </c>
      <c r="M18" s="2" t="n">
        <v>0.43</v>
      </c>
      <c r="N18" s="2" t="n">
        <v>0.54</v>
      </c>
      <c r="O18" s="2" t="n">
        <v>-0.152</v>
      </c>
      <c r="P18" s="2" t="n">
        <v>-0.2818</v>
      </c>
      <c r="Q18" s="2" t="n">
        <v>1</v>
      </c>
      <c r="R18" s="2" t="n">
        <v>0.52</v>
      </c>
      <c r="S18" s="2" t="n">
        <v>1</v>
      </c>
    </row>
    <row r="19">
      <c r="A19" s="2" t="inlineStr">
        <is>
          <t>FIXED INCOME</t>
        </is>
      </c>
      <c r="B19" s="2" t="inlineStr">
        <is>
          <t>World ex-U.S. Government Bonds</t>
        </is>
      </c>
      <c r="C19" s="5" t="n">
        <v>0.02179</v>
      </c>
      <c r="D19" s="5" t="n">
        <v>0.07258000000000001</v>
      </c>
      <c r="E19" s="2" t="n">
        <v>0</v>
      </c>
      <c r="F19" s="2" t="n">
        <v>0.09</v>
      </c>
      <c r="G19" s="2" t="n">
        <v>0.47</v>
      </c>
      <c r="H19" s="2" t="n">
        <v>0.35</v>
      </c>
      <c r="I19" s="2" t="n">
        <v>0.6</v>
      </c>
      <c r="J19" s="2" t="n">
        <v>0.57</v>
      </c>
      <c r="K19" s="2" t="n">
        <v>0.66</v>
      </c>
      <c r="L19" s="2" t="n">
        <v>0.47</v>
      </c>
      <c r="M19" s="2" t="n">
        <v>0.52</v>
      </c>
      <c r="N19" s="2" t="n">
        <v>0.44</v>
      </c>
      <c r="O19" s="2" t="n">
        <v>0.27</v>
      </c>
      <c r="P19" s="2" t="n">
        <v>-0.04836</v>
      </c>
      <c r="Q19" s="2" t="n">
        <v>0.43</v>
      </c>
      <c r="R19" s="2" t="n">
        <v>0.93</v>
      </c>
      <c r="S19" s="2" t="n">
        <v>0.38</v>
      </c>
      <c r="T19" s="2" t="n">
        <v>1</v>
      </c>
    </row>
    <row r="20">
      <c r="A20" s="2" t="inlineStr">
        <is>
          <t>FIXED INCOME</t>
        </is>
      </c>
      <c r="B20" s="2" t="inlineStr">
        <is>
          <t>Emerging Markets Sovereign Debt</t>
        </is>
      </c>
      <c r="C20" s="5" t="n">
        <v>0.05046</v>
      </c>
      <c r="D20" s="5" t="n">
        <v>0.09404</v>
      </c>
      <c r="E20" s="2" t="n">
        <v>-0.01939</v>
      </c>
      <c r="F20" s="2" t="n">
        <v>-0.0211</v>
      </c>
      <c r="G20" s="2" t="n">
        <v>0.26</v>
      </c>
      <c r="H20" s="2" t="n">
        <v>0.11</v>
      </c>
      <c r="I20" s="2" t="n">
        <v>0.62</v>
      </c>
      <c r="J20" s="2" t="n">
        <v>0.5600000000000001</v>
      </c>
      <c r="K20" s="2" t="n">
        <v>0.43</v>
      </c>
      <c r="L20" s="2" t="n">
        <v>0.45</v>
      </c>
      <c r="M20" s="2" t="n">
        <v>0.8</v>
      </c>
      <c r="N20" s="2" t="n">
        <v>0.7</v>
      </c>
      <c r="O20" s="2" t="n">
        <v>0.78</v>
      </c>
      <c r="P20" s="2" t="n">
        <v>0.45</v>
      </c>
      <c r="Q20" s="2" t="n">
        <v>0.23</v>
      </c>
      <c r="R20" s="2" t="n">
        <v>0.52</v>
      </c>
      <c r="S20" s="2" t="n">
        <v>0.26</v>
      </c>
      <c r="T20" s="2" t="n">
        <v>0.55</v>
      </c>
      <c r="U20" s="2" t="n">
        <v>1</v>
      </c>
    </row>
    <row r="21">
      <c r="A21" s="2" t="inlineStr">
        <is>
          <t>FIXED INCOME</t>
        </is>
      </c>
      <c r="B21" s="2" t="inlineStr">
        <is>
          <t>Emerging Markets Local Currency Debt</t>
        </is>
      </c>
      <c r="C21" s="5" t="n">
        <v>0.06055</v>
      </c>
      <c r="D21" s="5" t="n">
        <v>0.13631</v>
      </c>
      <c r="E21" s="2" t="n">
        <v>0.11</v>
      </c>
      <c r="F21" s="2" t="n">
        <v>0.13</v>
      </c>
      <c r="G21" s="2" t="n">
        <v>0.1</v>
      </c>
      <c r="H21" s="2" t="n">
        <v>-0.02829</v>
      </c>
      <c r="I21" s="2" t="n">
        <v>0.49</v>
      </c>
      <c r="J21" s="2" t="n">
        <v>0.41</v>
      </c>
      <c r="K21" s="2" t="n">
        <v>0.4</v>
      </c>
      <c r="L21" s="2" t="n">
        <v>0.27</v>
      </c>
      <c r="M21" s="2" t="n">
        <v>0.5</v>
      </c>
      <c r="N21" s="2" t="n">
        <v>0.44</v>
      </c>
      <c r="O21" s="2" t="n">
        <v>0.61</v>
      </c>
      <c r="P21" s="2" t="n">
        <v>0.36</v>
      </c>
      <c r="Q21" s="2" t="n">
        <v>0.12</v>
      </c>
      <c r="R21" s="2" t="n">
        <v>0.5600000000000001</v>
      </c>
      <c r="S21" s="2" t="n">
        <v>0.099</v>
      </c>
      <c r="T21" s="2" t="n">
        <v>0.62</v>
      </c>
      <c r="U21" s="2" t="n">
        <v>0.77</v>
      </c>
      <c r="V21" s="2" t="n">
        <v>1</v>
      </c>
    </row>
    <row r="22">
      <c r="A22" s="2" t="inlineStr">
        <is>
          <t>FIXED INCOME</t>
        </is>
      </c>
      <c r="B22" s="2" t="inlineStr">
        <is>
          <t>Emerging Markets Corporate Bonds</t>
        </is>
      </c>
      <c r="C22" s="5" t="n">
        <v>0.05985</v>
      </c>
      <c r="D22" s="5" t="n">
        <v>0.08574</v>
      </c>
      <c r="E22" s="2" t="n">
        <v>0.039</v>
      </c>
      <c r="F22" s="2" t="n">
        <v>-0.05716</v>
      </c>
      <c r="G22" s="2" t="n">
        <v>0.1</v>
      </c>
      <c r="H22" s="2" t="n">
        <v>-0.02001</v>
      </c>
      <c r="I22" s="2" t="n">
        <v>0.53</v>
      </c>
      <c r="J22" s="2" t="n">
        <v>0.5</v>
      </c>
      <c r="K22" s="2" t="n">
        <v>0.45</v>
      </c>
      <c r="L22" s="2" t="n">
        <v>0.4</v>
      </c>
      <c r="M22" s="2" t="n">
        <v>0.79</v>
      </c>
      <c r="N22" s="2" t="n">
        <v>0.65</v>
      </c>
      <c r="O22" s="2" t="n">
        <v>0.74</v>
      </c>
      <c r="P22" s="2" t="n">
        <v>0.5</v>
      </c>
      <c r="Q22" s="2" t="n">
        <v>0.1</v>
      </c>
      <c r="R22" s="2" t="n">
        <v>0.43</v>
      </c>
      <c r="S22" s="2" t="n">
        <v>0.13</v>
      </c>
      <c r="T22" s="2" t="n">
        <v>0.47</v>
      </c>
      <c r="U22" s="2" t="n">
        <v>0.84</v>
      </c>
      <c r="V22" s="2" t="n">
        <v>0.66</v>
      </c>
      <c r="W22" s="2" t="n">
        <v>1</v>
      </c>
    </row>
    <row r="23">
      <c r="A23" s="2" t="inlineStr">
        <is>
          <t>FIXED INCOME</t>
        </is>
      </c>
      <c r="B23" s="2" t="inlineStr">
        <is>
          <t>U.S. Muni 1-15-Yr Blend</t>
        </is>
      </c>
      <c r="C23" s="5" t="n">
        <v>0.02671</v>
      </c>
      <c r="D23" s="5" t="n">
        <v>0.02819</v>
      </c>
      <c r="E23" s="2" t="n">
        <v>-0.08198999999999999</v>
      </c>
      <c r="F23" s="2" t="n">
        <v>0.02</v>
      </c>
      <c r="G23" s="2" t="n">
        <v>0.5</v>
      </c>
      <c r="H23" s="2" t="n">
        <v>0.46</v>
      </c>
      <c r="I23" s="2" t="n">
        <v>0.5</v>
      </c>
      <c r="J23" s="2" t="n">
        <v>0.68</v>
      </c>
      <c r="K23" s="2" t="n">
        <v>0.43</v>
      </c>
      <c r="L23" s="2" t="n">
        <v>0.57</v>
      </c>
      <c r="M23" s="2" t="n">
        <v>0.57</v>
      </c>
      <c r="N23" s="2" t="n">
        <v>0.47</v>
      </c>
      <c r="O23" s="2" t="n">
        <v>0.24</v>
      </c>
      <c r="P23" s="2" t="n">
        <v>0.067</v>
      </c>
      <c r="Q23" s="2" t="n">
        <v>0.5</v>
      </c>
      <c r="R23" s="2" t="n">
        <v>0.39</v>
      </c>
      <c r="S23" s="2" t="n">
        <v>0.51</v>
      </c>
      <c r="T23" s="2" t="n">
        <v>0.33</v>
      </c>
      <c r="U23" s="2" t="n">
        <v>0.45</v>
      </c>
      <c r="V23" s="2" t="n">
        <v>0.22</v>
      </c>
      <c r="W23" s="2" t="n">
        <v>0.36</v>
      </c>
      <c r="X23" s="2" t="n">
        <v>1</v>
      </c>
    </row>
    <row r="24">
      <c r="A24" s="2" t="inlineStr">
        <is>
          <t>FIXED INCOME</t>
        </is>
      </c>
      <c r="B24" s="2" t="inlineStr">
        <is>
          <t>U.S. Muni High Yield</t>
        </is>
      </c>
      <c r="C24" s="5" t="n">
        <v>0.03854</v>
      </c>
      <c r="D24" s="5" t="n">
        <v>0.07316</v>
      </c>
      <c r="E24" s="2" t="n">
        <v>0.17</v>
      </c>
      <c r="F24" s="2" t="n">
        <v>-0.1204</v>
      </c>
      <c r="G24" s="2" t="n">
        <v>0.019</v>
      </c>
      <c r="H24" s="2" t="n">
        <v>0.01</v>
      </c>
      <c r="I24" s="2" t="n">
        <v>0.29</v>
      </c>
      <c r="J24" s="2" t="n">
        <v>0.25</v>
      </c>
      <c r="K24" s="2" t="n">
        <v>0.028</v>
      </c>
      <c r="L24" s="2" t="n">
        <v>0.2</v>
      </c>
      <c r="M24" s="2" t="n">
        <v>0.35</v>
      </c>
      <c r="N24" s="2" t="n">
        <v>0.34</v>
      </c>
      <c r="O24" s="2" t="n">
        <v>0.44</v>
      </c>
      <c r="P24" s="2" t="n">
        <v>0.38</v>
      </c>
      <c r="Q24" s="2" t="n">
        <v>0.06</v>
      </c>
      <c r="R24" s="2" t="n">
        <v>0.03</v>
      </c>
      <c r="S24" s="2" t="n">
        <v>0.083</v>
      </c>
      <c r="T24" s="2" t="n">
        <v>0.037</v>
      </c>
      <c r="U24" s="2" t="n">
        <v>0.4</v>
      </c>
      <c r="V24" s="2" t="n">
        <v>0.21</v>
      </c>
      <c r="W24" s="2" t="n">
        <v>0.36</v>
      </c>
      <c r="X24" s="2" t="n">
        <v>0.53</v>
      </c>
      <c r="Y24" s="2" t="n">
        <v>1</v>
      </c>
    </row>
    <row r="25">
      <c r="A25" s="2" t="inlineStr">
        <is>
          <t>EQUITIES</t>
        </is>
      </c>
      <c r="B25" s="2" t="inlineStr">
        <is>
          <t>U.S. Large Cap</t>
        </is>
      </c>
      <c r="C25" s="5" t="n">
        <v>0.06271</v>
      </c>
      <c r="D25" s="5" t="n">
        <v>0.1411</v>
      </c>
      <c r="E25" s="2" t="n">
        <v>0.065</v>
      </c>
      <c r="F25" s="2" t="n">
        <v>-0.05663</v>
      </c>
      <c r="G25" s="2" t="n">
        <v>-0.326</v>
      </c>
      <c r="H25" s="2" t="n">
        <v>-0.344</v>
      </c>
      <c r="I25" s="2" t="n">
        <v>0.06</v>
      </c>
      <c r="J25" s="2" t="n">
        <v>0</v>
      </c>
      <c r="K25" s="2" t="n">
        <v>-0.03712</v>
      </c>
      <c r="L25" s="2" t="n">
        <v>-0.03675</v>
      </c>
      <c r="M25" s="2" t="n">
        <v>0.3</v>
      </c>
      <c r="N25" s="2" t="n">
        <v>0.22</v>
      </c>
      <c r="O25" s="2" t="n">
        <v>0.6</v>
      </c>
      <c r="P25" s="2" t="n">
        <v>0.63</v>
      </c>
      <c r="Q25" s="2" t="n">
        <v>-0.2303</v>
      </c>
      <c r="R25" s="2" t="n">
        <v>0.15</v>
      </c>
      <c r="S25" s="2" t="n">
        <v>-0.1959</v>
      </c>
      <c r="T25" s="2" t="n">
        <v>0.22</v>
      </c>
      <c r="U25" s="2" t="n">
        <v>0.5</v>
      </c>
      <c r="V25" s="2" t="n">
        <v>0.67</v>
      </c>
      <c r="W25" s="2" t="n">
        <v>0.5600000000000001</v>
      </c>
      <c r="X25" s="2" t="n">
        <v>-0.009152</v>
      </c>
      <c r="Y25" s="2" t="n">
        <v>0.2</v>
      </c>
      <c r="Z25" s="2" t="n">
        <v>1</v>
      </c>
    </row>
    <row r="26">
      <c r="A26" s="2" t="inlineStr">
        <is>
          <t>EQUITIES</t>
        </is>
      </c>
      <c r="B26" s="2" t="inlineStr">
        <is>
          <t>U.S. Mid Cap</t>
        </is>
      </c>
      <c r="C26" s="5" t="n">
        <v>0.06479</v>
      </c>
      <c r="D26" s="5" t="n">
        <v>0.18065</v>
      </c>
      <c r="E26" s="2" t="n">
        <v>0.083</v>
      </c>
      <c r="F26" s="2" t="n">
        <v>-0.07872999999999999</v>
      </c>
      <c r="G26" s="2" t="n">
        <v>-0.3408</v>
      </c>
      <c r="H26" s="2" t="n">
        <v>-0.3739</v>
      </c>
      <c r="I26" s="2" t="n">
        <v>0.08400000000000001</v>
      </c>
      <c r="J26" s="2" t="n">
        <v>0</v>
      </c>
      <c r="K26" s="2" t="n">
        <v>-0.0426</v>
      </c>
      <c r="L26" s="2" t="n">
        <v>-0.04331</v>
      </c>
      <c r="M26" s="2" t="n">
        <v>0.3</v>
      </c>
      <c r="N26" s="2" t="n">
        <v>0.27</v>
      </c>
      <c r="O26" s="2" t="n">
        <v>0.8</v>
      </c>
      <c r="P26" s="2" t="n">
        <v>0.68</v>
      </c>
      <c r="Q26" s="2" t="n">
        <v>-0.3018</v>
      </c>
      <c r="R26" s="2" t="n">
        <v>0.11</v>
      </c>
      <c r="S26" s="2" t="n">
        <v>-0.1891</v>
      </c>
      <c r="T26" s="2" t="n">
        <v>0.19</v>
      </c>
      <c r="U26" s="2" t="n">
        <v>0.6</v>
      </c>
      <c r="V26" s="2" t="n">
        <v>0.57</v>
      </c>
      <c r="W26" s="2" t="n">
        <v>0.53</v>
      </c>
      <c r="X26" s="2" t="n">
        <v>0.02</v>
      </c>
      <c r="Y26" s="2" t="n">
        <v>0.24</v>
      </c>
      <c r="Z26" s="2" t="n">
        <v>0.98</v>
      </c>
      <c r="AA26" s="2" t="n">
        <v>1</v>
      </c>
    </row>
    <row r="27">
      <c r="A27" s="2" t="inlineStr">
        <is>
          <t>EQUITIES</t>
        </is>
      </c>
      <c r="B27" s="2" t="inlineStr">
        <is>
          <t>U.S. Small Cap</t>
        </is>
      </c>
      <c r="C27" s="5" t="n">
        <v>0.07251000000000001</v>
      </c>
      <c r="D27" s="5" t="n">
        <v>0.18014</v>
      </c>
      <c r="E27" s="2" t="n">
        <v>0.063</v>
      </c>
      <c r="F27" s="2" t="n">
        <v>-0.07352</v>
      </c>
      <c r="G27" s="2" t="n">
        <v>-0.3157</v>
      </c>
      <c r="H27" s="2" t="n">
        <v>-0.3544</v>
      </c>
      <c r="I27" s="2" t="n">
        <v>0</v>
      </c>
      <c r="J27" s="2" t="n">
        <v>-0.07925</v>
      </c>
      <c r="K27" s="2" t="n">
        <v>-0.103</v>
      </c>
      <c r="L27" s="2" t="n">
        <v>-0.103</v>
      </c>
      <c r="M27" s="2" t="n">
        <v>0.24</v>
      </c>
      <c r="N27" s="2" t="n">
        <v>0.16</v>
      </c>
      <c r="O27" s="2" t="n">
        <v>0.61</v>
      </c>
      <c r="P27" s="2" t="n">
        <v>0.5</v>
      </c>
      <c r="Q27" s="2" t="n">
        <v>-0.309</v>
      </c>
      <c r="R27" s="2" t="n">
        <v>0.064</v>
      </c>
      <c r="S27" s="2" t="n">
        <v>-0.248</v>
      </c>
      <c r="T27" s="2" t="n">
        <v>0.14</v>
      </c>
      <c r="U27" s="2" t="n">
        <v>0.43</v>
      </c>
      <c r="V27" s="2" t="n">
        <v>0.53</v>
      </c>
      <c r="W27" s="2" t="n">
        <v>0.45</v>
      </c>
      <c r="X27" s="2" t="n">
        <v>-0.05318</v>
      </c>
      <c r="Y27" s="2" t="n">
        <v>0.14</v>
      </c>
      <c r="Z27" s="2" t="n">
        <v>0.84</v>
      </c>
      <c r="AA27" s="2" t="n">
        <v>0.98</v>
      </c>
      <c r="AB27" s="2" t="n">
        <v>1</v>
      </c>
    </row>
    <row r="28">
      <c r="A28" s="2" t="inlineStr">
        <is>
          <t>EQUITIES</t>
        </is>
      </c>
      <c r="B28" s="2" t="inlineStr">
        <is>
          <t>U.S. Large Cap Value</t>
        </is>
      </c>
      <c r="C28" s="5" t="n">
        <v>0.05818</v>
      </c>
      <c r="D28" s="5" t="n">
        <v>0.1411</v>
      </c>
      <c r="E28" s="2" t="n">
        <v>0.056</v>
      </c>
      <c r="F28" s="2" t="n">
        <v>-0.06419999999999999</v>
      </c>
      <c r="G28" s="2" t="n">
        <v>-0.289</v>
      </c>
      <c r="H28" s="2" t="n">
        <v>-0.3573</v>
      </c>
      <c r="I28" s="2" t="n">
        <v>0.037</v>
      </c>
      <c r="J28" s="2" t="n">
        <v>0</v>
      </c>
      <c r="K28" s="2" t="n">
        <v>-0.03199</v>
      </c>
      <c r="L28" s="2" t="n">
        <v>-0.02767</v>
      </c>
      <c r="M28" s="2" t="n">
        <v>0.29</v>
      </c>
      <c r="N28" s="2" t="n">
        <v>0.24</v>
      </c>
      <c r="O28" s="2" t="n">
        <v>0.67</v>
      </c>
      <c r="P28" s="2" t="n">
        <v>0.61</v>
      </c>
      <c r="Q28" s="2" t="n">
        <v>-0.2389</v>
      </c>
      <c r="R28" s="2" t="n">
        <v>0.17</v>
      </c>
      <c r="S28" s="2" t="n">
        <v>-0.1861</v>
      </c>
      <c r="T28" s="2" t="n">
        <v>0.24</v>
      </c>
      <c r="U28" s="2" t="n">
        <v>0.49</v>
      </c>
      <c r="V28" s="2" t="n">
        <v>0.63</v>
      </c>
      <c r="W28" s="2" t="n">
        <v>0.54</v>
      </c>
      <c r="X28" s="2" t="n">
        <v>-0.01891</v>
      </c>
      <c r="Y28" s="2" t="n">
        <v>0.19</v>
      </c>
      <c r="Z28" s="2" t="n">
        <v>1</v>
      </c>
      <c r="AA28" s="2" t="n">
        <v>0.93</v>
      </c>
      <c r="AB28" s="2" t="n">
        <v>0.84</v>
      </c>
      <c r="AC28" s="2" t="n">
        <v>1</v>
      </c>
    </row>
    <row r="29">
      <c r="A29" s="2" t="inlineStr">
        <is>
          <t>EQUITIES</t>
        </is>
      </c>
      <c r="B29" s="2" t="inlineStr">
        <is>
          <t>U.S. Large Cap Growth</t>
        </is>
      </c>
      <c r="C29" s="5" t="n">
        <v>0.06476</v>
      </c>
      <c r="D29" s="5" t="n">
        <v>0.14936</v>
      </c>
      <c r="E29" s="2" t="n">
        <v>0.074</v>
      </c>
      <c r="F29" s="2" t="n">
        <v>-0.05688</v>
      </c>
      <c r="G29" s="2" t="n">
        <v>-0.2899</v>
      </c>
      <c r="H29" s="2" t="n">
        <v>-0.378</v>
      </c>
      <c r="I29" s="2" t="n">
        <v>0.089</v>
      </c>
      <c r="J29" s="2" t="n">
        <v>-0.009683000000000001</v>
      </c>
      <c r="K29" s="2" t="n">
        <v>-0.04308</v>
      </c>
      <c r="L29" s="2" t="n">
        <v>-0.06076</v>
      </c>
      <c r="M29" s="2" t="n">
        <v>0.3</v>
      </c>
      <c r="N29" s="2" t="n">
        <v>0.23</v>
      </c>
      <c r="O29" s="2" t="n">
        <v>0.74</v>
      </c>
      <c r="P29" s="2" t="n">
        <v>0.65</v>
      </c>
      <c r="Q29" s="2" t="n">
        <v>-0.2887</v>
      </c>
      <c r="R29" s="2" t="n">
        <v>0.13</v>
      </c>
      <c r="S29" s="2" t="n">
        <v>-0.2033</v>
      </c>
      <c r="T29" s="2" t="n">
        <v>0.2</v>
      </c>
      <c r="U29" s="2" t="n">
        <v>0.5600000000000001</v>
      </c>
      <c r="V29" s="2" t="n">
        <v>0.57</v>
      </c>
      <c r="W29" s="2" t="n">
        <v>0.61</v>
      </c>
      <c r="X29" s="2" t="n">
        <v>0</v>
      </c>
      <c r="Y29" s="2" t="n">
        <v>0.21</v>
      </c>
      <c r="Z29" s="2" t="n">
        <v>0.98</v>
      </c>
      <c r="AA29" s="2" t="n">
        <v>1</v>
      </c>
      <c r="AB29" s="2" t="n">
        <v>0.9</v>
      </c>
      <c r="AC29" s="2" t="n">
        <v>0.95</v>
      </c>
      <c r="AD29" s="2" t="n">
        <v>1</v>
      </c>
    </row>
    <row r="30">
      <c r="A30" s="2" t="inlineStr">
        <is>
          <t>EQUITIES</t>
        </is>
      </c>
      <c r="B30" s="2" t="inlineStr">
        <is>
          <t>Euro Area Large Cap</t>
        </is>
      </c>
      <c r="C30" s="5" t="n">
        <v>0.07364</v>
      </c>
      <c r="D30" s="5" t="n">
        <v>0.2068</v>
      </c>
      <c r="E30" s="2" t="n">
        <v>0.053</v>
      </c>
      <c r="F30" s="2" t="n">
        <v>0.041</v>
      </c>
      <c r="G30" s="2" t="n">
        <v>-0.2584</v>
      </c>
      <c r="H30" s="2" t="n">
        <v>-0.3298</v>
      </c>
      <c r="I30" s="2" t="n">
        <v>0.15</v>
      </c>
      <c r="J30" s="2" t="n">
        <v>0.068</v>
      </c>
      <c r="K30" s="2" t="n">
        <v>0.11</v>
      </c>
      <c r="L30" s="2" t="n">
        <v>0</v>
      </c>
      <c r="M30" s="2" t="n">
        <v>0.34</v>
      </c>
      <c r="N30" s="2" t="n">
        <v>0.28</v>
      </c>
      <c r="O30" s="2" t="n">
        <v>0.7</v>
      </c>
      <c r="P30" s="2" t="n">
        <v>0.54</v>
      </c>
      <c r="Q30" s="2" t="n">
        <v>-0.2125</v>
      </c>
      <c r="R30" s="2" t="n">
        <v>0.32</v>
      </c>
      <c r="S30" s="2" t="n">
        <v>-0.1825</v>
      </c>
      <c r="T30" s="2" t="n">
        <v>0.42</v>
      </c>
      <c r="U30" s="2" t="n">
        <v>0.62</v>
      </c>
      <c r="V30" s="2" t="n">
        <v>0.6</v>
      </c>
      <c r="W30" s="2" t="n">
        <v>0.59</v>
      </c>
      <c r="X30" s="2" t="n">
        <v>0.019</v>
      </c>
      <c r="Y30" s="2" t="n">
        <v>0.18</v>
      </c>
      <c r="Z30" s="2" t="n">
        <v>0.82</v>
      </c>
      <c r="AA30" s="2" t="n">
        <v>0.78</v>
      </c>
      <c r="AB30" s="2" t="n">
        <v>0.75</v>
      </c>
      <c r="AC30" s="2" t="n">
        <v>0.8</v>
      </c>
      <c r="AD30" s="2" t="n">
        <v>0.86</v>
      </c>
      <c r="AE30" s="2" t="n">
        <v>1</v>
      </c>
    </row>
    <row r="31">
      <c r="A31" s="2" t="inlineStr">
        <is>
          <t>EQUITIES</t>
        </is>
      </c>
      <c r="B31" s="2" t="inlineStr">
        <is>
          <t>Japanese Equity</t>
        </is>
      </c>
      <c r="C31" s="5" t="n">
        <v>0.05853</v>
      </c>
      <c r="D31" s="5" t="n">
        <v>0.15905</v>
      </c>
      <c r="E31" s="2" t="n">
        <v>0.022</v>
      </c>
      <c r="F31" s="2" t="n">
        <v>-0.08777</v>
      </c>
      <c r="G31" s="2" t="n">
        <v>-0.221</v>
      </c>
      <c r="H31" s="2" t="n">
        <v>-0.224</v>
      </c>
      <c r="I31" s="2" t="n">
        <v>0.12</v>
      </c>
      <c r="J31" s="2" t="n">
        <v>0.075</v>
      </c>
      <c r="K31" s="2" t="n">
        <v>0.049</v>
      </c>
      <c r="L31" s="2" t="n">
        <v>0.07000000000000001</v>
      </c>
      <c r="M31" s="2" t="n">
        <v>0.35</v>
      </c>
      <c r="N31" s="2" t="n">
        <v>0.33</v>
      </c>
      <c r="O31" s="2" t="n">
        <v>0.6</v>
      </c>
      <c r="P31" s="2" t="n">
        <v>0.53</v>
      </c>
      <c r="Q31" s="2" t="n">
        <v>-0.1767</v>
      </c>
      <c r="R31" s="2" t="n">
        <v>0.15</v>
      </c>
      <c r="S31" s="2" t="n">
        <v>-0.1469</v>
      </c>
      <c r="T31" s="2" t="n">
        <v>0.24</v>
      </c>
      <c r="U31" s="2" t="n">
        <v>0.5</v>
      </c>
      <c r="V31" s="2" t="n">
        <v>0.59</v>
      </c>
      <c r="W31" s="2" t="n">
        <v>0.5600000000000001</v>
      </c>
      <c r="X31" s="2" t="n">
        <v>-0.01082</v>
      </c>
      <c r="Y31" s="2" t="n">
        <v>0.12</v>
      </c>
      <c r="Z31" s="2" t="n">
        <v>0.67</v>
      </c>
      <c r="AA31" s="2" t="n">
        <v>0.72</v>
      </c>
      <c r="AB31" s="2" t="n">
        <v>0.62</v>
      </c>
      <c r="AC31" s="2" t="n">
        <v>0.66</v>
      </c>
      <c r="AD31" s="2" t="n">
        <v>0.65</v>
      </c>
      <c r="AE31" s="2" t="n">
        <v>0.7</v>
      </c>
      <c r="AF31" s="2" t="n">
        <v>1</v>
      </c>
    </row>
    <row r="32">
      <c r="A32" s="2" t="inlineStr">
        <is>
          <t>EQUITIES</t>
        </is>
      </c>
      <c r="B32" s="2" t="inlineStr">
        <is>
          <t>Hong Kong Equity</t>
        </is>
      </c>
      <c r="C32" s="5" t="n">
        <v>0.08143</v>
      </c>
      <c r="D32" s="5" t="n">
        <v>0.22085</v>
      </c>
      <c r="E32" s="2" t="n">
        <v>-0.01061</v>
      </c>
      <c r="F32" s="2" t="n">
        <v>0.083</v>
      </c>
      <c r="G32" s="2" t="n">
        <v>-0.1709</v>
      </c>
      <c r="H32" s="2" t="n">
        <v>-0.2809</v>
      </c>
      <c r="I32" s="2" t="n">
        <v>0.15</v>
      </c>
      <c r="J32" s="2" t="n">
        <v>0.13</v>
      </c>
      <c r="K32" s="2" t="n">
        <v>0.15</v>
      </c>
      <c r="L32" s="2" t="n">
        <v>0.098</v>
      </c>
      <c r="M32" s="2" t="n">
        <v>0.42</v>
      </c>
      <c r="N32" s="2" t="n">
        <v>0.36</v>
      </c>
      <c r="O32" s="2" t="n">
        <v>0.64</v>
      </c>
      <c r="P32" s="2" t="n">
        <v>0.5</v>
      </c>
      <c r="Q32" s="2" t="n">
        <v>-0.1506</v>
      </c>
      <c r="R32" s="2" t="n">
        <v>0.23</v>
      </c>
      <c r="S32" s="2" t="n">
        <v>-0.1283</v>
      </c>
      <c r="T32" s="2" t="n">
        <v>0.29</v>
      </c>
      <c r="U32" s="2" t="n">
        <v>0.59</v>
      </c>
      <c r="V32" s="2" t="n">
        <v>0.6</v>
      </c>
      <c r="W32" s="2" t="n">
        <v>0.71</v>
      </c>
      <c r="X32" s="2" t="n">
        <v>0.043</v>
      </c>
      <c r="Y32" s="2" t="n">
        <v>0.21</v>
      </c>
      <c r="Z32" s="2" t="n">
        <v>0.74</v>
      </c>
      <c r="AA32" s="2" t="n">
        <v>0.67</v>
      </c>
      <c r="AB32" s="2" t="n">
        <v>0.6</v>
      </c>
      <c r="AC32" s="2" t="n">
        <v>0.68</v>
      </c>
      <c r="AD32" s="2" t="n">
        <v>0.7</v>
      </c>
      <c r="AE32" s="2" t="n">
        <v>0.73</v>
      </c>
      <c r="AF32" s="2" t="n">
        <v>0.58</v>
      </c>
      <c r="AG32" s="2" t="n">
        <v>1</v>
      </c>
    </row>
    <row r="33">
      <c r="A33" s="2" t="inlineStr">
        <is>
          <t>EQUITIES</t>
        </is>
      </c>
      <c r="B33" s="2" t="inlineStr">
        <is>
          <t>UK Large Cap</t>
        </is>
      </c>
      <c r="C33" s="5" t="n">
        <v>0.07674</v>
      </c>
      <c r="D33" s="5" t="n">
        <v>0.15629</v>
      </c>
      <c r="E33" s="2" t="n">
        <v>0.1</v>
      </c>
      <c r="F33" s="2" t="n">
        <v>0</v>
      </c>
      <c r="G33" s="2" t="n">
        <v>-0.3225</v>
      </c>
      <c r="H33" s="2" t="n">
        <v>-0.3792</v>
      </c>
      <c r="I33" s="2" t="n">
        <v>0.11</v>
      </c>
      <c r="J33" s="2" t="n">
        <v>0.04</v>
      </c>
      <c r="K33" s="2" t="n">
        <v>0.055</v>
      </c>
      <c r="L33" s="2" t="n">
        <v>-0.01818</v>
      </c>
      <c r="M33" s="2" t="n">
        <v>0.39</v>
      </c>
      <c r="N33" s="2" t="n">
        <v>0.3</v>
      </c>
      <c r="O33" s="2" t="n">
        <v>0.72</v>
      </c>
      <c r="P33" s="2" t="n">
        <v>0.63</v>
      </c>
      <c r="Q33" s="2" t="n">
        <v>-0.2831</v>
      </c>
      <c r="R33" s="2" t="n">
        <v>0.26</v>
      </c>
      <c r="S33" s="2" t="n">
        <v>-0.2429</v>
      </c>
      <c r="T33" s="2" t="n">
        <v>0.3</v>
      </c>
      <c r="U33" s="2" t="n">
        <v>0.58</v>
      </c>
      <c r="V33" s="2" t="n">
        <v>0.66</v>
      </c>
      <c r="W33" s="2" t="n">
        <v>0.66</v>
      </c>
      <c r="X33" s="2" t="n">
        <v>0.02</v>
      </c>
      <c r="Y33" s="2" t="n">
        <v>0.29</v>
      </c>
      <c r="Z33" s="2" t="n">
        <v>0.9399999999999999</v>
      </c>
      <c r="AA33" s="2" t="n">
        <v>0.87</v>
      </c>
      <c r="AB33" s="2" t="n">
        <v>0.78</v>
      </c>
      <c r="AC33" s="2" t="n">
        <v>0.76</v>
      </c>
      <c r="AD33" s="2" t="n">
        <v>0.84</v>
      </c>
      <c r="AE33" s="2" t="n">
        <v>0.99</v>
      </c>
      <c r="AF33" s="2" t="n">
        <v>0.77</v>
      </c>
      <c r="AG33" s="2" t="n">
        <v>0.84</v>
      </c>
      <c r="AH33" s="2" t="n">
        <v>1</v>
      </c>
    </row>
    <row r="34">
      <c r="A34" s="2" t="inlineStr">
        <is>
          <t>EQUITIES</t>
        </is>
      </c>
      <c r="B34" s="2" t="inlineStr">
        <is>
          <t>EAFE Equity hedged</t>
        </is>
      </c>
      <c r="C34" s="5" t="n">
        <v>0.06117</v>
      </c>
      <c r="D34" s="5" t="n">
        <v>0.14796</v>
      </c>
      <c r="E34" s="2" t="n">
        <v>0.01</v>
      </c>
      <c r="F34" s="2" t="n">
        <v>-0.02867</v>
      </c>
      <c r="G34" s="2" t="n">
        <v>-0.3668</v>
      </c>
      <c r="H34" s="2" t="n">
        <v>-0.3703</v>
      </c>
      <c r="I34" s="2" t="n">
        <v>-0.02153</v>
      </c>
      <c r="J34" s="2" t="n">
        <v>-0.02919</v>
      </c>
      <c r="K34" s="2" t="n">
        <v>-0.06658</v>
      </c>
      <c r="L34" s="2" t="n">
        <v>-0.03299</v>
      </c>
      <c r="M34" s="2" t="n">
        <v>0.3</v>
      </c>
      <c r="N34" s="2" t="n">
        <v>0.26</v>
      </c>
      <c r="O34" s="2" t="n">
        <v>0.7</v>
      </c>
      <c r="P34" s="2" t="n">
        <v>0.65</v>
      </c>
      <c r="Q34" s="2" t="n">
        <v>-0.2752</v>
      </c>
      <c r="R34" s="2" t="n">
        <v>-0.02129</v>
      </c>
      <c r="S34" s="2" t="n">
        <v>-0.1927</v>
      </c>
      <c r="T34" s="2" t="n">
        <v>0.04</v>
      </c>
      <c r="U34" s="2" t="n">
        <v>0.59</v>
      </c>
      <c r="V34" s="2" t="n">
        <v>0.61</v>
      </c>
      <c r="W34" s="2" t="n">
        <v>0.54</v>
      </c>
      <c r="X34" s="2" t="n">
        <v>-0.01993</v>
      </c>
      <c r="Y34" s="2" t="n">
        <v>0.25</v>
      </c>
      <c r="Z34" s="2" t="n">
        <v>0.82</v>
      </c>
      <c r="AA34" s="2" t="n">
        <v>0.88</v>
      </c>
      <c r="AB34" s="2" t="n">
        <v>0.8</v>
      </c>
      <c r="AC34" s="2" t="n">
        <v>0.86</v>
      </c>
      <c r="AD34" s="2" t="n">
        <v>0.95</v>
      </c>
      <c r="AE34" s="2" t="n">
        <v>0.87</v>
      </c>
      <c r="AF34" s="2" t="n">
        <v>0.79</v>
      </c>
      <c r="AG34" s="2" t="n">
        <v>0.68</v>
      </c>
      <c r="AH34" s="2" t="n">
        <v>0.9399999999999999</v>
      </c>
      <c r="AI34" s="2" t="n">
        <v>1</v>
      </c>
    </row>
    <row r="35">
      <c r="A35" s="2" t="inlineStr">
        <is>
          <t>EQUITIES</t>
        </is>
      </c>
      <c r="B35" s="2" t="inlineStr">
        <is>
          <t>EAFE Equity</t>
        </is>
      </c>
      <c r="C35" s="5" t="n">
        <v>0.07392</v>
      </c>
      <c r="D35" s="5" t="n">
        <v>0.17369</v>
      </c>
      <c r="E35" s="2" t="n">
        <v>0.055</v>
      </c>
      <c r="F35" s="2" t="n">
        <v>0.011</v>
      </c>
      <c r="G35" s="2" t="n">
        <v>-0.2744</v>
      </c>
      <c r="H35" s="2" t="n">
        <v>-0.3471</v>
      </c>
      <c r="I35" s="2" t="n">
        <v>0.17</v>
      </c>
      <c r="J35" s="2" t="n">
        <v>0.083</v>
      </c>
      <c r="K35" s="2" t="n">
        <v>0.11</v>
      </c>
      <c r="L35" s="2" t="n">
        <v>0.038</v>
      </c>
      <c r="M35" s="2" t="n">
        <v>0.46</v>
      </c>
      <c r="N35" s="2" t="n">
        <v>0.38</v>
      </c>
      <c r="O35" s="2" t="n">
        <v>0.78</v>
      </c>
      <c r="P35" s="2" t="n">
        <v>0.67</v>
      </c>
      <c r="Q35" s="2" t="n">
        <v>-0.1986</v>
      </c>
      <c r="R35" s="2" t="n">
        <v>0.33</v>
      </c>
      <c r="S35" s="2" t="n">
        <v>-0.1699</v>
      </c>
      <c r="T35" s="2" t="n">
        <v>0.43</v>
      </c>
      <c r="U35" s="2" t="n">
        <v>0.6899999999999999</v>
      </c>
      <c r="V35" s="2" t="n">
        <v>0.7</v>
      </c>
      <c r="W35" s="2" t="n">
        <v>0.72</v>
      </c>
      <c r="X35" s="2" t="n">
        <v>0.03</v>
      </c>
      <c r="Y35" s="2" t="n">
        <v>0.19</v>
      </c>
      <c r="Z35" s="2" t="n">
        <v>0.89</v>
      </c>
      <c r="AA35" s="2" t="n">
        <v>0.92</v>
      </c>
      <c r="AB35" s="2" t="n">
        <v>0.77</v>
      </c>
      <c r="AC35" s="2" t="n">
        <v>0.95</v>
      </c>
      <c r="AD35" s="2" t="n">
        <v>0.89</v>
      </c>
      <c r="AE35" s="2" t="n">
        <v>0.93</v>
      </c>
      <c r="AF35" s="2" t="n">
        <v>0.87</v>
      </c>
      <c r="AG35" s="2" t="n">
        <v>0.8</v>
      </c>
      <c r="AH35" s="2" t="n">
        <v>1</v>
      </c>
      <c r="AI35" s="2" t="n">
        <v>0.97</v>
      </c>
      <c r="AJ35" s="2" t="n">
        <v>1</v>
      </c>
    </row>
    <row r="36">
      <c r="A36" s="2" t="inlineStr">
        <is>
          <t>EQUITIES</t>
        </is>
      </c>
      <c r="B36" s="2" t="inlineStr">
        <is>
          <t>Emerging Markets Equity</t>
        </is>
      </c>
      <c r="C36" s="5" t="n">
        <v>0.08348</v>
      </c>
      <c r="D36" s="5" t="n">
        <v>0.21458</v>
      </c>
      <c r="E36" s="2" t="n">
        <v>0.08599999999999999</v>
      </c>
      <c r="F36" s="2" t="n">
        <v>0.08400000000000001</v>
      </c>
      <c r="G36" s="2" t="n">
        <v>-0.219</v>
      </c>
      <c r="H36" s="2" t="n">
        <v>-0.2973</v>
      </c>
      <c r="I36" s="2" t="n">
        <v>0.24</v>
      </c>
      <c r="J36" s="2" t="n">
        <v>0.14</v>
      </c>
      <c r="K36" s="2" t="n">
        <v>0.19</v>
      </c>
      <c r="L36" s="2" t="n">
        <v>0.062</v>
      </c>
      <c r="M36" s="2" t="n">
        <v>0.48</v>
      </c>
      <c r="N36" s="2" t="n">
        <v>0.33</v>
      </c>
      <c r="O36" s="2" t="n">
        <v>0.73</v>
      </c>
      <c r="P36" s="2" t="n">
        <v>0.53</v>
      </c>
      <c r="Q36" s="2" t="n">
        <v>-0.1965</v>
      </c>
      <c r="R36" s="2" t="n">
        <v>0.34</v>
      </c>
      <c r="S36" s="2" t="n">
        <v>-0.1491</v>
      </c>
      <c r="T36" s="2" t="n">
        <v>0.4</v>
      </c>
      <c r="U36" s="2" t="n">
        <v>0.68</v>
      </c>
      <c r="V36" s="2" t="n">
        <v>0.84</v>
      </c>
      <c r="W36" s="2" t="n">
        <v>0.8</v>
      </c>
      <c r="X36" s="2" t="n">
        <v>0.052</v>
      </c>
      <c r="Y36" s="2" t="n">
        <v>0.27</v>
      </c>
      <c r="Z36" s="2" t="n">
        <v>0.74</v>
      </c>
      <c r="AA36" s="2" t="n">
        <v>0.75</v>
      </c>
      <c r="AB36" s="2" t="n">
        <v>0.64</v>
      </c>
      <c r="AC36" s="2" t="n">
        <v>0.73</v>
      </c>
      <c r="AD36" s="2" t="n">
        <v>0.73</v>
      </c>
      <c r="AE36" s="2" t="n">
        <v>0.8100000000000001</v>
      </c>
      <c r="AF36" s="2" t="n">
        <v>0.63</v>
      </c>
      <c r="AG36" s="2" t="n">
        <v>0.88</v>
      </c>
      <c r="AH36" s="2" t="n">
        <v>0.75</v>
      </c>
      <c r="AI36" s="2" t="n">
        <v>0.8100000000000001</v>
      </c>
      <c r="AJ36" s="2" t="n">
        <v>0.82</v>
      </c>
      <c r="AK36" s="2" t="n">
        <v>1</v>
      </c>
    </row>
    <row r="37">
      <c r="A37" s="2" t="inlineStr">
        <is>
          <t>EQUITIES</t>
        </is>
      </c>
      <c r="B37" s="2" t="inlineStr">
        <is>
          <t>AC Asia ex-Japan Equity</t>
        </is>
      </c>
      <c r="C37" s="5" t="n">
        <v>0.09839000000000001</v>
      </c>
      <c r="D37" s="5" t="n">
        <v>0.21267</v>
      </c>
      <c r="E37" s="2" t="n">
        <v>0.008999999999999999</v>
      </c>
      <c r="F37" s="2" t="n">
        <v>0.073</v>
      </c>
      <c r="G37" s="2" t="n">
        <v>-0.1852</v>
      </c>
      <c r="H37" s="2" t="n">
        <v>-0.2296</v>
      </c>
      <c r="I37" s="2" t="n">
        <v>0.24</v>
      </c>
      <c r="J37" s="2" t="n">
        <v>0.16</v>
      </c>
      <c r="K37" s="2" t="n">
        <v>0.17</v>
      </c>
      <c r="L37" s="2" t="n">
        <v>0.1</v>
      </c>
      <c r="M37" s="2" t="n">
        <v>0.47</v>
      </c>
      <c r="N37" s="2" t="n">
        <v>0.39</v>
      </c>
      <c r="O37" s="2" t="n">
        <v>0.75</v>
      </c>
      <c r="P37" s="2" t="n">
        <v>0.6</v>
      </c>
      <c r="Q37" s="2" t="n">
        <v>-0.1353</v>
      </c>
      <c r="R37" s="2" t="n">
        <v>0.29</v>
      </c>
      <c r="S37" s="2" t="n">
        <v>-0.107</v>
      </c>
      <c r="T37" s="2" t="n">
        <v>0.32</v>
      </c>
      <c r="U37" s="2" t="n">
        <v>0.64</v>
      </c>
      <c r="V37" s="2" t="n">
        <v>0.78</v>
      </c>
      <c r="W37" s="2" t="n">
        <v>0.71</v>
      </c>
      <c r="X37" s="2" t="n">
        <v>0.063</v>
      </c>
      <c r="Y37" s="2" t="n">
        <v>0.25</v>
      </c>
      <c r="Z37" s="2" t="n">
        <v>0.79</v>
      </c>
      <c r="AA37" s="2" t="n">
        <v>0.79</v>
      </c>
      <c r="AB37" s="2" t="n">
        <v>0.67</v>
      </c>
      <c r="AC37" s="2" t="n">
        <v>0.72</v>
      </c>
      <c r="AD37" s="2" t="n">
        <v>0.79</v>
      </c>
      <c r="AE37" s="2" t="n">
        <v>0.8</v>
      </c>
      <c r="AF37" s="2" t="n">
        <v>0.62</v>
      </c>
      <c r="AG37" s="2" t="n">
        <v>0.9</v>
      </c>
      <c r="AH37" s="2" t="n">
        <v>0.8</v>
      </c>
      <c r="AI37" s="2" t="n">
        <v>0.82</v>
      </c>
      <c r="AJ37" s="2" t="n">
        <v>0.78</v>
      </c>
      <c r="AK37" s="2" t="n">
        <v>0.96</v>
      </c>
      <c r="AL37" s="2" t="n">
        <v>1</v>
      </c>
    </row>
    <row r="38">
      <c r="A38" s="2" t="inlineStr">
        <is>
          <t>EQUITIES</t>
        </is>
      </c>
      <c r="B38" s="2" t="inlineStr">
        <is>
          <t>AC World Equity</t>
        </is>
      </c>
      <c r="C38" s="5" t="n">
        <v>0.06744</v>
      </c>
      <c r="D38" s="5" t="n">
        <v>0.17287</v>
      </c>
      <c r="E38" s="2" t="n">
        <v>0.066</v>
      </c>
      <c r="F38" s="2" t="n">
        <v>-0.01042</v>
      </c>
      <c r="G38" s="2" t="n">
        <v>-0.2692</v>
      </c>
      <c r="H38" s="2" t="n">
        <v>-0.3588</v>
      </c>
      <c r="I38" s="2" t="n">
        <v>0.13</v>
      </c>
      <c r="J38" s="2" t="n">
        <v>0.051</v>
      </c>
      <c r="K38" s="2" t="n">
        <v>0.056</v>
      </c>
      <c r="L38" s="2" t="n">
        <v>0</v>
      </c>
      <c r="M38" s="2" t="n">
        <v>0.42</v>
      </c>
      <c r="N38" s="2" t="n">
        <v>0.29</v>
      </c>
      <c r="O38" s="2" t="n">
        <v>0.82</v>
      </c>
      <c r="P38" s="2" t="n">
        <v>0.66</v>
      </c>
      <c r="Q38" s="2" t="n">
        <v>-0.2502</v>
      </c>
      <c r="R38" s="2" t="n">
        <v>0.28</v>
      </c>
      <c r="S38" s="2" t="n">
        <v>-0.2004</v>
      </c>
      <c r="T38" s="2" t="n">
        <v>0.31</v>
      </c>
      <c r="U38" s="2" t="n">
        <v>0.65</v>
      </c>
      <c r="V38" s="2" t="n">
        <v>0.73</v>
      </c>
      <c r="W38" s="2" t="n">
        <v>0.67</v>
      </c>
      <c r="X38" s="2" t="n">
        <v>0.021</v>
      </c>
      <c r="Y38" s="2" t="n">
        <v>0.22</v>
      </c>
      <c r="Z38" s="2" t="n">
        <v>1</v>
      </c>
      <c r="AA38" s="2" t="n">
        <v>0.96</v>
      </c>
      <c r="AB38" s="2" t="n">
        <v>0.8100000000000001</v>
      </c>
      <c r="AC38" s="2" t="n">
        <v>0.95</v>
      </c>
      <c r="AD38" s="2" t="n">
        <v>1</v>
      </c>
      <c r="AE38" s="2" t="n">
        <v>0.97</v>
      </c>
      <c r="AF38" s="2" t="n">
        <v>0.78</v>
      </c>
      <c r="AG38" s="2" t="n">
        <v>0.89</v>
      </c>
      <c r="AH38" s="2" t="n">
        <v>0.99</v>
      </c>
      <c r="AI38" s="2" t="n">
        <v>0.84</v>
      </c>
      <c r="AJ38" s="2" t="n">
        <v>0.91</v>
      </c>
      <c r="AK38" s="2" t="n">
        <v>0.9</v>
      </c>
      <c r="AL38" s="2" t="n">
        <v>0.85</v>
      </c>
      <c r="AM38" s="2" t="n">
        <v>1</v>
      </c>
    </row>
    <row r="39">
      <c r="A39" s="2" t="inlineStr">
        <is>
          <t>ALTERNATIVES</t>
        </is>
      </c>
      <c r="B39" s="2" t="inlineStr">
        <is>
          <t>Private Equity</t>
        </is>
      </c>
      <c r="C39" s="5" t="n">
        <v>0.08072</v>
      </c>
      <c r="D39" s="5" t="n">
        <v>0.21814</v>
      </c>
      <c r="E39" s="2" t="n">
        <v>0.07000000000000001</v>
      </c>
      <c r="F39" s="2" t="n">
        <v>-0.0207</v>
      </c>
      <c r="G39" s="2" t="n">
        <v>-0.249</v>
      </c>
      <c r="H39" s="2" t="n">
        <v>-0.2999</v>
      </c>
      <c r="I39" s="2" t="n">
        <v>0.09</v>
      </c>
      <c r="J39" s="2" t="n">
        <v>0.032</v>
      </c>
      <c r="K39" s="2" t="n">
        <v>0.029</v>
      </c>
      <c r="L39" s="2" t="n">
        <v>-0.00992</v>
      </c>
      <c r="M39" s="2" t="n">
        <v>0.29</v>
      </c>
      <c r="N39" s="2" t="n">
        <v>0.23</v>
      </c>
      <c r="O39" s="2" t="n">
        <v>0.71</v>
      </c>
      <c r="P39" s="2" t="n">
        <v>0.61</v>
      </c>
      <c r="Q39" s="2" t="n">
        <v>-0.2251</v>
      </c>
      <c r="R39" s="2" t="n">
        <v>0.19</v>
      </c>
      <c r="S39" s="2" t="n">
        <v>-0.1641</v>
      </c>
      <c r="T39" s="2" t="n">
        <v>0.27</v>
      </c>
      <c r="U39" s="2" t="n">
        <v>0.52</v>
      </c>
      <c r="V39" s="2" t="n">
        <v>0.55</v>
      </c>
      <c r="W39" s="2" t="n">
        <v>0.52</v>
      </c>
      <c r="X39" s="2" t="n">
        <v>0.019</v>
      </c>
      <c r="Y39" s="2" t="n">
        <v>0.2</v>
      </c>
      <c r="Z39" s="2" t="n">
        <v>0.77</v>
      </c>
      <c r="AA39" s="2" t="n">
        <v>0.74</v>
      </c>
      <c r="AB39" s="2" t="n">
        <v>0.8100000000000001</v>
      </c>
      <c r="AC39" s="2" t="n">
        <v>0.8</v>
      </c>
      <c r="AD39" s="2" t="n">
        <v>0.89</v>
      </c>
      <c r="AE39" s="2" t="n">
        <v>0.8</v>
      </c>
      <c r="AF39" s="2" t="n">
        <v>0.64</v>
      </c>
      <c r="AG39" s="2" t="n">
        <v>0.68</v>
      </c>
      <c r="AH39" s="2" t="n">
        <v>0.75</v>
      </c>
      <c r="AI39" s="2" t="n">
        <v>0.71</v>
      </c>
      <c r="AJ39" s="2" t="n">
        <v>0.8</v>
      </c>
      <c r="AK39" s="2" t="n">
        <v>0.74</v>
      </c>
      <c r="AL39" s="2" t="n">
        <v>0.7</v>
      </c>
      <c r="AM39" s="2" t="n">
        <v>0.92</v>
      </c>
      <c r="AN39" s="2" t="n">
        <v>1</v>
      </c>
    </row>
    <row r="40">
      <c r="A40" s="2" t="inlineStr">
        <is>
          <t>ALTERNATIVES</t>
        </is>
      </c>
      <c r="B40" s="2" t="inlineStr">
        <is>
          <t>U.S. Core Direct Real Estate</t>
        </is>
      </c>
      <c r="C40" s="5" t="n">
        <v>0.05694</v>
      </c>
      <c r="D40" s="5" t="n">
        <v>0.10436</v>
      </c>
      <c r="E40" s="2" t="n">
        <v>-0.01096</v>
      </c>
      <c r="F40" s="2" t="n">
        <v>-0.0289</v>
      </c>
      <c r="G40" s="2" t="n">
        <v>-0.03686</v>
      </c>
      <c r="H40" s="2" t="n">
        <v>-0.05423</v>
      </c>
      <c r="I40" s="2" t="n">
        <v>0.049</v>
      </c>
      <c r="J40" s="2" t="n">
        <v>0.048</v>
      </c>
      <c r="K40" s="2" t="n">
        <v>0</v>
      </c>
      <c r="L40" s="2" t="n">
        <v>0.03</v>
      </c>
      <c r="M40" s="2" t="n">
        <v>0.11</v>
      </c>
      <c r="N40" s="2" t="n">
        <v>0.1</v>
      </c>
      <c r="O40" s="2" t="n">
        <v>0.23</v>
      </c>
      <c r="P40" s="2" t="n">
        <v>0.2</v>
      </c>
      <c r="Q40" s="2" t="n">
        <v>-0.01956</v>
      </c>
      <c r="R40" s="2" t="n">
        <v>0.075</v>
      </c>
      <c r="S40" s="2" t="n">
        <v>0</v>
      </c>
      <c r="T40" s="2" t="n">
        <v>0.1</v>
      </c>
      <c r="U40" s="2" t="n">
        <v>0.2</v>
      </c>
      <c r="V40" s="2" t="n">
        <v>0.21</v>
      </c>
      <c r="W40" s="2" t="n">
        <v>0.17</v>
      </c>
      <c r="X40" s="2" t="n">
        <v>0.052</v>
      </c>
      <c r="Y40" s="2" t="n">
        <v>0.078</v>
      </c>
      <c r="Z40" s="2" t="n">
        <v>0.3</v>
      </c>
      <c r="AA40" s="2" t="n">
        <v>0.3</v>
      </c>
      <c r="AB40" s="2" t="n">
        <v>0.28</v>
      </c>
      <c r="AC40" s="2" t="n">
        <v>0.29</v>
      </c>
      <c r="AD40" s="2" t="n">
        <v>0.27</v>
      </c>
      <c r="AE40" s="2" t="n">
        <v>0.27</v>
      </c>
      <c r="AF40" s="2" t="n">
        <v>0.2</v>
      </c>
      <c r="AG40" s="2" t="n">
        <v>0.18</v>
      </c>
      <c r="AH40" s="2" t="n">
        <v>0.21</v>
      </c>
      <c r="AI40" s="2" t="n">
        <v>0.27</v>
      </c>
      <c r="AJ40" s="2" t="n">
        <v>0.26</v>
      </c>
      <c r="AK40" s="2" t="n">
        <v>0.2</v>
      </c>
      <c r="AL40" s="2" t="n">
        <v>0.2</v>
      </c>
      <c r="AM40" s="2" t="n">
        <v>0.26</v>
      </c>
      <c r="AN40" s="2" t="n">
        <v>0.27</v>
      </c>
      <c r="AO40" s="2" t="n">
        <v>1</v>
      </c>
    </row>
    <row r="41">
      <c r="A41" s="2" t="inlineStr">
        <is>
          <t>ALTERNATIVES</t>
        </is>
      </c>
      <c r="B41" s="2" t="inlineStr">
        <is>
          <t>U.S. Value-Added Real Estate</t>
        </is>
      </c>
      <c r="C41" s="5" t="n">
        <v>0.06618</v>
      </c>
      <c r="D41" s="5" t="n">
        <v>0.12434</v>
      </c>
      <c r="E41" s="2" t="n">
        <v>-0.01017</v>
      </c>
      <c r="F41" s="2" t="n">
        <v>-0.027</v>
      </c>
      <c r="G41" s="2" t="n">
        <v>-0.04104</v>
      </c>
      <c r="H41" s="2" t="n">
        <v>-0.07043000000000001</v>
      </c>
      <c r="I41" s="2" t="n">
        <v>0.037</v>
      </c>
      <c r="J41" s="2" t="n">
        <v>0.038</v>
      </c>
      <c r="K41" s="2" t="n">
        <v>-0.009124</v>
      </c>
      <c r="L41" s="2" t="n">
        <v>0.03</v>
      </c>
      <c r="M41" s="2" t="n">
        <v>0.12</v>
      </c>
      <c r="N41" s="2" t="n">
        <v>0.1</v>
      </c>
      <c r="O41" s="2" t="n">
        <v>0.24</v>
      </c>
      <c r="P41" s="2" t="n">
        <v>0.2</v>
      </c>
      <c r="Q41" s="2" t="n">
        <v>-0.02085</v>
      </c>
      <c r="R41" s="2" t="n">
        <v>0.08799999999999999</v>
      </c>
      <c r="S41" s="2" t="n">
        <v>0</v>
      </c>
      <c r="T41" s="2" t="n">
        <v>0.1</v>
      </c>
      <c r="U41" s="2" t="n">
        <v>0.2</v>
      </c>
      <c r="V41" s="2" t="n">
        <v>0.23</v>
      </c>
      <c r="W41" s="2" t="n">
        <v>0.15</v>
      </c>
      <c r="X41" s="2" t="n">
        <v>0.054</v>
      </c>
      <c r="Y41" s="2" t="n">
        <v>0.07199999999999999</v>
      </c>
      <c r="Z41" s="2" t="n">
        <v>0.33</v>
      </c>
      <c r="AA41" s="2" t="n">
        <v>0.37</v>
      </c>
      <c r="AB41" s="2" t="n">
        <v>0.34</v>
      </c>
      <c r="AC41" s="2" t="n">
        <v>0.32</v>
      </c>
      <c r="AD41" s="2" t="n">
        <v>0.33</v>
      </c>
      <c r="AE41" s="2" t="n">
        <v>0.27</v>
      </c>
      <c r="AF41" s="2" t="n">
        <v>0.23</v>
      </c>
      <c r="AG41" s="2" t="n">
        <v>0.18</v>
      </c>
      <c r="AH41" s="2" t="n">
        <v>0.25</v>
      </c>
      <c r="AI41" s="2" t="n">
        <v>0.28</v>
      </c>
      <c r="AJ41" s="2" t="n">
        <v>0.27</v>
      </c>
      <c r="AK41" s="2" t="n">
        <v>0.23</v>
      </c>
      <c r="AL41" s="2" t="n">
        <v>0.22</v>
      </c>
      <c r="AM41" s="2" t="n">
        <v>0.3</v>
      </c>
      <c r="AN41" s="2" t="n">
        <v>0.3</v>
      </c>
      <c r="AO41" s="2" t="n">
        <v>0.9</v>
      </c>
      <c r="AP41" s="2" t="n">
        <v>1</v>
      </c>
    </row>
    <row r="42">
      <c r="A42" s="2" t="inlineStr">
        <is>
          <t>ALTERNATIVES</t>
        </is>
      </c>
      <c r="B42" s="2" t="inlineStr">
        <is>
          <t>European ex-UK Prime Direct Real Estate</t>
        </is>
      </c>
      <c r="C42" s="5" t="n">
        <v>0.06211</v>
      </c>
      <c r="D42" s="5" t="n">
        <v>0.15635</v>
      </c>
      <c r="E42" s="2" t="n">
        <v>-0.02076</v>
      </c>
      <c r="F42" s="2" t="n">
        <v>0</v>
      </c>
      <c r="G42" s="2" t="n">
        <v>-0.181</v>
      </c>
      <c r="H42" s="2" t="n">
        <v>-0.1904</v>
      </c>
      <c r="I42" s="2" t="n">
        <v>-0.07689</v>
      </c>
      <c r="J42" s="2" t="n">
        <v>-0.07217999999999999</v>
      </c>
      <c r="K42" s="2" t="n">
        <v>-0.09557</v>
      </c>
      <c r="L42" s="2" t="n">
        <v>-0.07374</v>
      </c>
      <c r="M42" s="2" t="n">
        <v>0.053</v>
      </c>
      <c r="N42" s="2" t="n">
        <v>0.032</v>
      </c>
      <c r="O42" s="2" t="n">
        <v>0.29</v>
      </c>
      <c r="P42" s="2" t="n">
        <v>0.27</v>
      </c>
      <c r="Q42" s="2" t="n">
        <v>-0.1685</v>
      </c>
      <c r="R42" s="2" t="n">
        <v>-0.07276000000000001</v>
      </c>
      <c r="S42" s="2" t="n">
        <v>-0.1362</v>
      </c>
      <c r="T42" s="2" t="n">
        <v>-0.05198</v>
      </c>
      <c r="U42" s="2" t="n">
        <v>0.17</v>
      </c>
      <c r="V42" s="2" t="n">
        <v>0.18</v>
      </c>
      <c r="W42" s="2" t="n">
        <v>0.19</v>
      </c>
      <c r="X42" s="2" t="n">
        <v>-0.03915</v>
      </c>
      <c r="Y42" s="2" t="n">
        <v>0.08</v>
      </c>
      <c r="Z42" s="2" t="n">
        <v>0.4</v>
      </c>
      <c r="AA42" s="2" t="n">
        <v>0.4</v>
      </c>
      <c r="AB42" s="2" t="n">
        <v>0.37</v>
      </c>
      <c r="AC42" s="2" t="n">
        <v>0.36</v>
      </c>
      <c r="AD42" s="2" t="n">
        <v>0.4</v>
      </c>
      <c r="AE42" s="2" t="n">
        <v>0.4</v>
      </c>
      <c r="AF42" s="2" t="n">
        <v>0.3</v>
      </c>
      <c r="AG42" s="2" t="n">
        <v>0.28</v>
      </c>
      <c r="AH42" s="2" t="n">
        <v>0.38</v>
      </c>
      <c r="AI42" s="2" t="n">
        <v>0.41</v>
      </c>
      <c r="AJ42" s="2" t="n">
        <v>0.42</v>
      </c>
      <c r="AK42" s="2" t="n">
        <v>0.3</v>
      </c>
      <c r="AL42" s="2" t="n">
        <v>0.3</v>
      </c>
      <c r="AM42" s="2" t="n">
        <v>0.41</v>
      </c>
      <c r="AN42" s="2" t="n">
        <v>0.36</v>
      </c>
      <c r="AO42" s="2" t="n">
        <v>0.3</v>
      </c>
      <c r="AP42" s="2" t="n">
        <v>0.3</v>
      </c>
      <c r="AQ42" s="2" t="n">
        <v>1</v>
      </c>
    </row>
    <row r="43">
      <c r="A43" s="2" t="inlineStr">
        <is>
          <t>ALTERNATIVES</t>
        </is>
      </c>
      <c r="B43" s="2" t="inlineStr">
        <is>
          <t>Asia Pacific Core Direct Real Estate</t>
        </is>
      </c>
      <c r="C43" s="5" t="n">
        <v>0.05477</v>
      </c>
      <c r="D43" s="5" t="n">
        <v>0.11214</v>
      </c>
      <c r="E43" s="2" t="n">
        <v>-0.01059</v>
      </c>
      <c r="F43" s="2" t="n">
        <v>0.052</v>
      </c>
      <c r="G43" s="2" t="n">
        <v>-0.1574</v>
      </c>
      <c r="H43" s="2" t="n">
        <v>-0.1619</v>
      </c>
      <c r="I43" s="2" t="n">
        <v>-0.02132</v>
      </c>
      <c r="J43" s="2" t="n">
        <v>-0.06414</v>
      </c>
      <c r="K43" s="2" t="n">
        <v>-0.05106</v>
      </c>
      <c r="L43" s="2" t="n">
        <v>-0.06464</v>
      </c>
      <c r="M43" s="2" t="n">
        <v>0.039</v>
      </c>
      <c r="N43" s="2" t="n">
        <v>0.032</v>
      </c>
      <c r="O43" s="2" t="n">
        <v>0.24</v>
      </c>
      <c r="P43" s="2" t="n">
        <v>0.21</v>
      </c>
      <c r="Q43" s="2" t="n">
        <v>-0.1289</v>
      </c>
      <c r="R43" s="2" t="n">
        <v>0.048</v>
      </c>
      <c r="S43" s="2" t="n">
        <v>-0.103</v>
      </c>
      <c r="T43" s="2" t="n">
        <v>0.08</v>
      </c>
      <c r="U43" s="2" t="n">
        <v>0.15</v>
      </c>
      <c r="V43" s="2" t="n">
        <v>0.26</v>
      </c>
      <c r="W43" s="2" t="n">
        <v>0.1</v>
      </c>
      <c r="X43" s="2" t="n">
        <v>-0.07299</v>
      </c>
      <c r="Y43" s="2" t="n">
        <v>0.04</v>
      </c>
      <c r="Z43" s="2" t="n">
        <v>0.33</v>
      </c>
      <c r="AA43" s="2" t="n">
        <v>0.33</v>
      </c>
      <c r="AB43" s="2" t="n">
        <v>0.31</v>
      </c>
      <c r="AC43" s="2" t="n">
        <v>0.33</v>
      </c>
      <c r="AD43" s="2" t="n">
        <v>0.35</v>
      </c>
      <c r="AE43" s="2" t="n">
        <v>0.33</v>
      </c>
      <c r="AF43" s="2" t="n">
        <v>0.27</v>
      </c>
      <c r="AG43" s="2" t="n">
        <v>0.35</v>
      </c>
      <c r="AH43" s="2" t="n">
        <v>0.33</v>
      </c>
      <c r="AI43" s="2" t="n">
        <v>0.34</v>
      </c>
      <c r="AJ43" s="2" t="n">
        <v>0.33</v>
      </c>
      <c r="AK43" s="2" t="n">
        <v>0.4</v>
      </c>
      <c r="AL43" s="2" t="n">
        <v>0.4</v>
      </c>
      <c r="AM43" s="2" t="n">
        <v>0.35</v>
      </c>
      <c r="AN43" s="2" t="n">
        <v>0.3</v>
      </c>
      <c r="AO43" s="2" t="n">
        <v>0.4</v>
      </c>
      <c r="AP43" s="2" t="n">
        <v>0.4</v>
      </c>
      <c r="AQ43" s="2" t="n">
        <v>0.2</v>
      </c>
      <c r="AR43" s="2" t="n">
        <v>1</v>
      </c>
    </row>
    <row r="44">
      <c r="A44" s="2" t="inlineStr">
        <is>
          <t>ALTERNATIVES</t>
        </is>
      </c>
      <c r="B44" s="2" t="inlineStr">
        <is>
          <t>U.S. REITs</t>
        </is>
      </c>
      <c r="C44" s="5" t="n">
        <v>0.06464</v>
      </c>
      <c r="D44" s="5" t="n">
        <v>0.1725</v>
      </c>
      <c r="E44" s="2" t="n">
        <v>-0.04898</v>
      </c>
      <c r="F44" s="2" t="n">
        <v>-0.07633</v>
      </c>
      <c r="G44" s="2" t="n">
        <v>0.009299999999999999</v>
      </c>
      <c r="H44" s="2" t="n">
        <v>-0.02819</v>
      </c>
      <c r="I44" s="2" t="n">
        <v>0.21</v>
      </c>
      <c r="J44" s="2" t="n">
        <v>0.25</v>
      </c>
      <c r="K44" s="2" t="n">
        <v>0.07199999999999999</v>
      </c>
      <c r="L44" s="2" t="n">
        <v>0.25</v>
      </c>
      <c r="M44" s="2" t="n">
        <v>0.42</v>
      </c>
      <c r="N44" s="2" t="n">
        <v>0.44</v>
      </c>
      <c r="O44" s="2" t="n">
        <v>0.61</v>
      </c>
      <c r="P44" s="2" t="n">
        <v>0.49</v>
      </c>
      <c r="Q44" s="2" t="n">
        <v>0.063</v>
      </c>
      <c r="R44" s="2" t="n">
        <v>0.28</v>
      </c>
      <c r="S44" s="2" t="n">
        <v>0.1</v>
      </c>
      <c r="T44" s="2" t="n">
        <v>0.32</v>
      </c>
      <c r="U44" s="2" t="n">
        <v>0.53</v>
      </c>
      <c r="V44" s="2" t="n">
        <v>0.6</v>
      </c>
      <c r="W44" s="2" t="n">
        <v>0.45</v>
      </c>
      <c r="X44" s="2" t="n">
        <v>0.2</v>
      </c>
      <c r="Y44" s="2" t="n">
        <v>0.22</v>
      </c>
      <c r="Z44" s="2" t="n">
        <v>0.75</v>
      </c>
      <c r="AA44" s="2" t="n">
        <v>0.77</v>
      </c>
      <c r="AB44" s="2" t="n">
        <v>0.74</v>
      </c>
      <c r="AC44" s="2" t="n">
        <v>0.75</v>
      </c>
      <c r="AD44" s="2" t="n">
        <v>0.7</v>
      </c>
      <c r="AE44" s="2" t="n">
        <v>0.62</v>
      </c>
      <c r="AF44" s="2" t="n">
        <v>0.48</v>
      </c>
      <c r="AG44" s="2" t="n">
        <v>0.49</v>
      </c>
      <c r="AH44" s="2" t="n">
        <v>0.6</v>
      </c>
      <c r="AI44" s="2" t="n">
        <v>0.6</v>
      </c>
      <c r="AJ44" s="2" t="n">
        <v>0.62</v>
      </c>
      <c r="AK44" s="2" t="n">
        <v>0.6</v>
      </c>
      <c r="AL44" s="2" t="n">
        <v>0.52</v>
      </c>
      <c r="AM44" s="2" t="n">
        <v>0.72</v>
      </c>
      <c r="AN44" s="2" t="n">
        <v>0.57</v>
      </c>
      <c r="AO44" s="2" t="n">
        <v>0.4</v>
      </c>
      <c r="AP44" s="2" t="n">
        <v>0.47</v>
      </c>
      <c r="AQ44" s="2" t="n">
        <v>0.3</v>
      </c>
      <c r="AR44" s="2" t="n">
        <v>0.28</v>
      </c>
      <c r="AS44" s="2" t="n">
        <v>1</v>
      </c>
    </row>
    <row r="45">
      <c r="A45" s="2" t="inlineStr">
        <is>
          <t>ALTERNATIVES</t>
        </is>
      </c>
      <c r="B45" s="2" t="inlineStr">
        <is>
          <t>Global Direct Infrastructure Equity</t>
        </is>
      </c>
      <c r="C45" s="5" t="n">
        <v>0.06437</v>
      </c>
      <c r="D45" s="5" t="n">
        <v>0.12742</v>
      </c>
      <c r="E45" s="2" t="n">
        <v>0.1</v>
      </c>
      <c r="F45" s="2" t="n">
        <v>-0.01056</v>
      </c>
      <c r="G45" s="2" t="n">
        <v>-0.09631000000000001</v>
      </c>
      <c r="H45" s="2" t="n">
        <v>-0.11</v>
      </c>
      <c r="I45" s="2" t="n">
        <v>0.028</v>
      </c>
      <c r="J45" s="2" t="n">
        <v>0</v>
      </c>
      <c r="K45" s="2" t="n">
        <v>-0.01805</v>
      </c>
      <c r="L45" s="2" t="n">
        <v>-0.02021</v>
      </c>
      <c r="M45" s="2" t="n">
        <v>0.075</v>
      </c>
      <c r="N45" s="2" t="n">
        <v>0.065</v>
      </c>
      <c r="O45" s="2" t="n">
        <v>0.22</v>
      </c>
      <c r="P45" s="2" t="n">
        <v>0.2</v>
      </c>
      <c r="Q45" s="2" t="n">
        <v>-0.08547</v>
      </c>
      <c r="R45" s="2" t="n">
        <v>0.049</v>
      </c>
      <c r="S45" s="2" t="n">
        <v>-0.06726</v>
      </c>
      <c r="T45" s="2" t="n">
        <v>0.06900000000000001</v>
      </c>
      <c r="U45" s="2" t="n">
        <v>0.17</v>
      </c>
      <c r="V45" s="2" t="n">
        <v>0.2</v>
      </c>
      <c r="W45" s="2" t="n">
        <v>0.17</v>
      </c>
      <c r="X45" s="2" t="n">
        <v>0</v>
      </c>
      <c r="Y45" s="2" t="n">
        <v>0.082</v>
      </c>
      <c r="Z45" s="2" t="n">
        <v>0.3</v>
      </c>
      <c r="AA45" s="2" t="n">
        <v>0.3</v>
      </c>
      <c r="AB45" s="2" t="n">
        <v>0.3</v>
      </c>
      <c r="AC45" s="2" t="n">
        <v>0.3</v>
      </c>
      <c r="AD45" s="2" t="n">
        <v>0.27</v>
      </c>
      <c r="AE45" s="2" t="n">
        <v>0.28</v>
      </c>
      <c r="AF45" s="2" t="n">
        <v>0.2</v>
      </c>
      <c r="AG45" s="2" t="n">
        <v>0.21</v>
      </c>
      <c r="AH45" s="2" t="n">
        <v>0.26</v>
      </c>
      <c r="AI45" s="2" t="n">
        <v>0.25</v>
      </c>
      <c r="AJ45" s="2" t="n">
        <v>0.29</v>
      </c>
      <c r="AK45" s="2" t="n">
        <v>0.24</v>
      </c>
      <c r="AL45" s="2" t="n">
        <v>0.22</v>
      </c>
      <c r="AM45" s="2" t="n">
        <v>0.27</v>
      </c>
      <c r="AN45" s="2" t="n">
        <v>0.25</v>
      </c>
      <c r="AO45" s="2" t="n">
        <v>0.3</v>
      </c>
      <c r="AP45" s="2" t="n">
        <v>0.31</v>
      </c>
      <c r="AQ45" s="2" t="n">
        <v>0.17</v>
      </c>
      <c r="AR45" s="2" t="n">
        <v>0.16</v>
      </c>
      <c r="AS45" s="2" t="n">
        <v>0.24</v>
      </c>
      <c r="AT45" s="2" t="n">
        <v>1</v>
      </c>
    </row>
    <row r="46">
      <c r="A46" s="2" t="inlineStr">
        <is>
          <t>ALTERNATIVES</t>
        </is>
      </c>
      <c r="B46" s="2" t="inlineStr">
        <is>
          <t>Global Infrastructure Debt</t>
        </is>
      </c>
      <c r="C46" s="5" t="n">
        <v>0.03988</v>
      </c>
      <c r="D46" s="5" t="n">
        <v>0.05831</v>
      </c>
      <c r="E46" s="2" t="n">
        <v>-0.06791</v>
      </c>
      <c r="F46" s="2" t="n">
        <v>-0.04504</v>
      </c>
      <c r="G46" s="2" t="n">
        <v>0.54</v>
      </c>
      <c r="H46" s="2" t="n">
        <v>0.52</v>
      </c>
      <c r="I46" s="2" t="n">
        <v>0.73</v>
      </c>
      <c r="J46" s="2" t="n">
        <v>0.77</v>
      </c>
      <c r="K46" s="2" t="n">
        <v>0.54</v>
      </c>
      <c r="L46" s="2" t="n">
        <v>0.73</v>
      </c>
      <c r="M46" s="2" t="n">
        <v>0.89</v>
      </c>
      <c r="N46" s="2" t="n">
        <v>0.92</v>
      </c>
      <c r="O46" s="2" t="n">
        <v>0.52</v>
      </c>
      <c r="P46" s="2" t="n">
        <v>0.3</v>
      </c>
      <c r="Q46" s="2" t="n">
        <v>0.57</v>
      </c>
      <c r="R46" s="2" t="n">
        <v>0.42</v>
      </c>
      <c r="S46" s="2" t="n">
        <v>0.5</v>
      </c>
      <c r="T46" s="2" t="n">
        <v>0.44</v>
      </c>
      <c r="U46" s="2" t="n">
        <v>0.68</v>
      </c>
      <c r="V46" s="2" t="n">
        <v>0.4</v>
      </c>
      <c r="W46" s="2" t="n">
        <v>0.63</v>
      </c>
      <c r="X46" s="2" t="n">
        <v>0.57</v>
      </c>
      <c r="Y46" s="2" t="n">
        <v>0.4</v>
      </c>
      <c r="Z46" s="2" t="n">
        <v>0.082</v>
      </c>
      <c r="AA46" s="2" t="n">
        <v>0.12</v>
      </c>
      <c r="AB46" s="2" t="n">
        <v>0.029</v>
      </c>
      <c r="AC46" s="2" t="n">
        <v>0.065</v>
      </c>
      <c r="AD46" s="2" t="n">
        <v>0.12</v>
      </c>
      <c r="AE46" s="2" t="n">
        <v>0.15</v>
      </c>
      <c r="AF46" s="2" t="n">
        <v>0.21</v>
      </c>
      <c r="AG46" s="2" t="n">
        <v>0.31</v>
      </c>
      <c r="AH46" s="2" t="n">
        <v>0.21</v>
      </c>
      <c r="AI46" s="2" t="n">
        <v>0.15</v>
      </c>
      <c r="AJ46" s="2" t="n">
        <v>0.22</v>
      </c>
      <c r="AK46" s="2" t="n">
        <v>0.27</v>
      </c>
      <c r="AL46" s="2" t="n">
        <v>0.29</v>
      </c>
      <c r="AM46" s="2" t="n">
        <v>0.17</v>
      </c>
      <c r="AN46" s="2" t="n">
        <v>0.14</v>
      </c>
      <c r="AO46" s="2" t="n">
        <v>0.032</v>
      </c>
      <c r="AP46" s="2" t="n">
        <v>0.032</v>
      </c>
      <c r="AQ46" s="2" t="n">
        <v>-0.03642</v>
      </c>
      <c r="AR46" s="2" t="n">
        <v>-0.05096</v>
      </c>
      <c r="AS46" s="2" t="n">
        <v>0.23</v>
      </c>
      <c r="AT46" s="2" t="n">
        <v>0.02</v>
      </c>
      <c r="AU46" s="2" t="n">
        <v>1</v>
      </c>
    </row>
    <row r="47">
      <c r="A47" s="2" t="inlineStr">
        <is>
          <t>ALTERNATIVES</t>
        </is>
      </c>
      <c r="B47" s="2" t="inlineStr">
        <is>
          <t>Diversified Hedge Funds</t>
        </is>
      </c>
      <c r="C47" s="5" t="n">
        <v>0.03324</v>
      </c>
      <c r="D47" s="5" t="n">
        <v>0.06362</v>
      </c>
      <c r="E47" s="2" t="n">
        <v>0.2</v>
      </c>
      <c r="F47" s="2" t="n">
        <v>0.08799999999999999</v>
      </c>
      <c r="G47" s="2" t="n">
        <v>-0.379</v>
      </c>
      <c r="H47" s="2" t="n">
        <v>-0.3945</v>
      </c>
      <c r="I47" s="2" t="n">
        <v>0.054</v>
      </c>
      <c r="J47" s="2" t="n">
        <v>-0.09933</v>
      </c>
      <c r="K47" s="2" t="n">
        <v>-0.07017</v>
      </c>
      <c r="L47" s="2" t="n">
        <v>-0.1301</v>
      </c>
      <c r="M47" s="2" t="n">
        <v>0.22</v>
      </c>
      <c r="N47" s="2" t="n">
        <v>0.16</v>
      </c>
      <c r="O47" s="2" t="n">
        <v>0.5</v>
      </c>
      <c r="P47" s="2" t="n">
        <v>0.63</v>
      </c>
      <c r="Q47" s="2" t="n">
        <v>-0.3828</v>
      </c>
      <c r="R47" s="2" t="n">
        <v>-0.05474</v>
      </c>
      <c r="S47" s="2" t="n">
        <v>-0.3127</v>
      </c>
      <c r="T47" s="2" t="n">
        <v>0.02</v>
      </c>
      <c r="U47" s="2" t="n">
        <v>0.36</v>
      </c>
      <c r="V47" s="2" t="n">
        <v>0.4</v>
      </c>
      <c r="W47" s="2" t="n">
        <v>0.49</v>
      </c>
      <c r="X47" s="2" t="n">
        <v>-0.07546</v>
      </c>
      <c r="Y47" s="2" t="n">
        <v>0.41</v>
      </c>
      <c r="Z47" s="2" t="n">
        <v>0.64</v>
      </c>
      <c r="AA47" s="2" t="n">
        <v>0.66</v>
      </c>
      <c r="AB47" s="2" t="n">
        <v>0.55</v>
      </c>
      <c r="AC47" s="2" t="n">
        <v>0.57</v>
      </c>
      <c r="AD47" s="2" t="n">
        <v>0.73</v>
      </c>
      <c r="AE47" s="2" t="n">
        <v>0.71</v>
      </c>
      <c r="AF47" s="2" t="n">
        <v>0.6</v>
      </c>
      <c r="AG47" s="2" t="n">
        <v>0.57</v>
      </c>
      <c r="AH47" s="2" t="n">
        <v>0.8</v>
      </c>
      <c r="AI47" s="2" t="n">
        <v>0.82</v>
      </c>
      <c r="AJ47" s="2" t="n">
        <v>0.7</v>
      </c>
      <c r="AK47" s="2" t="n">
        <v>0.71</v>
      </c>
      <c r="AL47" s="2" t="n">
        <v>0.72</v>
      </c>
      <c r="AM47" s="2" t="n">
        <v>0.75</v>
      </c>
      <c r="AN47" s="2" t="n">
        <v>0.57</v>
      </c>
      <c r="AO47" s="2" t="n">
        <v>0.13</v>
      </c>
      <c r="AP47" s="2" t="n">
        <v>0.15</v>
      </c>
      <c r="AQ47" s="2" t="n">
        <v>0.32</v>
      </c>
      <c r="AR47" s="2" t="n">
        <v>0.26</v>
      </c>
      <c r="AS47" s="2" t="n">
        <v>0.35</v>
      </c>
      <c r="AT47" s="2" t="n">
        <v>0.2</v>
      </c>
      <c r="AU47" s="2" t="n">
        <v>0.17</v>
      </c>
      <c r="AV47" s="2" t="n">
        <v>1</v>
      </c>
    </row>
    <row r="48">
      <c r="A48" s="2" t="inlineStr">
        <is>
          <t>ALTERNATIVES</t>
        </is>
      </c>
      <c r="B48" s="2" t="inlineStr">
        <is>
          <t>Event Driven Hedge Funds</t>
        </is>
      </c>
      <c r="C48" s="5" t="n">
        <v>0.04771</v>
      </c>
      <c r="D48" s="5" t="n">
        <v>0.07926</v>
      </c>
      <c r="E48" s="2" t="n">
        <v>0.25</v>
      </c>
      <c r="F48" s="2" t="n">
        <v>0</v>
      </c>
      <c r="G48" s="2" t="n">
        <v>-0.4808</v>
      </c>
      <c r="H48" s="2" t="n">
        <v>-0.5362</v>
      </c>
      <c r="I48" s="2" t="n">
        <v>0.07099999999999999</v>
      </c>
      <c r="J48" s="2" t="n">
        <v>-0.103</v>
      </c>
      <c r="K48" s="2" t="n">
        <v>-0.0387</v>
      </c>
      <c r="L48" s="2" t="n">
        <v>-0.1321</v>
      </c>
      <c r="M48" s="2" t="n">
        <v>0.29</v>
      </c>
      <c r="N48" s="2" t="n">
        <v>0.2</v>
      </c>
      <c r="O48" s="2" t="n">
        <v>0.77</v>
      </c>
      <c r="P48" s="2" t="n">
        <v>0.73</v>
      </c>
      <c r="Q48" s="2" t="n">
        <v>-0.4017</v>
      </c>
      <c r="R48" s="2" t="n">
        <v>0.054</v>
      </c>
      <c r="S48" s="2" t="n">
        <v>-0.3105</v>
      </c>
      <c r="T48" s="2" t="n">
        <v>0.13</v>
      </c>
      <c r="U48" s="2" t="n">
        <v>0.5</v>
      </c>
      <c r="V48" s="2" t="n">
        <v>0.54</v>
      </c>
      <c r="W48" s="2" t="n">
        <v>0.6</v>
      </c>
      <c r="X48" s="2" t="n">
        <v>-0.04937</v>
      </c>
      <c r="Y48" s="2" t="n">
        <v>0.36</v>
      </c>
      <c r="Z48" s="2" t="n">
        <v>0.9</v>
      </c>
      <c r="AA48" s="2" t="n">
        <v>0.91</v>
      </c>
      <c r="AB48" s="2" t="n">
        <v>0.73</v>
      </c>
      <c r="AC48" s="2" t="n">
        <v>0.77</v>
      </c>
      <c r="AD48" s="2" t="n">
        <v>0.79</v>
      </c>
      <c r="AE48" s="2" t="n">
        <v>0.8</v>
      </c>
      <c r="AF48" s="2" t="n">
        <v>0.66</v>
      </c>
      <c r="AG48" s="2" t="n">
        <v>0.7</v>
      </c>
      <c r="AH48" s="2" t="n">
        <v>0.84</v>
      </c>
      <c r="AI48" s="2" t="n">
        <v>0.73</v>
      </c>
      <c r="AJ48" s="2" t="n">
        <v>0.85</v>
      </c>
      <c r="AK48" s="2" t="n">
        <v>0.78</v>
      </c>
      <c r="AL48" s="2" t="n">
        <v>0.76</v>
      </c>
      <c r="AM48" s="2" t="n">
        <v>0.83</v>
      </c>
      <c r="AN48" s="2" t="n">
        <v>0.66</v>
      </c>
      <c r="AO48" s="2" t="n">
        <v>0.19</v>
      </c>
      <c r="AP48" s="2" t="n">
        <v>0.21</v>
      </c>
      <c r="AQ48" s="2" t="n">
        <v>0.33</v>
      </c>
      <c r="AR48" s="2" t="n">
        <v>0.28</v>
      </c>
      <c r="AS48" s="2" t="n">
        <v>0.51</v>
      </c>
      <c r="AT48" s="2" t="n">
        <v>0.27</v>
      </c>
      <c r="AU48" s="2" t="n">
        <v>0.17</v>
      </c>
      <c r="AV48" s="2" t="n">
        <v>0.9</v>
      </c>
      <c r="AW48" s="2" t="n">
        <v>1</v>
      </c>
    </row>
    <row r="49">
      <c r="A49" s="2" t="inlineStr">
        <is>
          <t>ALTERNATIVES</t>
        </is>
      </c>
      <c r="B49" s="2" t="inlineStr">
        <is>
          <t>Equity Long Bias Hedge Funds</t>
        </is>
      </c>
      <c r="C49" s="5" t="n">
        <v>0.0469</v>
      </c>
      <c r="D49" s="5" t="n">
        <v>0.115</v>
      </c>
      <c r="E49" s="2" t="n">
        <v>0.14</v>
      </c>
      <c r="F49" s="2" t="n">
        <v>0.009299999999999999</v>
      </c>
      <c r="G49" s="2" t="n">
        <v>-0.4107</v>
      </c>
      <c r="H49" s="2" t="n">
        <v>-0.4627</v>
      </c>
      <c r="I49" s="2" t="n">
        <v>0.098</v>
      </c>
      <c r="J49" s="2" t="n">
        <v>-0.06492000000000001</v>
      </c>
      <c r="K49" s="2" t="n">
        <v>0</v>
      </c>
      <c r="L49" s="2" t="n">
        <v>-0.1384</v>
      </c>
      <c r="M49" s="2" t="n">
        <v>0.32</v>
      </c>
      <c r="N49" s="2" t="n">
        <v>0.22</v>
      </c>
      <c r="O49" s="2" t="n">
        <v>0.72</v>
      </c>
      <c r="P49" s="2" t="n">
        <v>0.67</v>
      </c>
      <c r="Q49" s="2" t="n">
        <v>-0.397</v>
      </c>
      <c r="R49" s="2" t="n">
        <v>0.11</v>
      </c>
      <c r="S49" s="2" t="n">
        <v>-0.3511</v>
      </c>
      <c r="T49" s="2" t="n">
        <v>0.2</v>
      </c>
      <c r="U49" s="2" t="n">
        <v>0.57</v>
      </c>
      <c r="V49" s="2" t="n">
        <v>0.61</v>
      </c>
      <c r="W49" s="2" t="n">
        <v>0.58</v>
      </c>
      <c r="X49" s="2" t="n">
        <v>-0.05642</v>
      </c>
      <c r="Y49" s="2" t="n">
        <v>0.3</v>
      </c>
      <c r="Z49" s="2" t="n">
        <v>0.88</v>
      </c>
      <c r="AA49" s="2" t="n">
        <v>0.96</v>
      </c>
      <c r="AB49" s="2" t="n">
        <v>0.85</v>
      </c>
      <c r="AC49" s="2" t="n">
        <v>0.76</v>
      </c>
      <c r="AD49" s="2" t="n">
        <v>0.88</v>
      </c>
      <c r="AE49" s="2" t="n">
        <v>0.86</v>
      </c>
      <c r="AF49" s="2" t="n">
        <v>0.74</v>
      </c>
      <c r="AG49" s="2" t="n">
        <v>0.9</v>
      </c>
      <c r="AH49" s="2" t="n">
        <v>0.82</v>
      </c>
      <c r="AI49" s="2" t="n">
        <v>0.86</v>
      </c>
      <c r="AJ49" s="2" t="n">
        <v>0.9</v>
      </c>
      <c r="AK49" s="2" t="n">
        <v>0.8</v>
      </c>
      <c r="AL49" s="2" t="n">
        <v>0.83</v>
      </c>
      <c r="AM49" s="2" t="n">
        <v>0.99</v>
      </c>
      <c r="AN49" s="2" t="n">
        <v>0.8100000000000001</v>
      </c>
      <c r="AO49" s="2" t="n">
        <v>0.21</v>
      </c>
      <c r="AP49" s="2" t="n">
        <v>0.26</v>
      </c>
      <c r="AQ49" s="2" t="n">
        <v>0.36</v>
      </c>
      <c r="AR49" s="2" t="n">
        <v>0.36</v>
      </c>
      <c r="AS49" s="2" t="n">
        <v>0.55</v>
      </c>
      <c r="AT49" s="2" t="n">
        <v>0.27</v>
      </c>
      <c r="AU49" s="2" t="n">
        <v>0.13</v>
      </c>
      <c r="AV49" s="2" t="n">
        <v>0.88</v>
      </c>
      <c r="AW49" s="2" t="n">
        <v>1</v>
      </c>
      <c r="AX49" s="2" t="n">
        <v>1</v>
      </c>
    </row>
    <row r="50">
      <c r="A50" s="2" t="inlineStr">
        <is>
          <t>ALTERNATIVES</t>
        </is>
      </c>
      <c r="B50" s="2" t="inlineStr">
        <is>
          <t>Relative Value Hedge Funds</t>
        </is>
      </c>
      <c r="C50" s="5" t="n">
        <v>0.04358</v>
      </c>
      <c r="D50" s="5" t="n">
        <v>0.06264</v>
      </c>
      <c r="E50" s="2" t="n">
        <v>0.23</v>
      </c>
      <c r="F50" s="2" t="n">
        <v>-0.009159</v>
      </c>
      <c r="G50" s="2" t="n">
        <v>-0.3421</v>
      </c>
      <c r="H50" s="2" t="n">
        <v>-0.4261</v>
      </c>
      <c r="I50" s="2" t="n">
        <v>0.17</v>
      </c>
      <c r="J50" s="2" t="n">
        <v>0.02</v>
      </c>
      <c r="K50" s="2" t="n">
        <v>0.031</v>
      </c>
      <c r="L50" s="2" t="n">
        <v>-0.04127</v>
      </c>
      <c r="M50" s="2" t="n">
        <v>0.45</v>
      </c>
      <c r="N50" s="2" t="n">
        <v>0.32</v>
      </c>
      <c r="O50" s="2" t="n">
        <v>0.83</v>
      </c>
      <c r="P50" s="2" t="n">
        <v>0.78</v>
      </c>
      <c r="Q50" s="2" t="n">
        <v>-0.3543</v>
      </c>
      <c r="R50" s="2" t="n">
        <v>0.022</v>
      </c>
      <c r="S50" s="2" t="n">
        <v>-0.2822</v>
      </c>
      <c r="T50" s="2" t="n">
        <v>0.1</v>
      </c>
      <c r="U50" s="2" t="n">
        <v>0.52</v>
      </c>
      <c r="V50" s="2" t="n">
        <v>0.58</v>
      </c>
      <c r="W50" s="2" t="n">
        <v>0.64</v>
      </c>
      <c r="X50" s="2" t="n">
        <v>0.063</v>
      </c>
      <c r="Y50" s="2" t="n">
        <v>0.49</v>
      </c>
      <c r="Z50" s="2" t="n">
        <v>0.68</v>
      </c>
      <c r="AA50" s="2" t="n">
        <v>0.75</v>
      </c>
      <c r="AB50" s="2" t="n">
        <v>0.6899999999999999</v>
      </c>
      <c r="AC50" s="2" t="n">
        <v>0.72</v>
      </c>
      <c r="AD50" s="2" t="n">
        <v>0.77</v>
      </c>
      <c r="AE50" s="2" t="n">
        <v>0.67</v>
      </c>
      <c r="AF50" s="2" t="n">
        <v>0.62</v>
      </c>
      <c r="AG50" s="2" t="n">
        <v>0.7</v>
      </c>
      <c r="AH50" s="2" t="n">
        <v>0.71</v>
      </c>
      <c r="AI50" s="2" t="n">
        <v>0.7</v>
      </c>
      <c r="AJ50" s="2" t="n">
        <v>0.8100000000000001</v>
      </c>
      <c r="AK50" s="2" t="n">
        <v>0.8</v>
      </c>
      <c r="AL50" s="2" t="n">
        <v>0.76</v>
      </c>
      <c r="AM50" s="2" t="n">
        <v>0.83</v>
      </c>
      <c r="AN50" s="2" t="n">
        <v>0.6899999999999999</v>
      </c>
      <c r="AO50" s="2" t="n">
        <v>0.18</v>
      </c>
      <c r="AP50" s="2" t="n">
        <v>0.16</v>
      </c>
      <c r="AQ50" s="2" t="n">
        <v>0.31</v>
      </c>
      <c r="AR50" s="2" t="n">
        <v>0.27</v>
      </c>
      <c r="AS50" s="2" t="n">
        <v>0.42</v>
      </c>
      <c r="AT50" s="2" t="n">
        <v>0.22</v>
      </c>
      <c r="AU50" s="2" t="n">
        <v>0.37</v>
      </c>
      <c r="AV50" s="2" t="n">
        <v>0.87</v>
      </c>
      <c r="AW50" s="2" t="n">
        <v>0.9399999999999999</v>
      </c>
      <c r="AX50" s="2" t="n">
        <v>0.8100000000000001</v>
      </c>
      <c r="AY50" s="2" t="n">
        <v>1</v>
      </c>
    </row>
    <row r="51">
      <c r="A51" s="2" t="inlineStr">
        <is>
          <t>ALTERNATIVES</t>
        </is>
      </c>
      <c r="B51" s="2" t="inlineStr">
        <is>
          <t>Macro Hedge Funds</t>
        </is>
      </c>
      <c r="C51" s="5" t="n">
        <v>0.04046</v>
      </c>
      <c r="D51" s="5" t="n">
        <v>0.0801</v>
      </c>
      <c r="E51" s="2" t="n">
        <v>-0.0978</v>
      </c>
      <c r="F51" s="2" t="n">
        <v>0.18</v>
      </c>
      <c r="G51" s="2" t="n">
        <v>0.066</v>
      </c>
      <c r="H51" s="2" t="n">
        <v>0.064</v>
      </c>
      <c r="I51" s="2" t="n">
        <v>0.25</v>
      </c>
      <c r="J51" s="2" t="n">
        <v>0.17</v>
      </c>
      <c r="K51" s="2" t="n">
        <v>0.25</v>
      </c>
      <c r="L51" s="2" t="n">
        <v>0.17</v>
      </c>
      <c r="M51" s="2" t="n">
        <v>0.28</v>
      </c>
      <c r="N51" s="2" t="n">
        <v>0.24</v>
      </c>
      <c r="O51" s="2" t="n">
        <v>0.15</v>
      </c>
      <c r="P51" s="2" t="n">
        <v>0.03</v>
      </c>
      <c r="Q51" s="2" t="n">
        <v>0.14</v>
      </c>
      <c r="R51" s="2" t="n">
        <v>0.3</v>
      </c>
      <c r="S51" s="2" t="n">
        <v>0.15</v>
      </c>
      <c r="T51" s="2" t="n">
        <v>0.3</v>
      </c>
      <c r="U51" s="2" t="n">
        <v>0.23</v>
      </c>
      <c r="V51" s="2" t="n">
        <v>0.31</v>
      </c>
      <c r="W51" s="2" t="n">
        <v>0.2</v>
      </c>
      <c r="X51" s="2" t="n">
        <v>0.08400000000000001</v>
      </c>
      <c r="Y51" s="2" t="n">
        <v>0.14</v>
      </c>
      <c r="Z51" s="2" t="n">
        <v>0.21</v>
      </c>
      <c r="AA51" s="2" t="n">
        <v>0.23</v>
      </c>
      <c r="AB51" s="2" t="n">
        <v>0.12</v>
      </c>
      <c r="AC51" s="2" t="n">
        <v>0.16</v>
      </c>
      <c r="AD51" s="2" t="n">
        <v>0.26</v>
      </c>
      <c r="AE51" s="2" t="n">
        <v>0.29</v>
      </c>
      <c r="AF51" s="2" t="n">
        <v>0.24</v>
      </c>
      <c r="AG51" s="2" t="n">
        <v>0.29</v>
      </c>
      <c r="AH51" s="2" t="n">
        <v>0.3</v>
      </c>
      <c r="AI51" s="2" t="n">
        <v>0.24</v>
      </c>
      <c r="AJ51" s="2" t="n">
        <v>0.33</v>
      </c>
      <c r="AK51" s="2" t="n">
        <v>0.4</v>
      </c>
      <c r="AL51" s="2" t="n">
        <v>0.34</v>
      </c>
      <c r="AM51" s="2" t="n">
        <v>0.29</v>
      </c>
      <c r="AN51" s="2" t="n">
        <v>0.22</v>
      </c>
      <c r="AO51" s="2" t="n">
        <v>0.027</v>
      </c>
      <c r="AP51" s="2" t="n">
        <v>0.037</v>
      </c>
      <c r="AQ51" s="2" t="n">
        <v>0.074</v>
      </c>
      <c r="AR51" s="2" t="n">
        <v>0.14</v>
      </c>
      <c r="AS51" s="2" t="n">
        <v>0.11</v>
      </c>
      <c r="AT51" s="2" t="n">
        <v>0.052</v>
      </c>
      <c r="AU51" s="2" t="n">
        <v>0.2</v>
      </c>
      <c r="AV51" s="2" t="n">
        <v>0.5600000000000001</v>
      </c>
      <c r="AW51" s="2" t="n">
        <v>0.3</v>
      </c>
      <c r="AX51" s="2" t="n">
        <v>0.39</v>
      </c>
      <c r="AY51" s="2" t="n">
        <v>0.26</v>
      </c>
      <c r="AZ51" s="2" t="n">
        <v>1</v>
      </c>
    </row>
    <row r="52">
      <c r="A52" s="2" t="inlineStr">
        <is>
          <t>ALTERNATIVES</t>
        </is>
      </c>
      <c r="B52" s="2" t="inlineStr">
        <is>
          <t>Direct Lending</t>
        </is>
      </c>
      <c r="C52" s="5" t="n">
        <v>0.06396</v>
      </c>
      <c r="D52" s="5" t="n">
        <v>0.09082</v>
      </c>
      <c r="E52" s="2" t="n">
        <v>-0.05482</v>
      </c>
      <c r="F52" s="2" t="n">
        <v>-0.07907</v>
      </c>
      <c r="G52" s="2" t="n">
        <v>0.32</v>
      </c>
      <c r="H52" s="2" t="n">
        <v>0.3</v>
      </c>
      <c r="I52" s="2" t="n">
        <v>0.6</v>
      </c>
      <c r="J52" s="2" t="n">
        <v>0.78</v>
      </c>
      <c r="K52" s="2" t="n">
        <v>0.48</v>
      </c>
      <c r="L52" s="2" t="n">
        <v>0.61</v>
      </c>
      <c r="M52" s="2" t="n">
        <v>1</v>
      </c>
      <c r="N52" s="2" t="n">
        <v>0.83</v>
      </c>
      <c r="O52" s="2" t="n">
        <v>0.7</v>
      </c>
      <c r="P52" s="2" t="n">
        <v>0.44</v>
      </c>
      <c r="Q52" s="2" t="n">
        <v>0.4</v>
      </c>
      <c r="R52" s="2" t="n">
        <v>0.43</v>
      </c>
      <c r="S52" s="2" t="n">
        <v>0.35</v>
      </c>
      <c r="T52" s="2" t="n">
        <v>0.46</v>
      </c>
      <c r="U52" s="2" t="n">
        <v>0.73</v>
      </c>
      <c r="V52" s="2" t="n">
        <v>0.52</v>
      </c>
      <c r="W52" s="2" t="n">
        <v>0.8</v>
      </c>
      <c r="X52" s="2" t="n">
        <v>0.58</v>
      </c>
      <c r="Y52" s="2" t="n">
        <v>0.41</v>
      </c>
      <c r="Z52" s="2" t="n">
        <v>0.31</v>
      </c>
      <c r="AA52" s="2" t="n">
        <v>0.4</v>
      </c>
      <c r="AB52" s="2" t="n">
        <v>0.26</v>
      </c>
      <c r="AC52" s="2" t="n">
        <v>0.3</v>
      </c>
      <c r="AD52" s="2" t="n">
        <v>0.37</v>
      </c>
      <c r="AE52" s="2" t="n">
        <v>0.39</v>
      </c>
      <c r="AF52" s="2" t="n">
        <v>0.4</v>
      </c>
      <c r="AG52" s="2" t="n">
        <v>0.5</v>
      </c>
      <c r="AH52" s="2" t="n">
        <v>0.4</v>
      </c>
      <c r="AI52" s="2" t="n">
        <v>0.39</v>
      </c>
      <c r="AJ52" s="2" t="n">
        <v>0.48</v>
      </c>
      <c r="AK52" s="2" t="n">
        <v>0.51</v>
      </c>
      <c r="AL52" s="2" t="n">
        <v>0.53</v>
      </c>
      <c r="AM52" s="2" t="n">
        <v>0.42</v>
      </c>
      <c r="AN52" s="2" t="n">
        <v>0.37</v>
      </c>
      <c r="AO52" s="2" t="n">
        <v>0.12</v>
      </c>
      <c r="AP52" s="2" t="n">
        <v>0.13</v>
      </c>
      <c r="AQ52" s="2" t="n">
        <v>0.076</v>
      </c>
      <c r="AR52" s="2" t="n">
        <v>0.063</v>
      </c>
      <c r="AS52" s="2" t="n">
        <v>0.47</v>
      </c>
      <c r="AT52" s="2" t="n">
        <v>0.1</v>
      </c>
      <c r="AU52" s="2" t="n">
        <v>0.91</v>
      </c>
      <c r="AV52" s="2" t="n">
        <v>0.3</v>
      </c>
      <c r="AW52" s="2" t="n">
        <v>0.4</v>
      </c>
      <c r="AX52" s="2" t="n">
        <v>0.38</v>
      </c>
      <c r="AY52" s="2" t="n">
        <v>0.49</v>
      </c>
      <c r="AZ52" s="2" t="n">
        <v>0.21</v>
      </c>
      <c r="BA52" s="2" t="n">
        <v>1</v>
      </c>
    </row>
    <row r="53">
      <c r="A53" s="2" t="inlineStr">
        <is>
          <t>ALTERNATIVES</t>
        </is>
      </c>
      <c r="B53" s="2" t="inlineStr">
        <is>
          <t>Commodities</t>
        </is>
      </c>
      <c r="C53" s="5" t="n">
        <v>0.03607</v>
      </c>
      <c r="D53" s="5" t="n">
        <v>0.18987</v>
      </c>
      <c r="E53" s="2" t="n">
        <v>0.26</v>
      </c>
      <c r="F53" s="2" t="n">
        <v>0.083</v>
      </c>
      <c r="G53" s="2" t="n">
        <v>-0.1697</v>
      </c>
      <c r="H53" s="2" t="n">
        <v>-0.2811</v>
      </c>
      <c r="I53" s="2" t="n">
        <v>0.29</v>
      </c>
      <c r="J53" s="2" t="n">
        <v>0.066</v>
      </c>
      <c r="K53" s="2" t="n">
        <v>0.17</v>
      </c>
      <c r="L53" s="2" t="n">
        <v>-0.01089</v>
      </c>
      <c r="M53" s="2" t="n">
        <v>0.27</v>
      </c>
      <c r="N53" s="2" t="n">
        <v>0.19</v>
      </c>
      <c r="O53" s="2" t="n">
        <v>0.51</v>
      </c>
      <c r="P53" s="2" t="n">
        <v>0.27</v>
      </c>
      <c r="Q53" s="2" t="n">
        <v>-0.234</v>
      </c>
      <c r="R53" s="2" t="n">
        <v>0.41</v>
      </c>
      <c r="S53" s="2" t="n">
        <v>-0.2711</v>
      </c>
      <c r="T53" s="2" t="n">
        <v>0.43</v>
      </c>
      <c r="U53" s="2" t="n">
        <v>0.44</v>
      </c>
      <c r="V53" s="2" t="n">
        <v>0.52</v>
      </c>
      <c r="W53" s="2" t="n">
        <v>0.43</v>
      </c>
      <c r="X53" s="2" t="n">
        <v>-0.07724</v>
      </c>
      <c r="Y53" s="2" t="n">
        <v>0.14</v>
      </c>
      <c r="Z53" s="2" t="n">
        <v>0.42</v>
      </c>
      <c r="AA53" s="2" t="n">
        <v>0.5</v>
      </c>
      <c r="AB53" s="2" t="n">
        <v>0.41</v>
      </c>
      <c r="AC53" s="2" t="n">
        <v>0.45</v>
      </c>
      <c r="AD53" s="2" t="n">
        <v>0.5</v>
      </c>
      <c r="AE53" s="2" t="n">
        <v>0.5</v>
      </c>
      <c r="AF53" s="2" t="n">
        <v>0.33</v>
      </c>
      <c r="AG53" s="2" t="n">
        <v>0.48</v>
      </c>
      <c r="AH53" s="2" t="n">
        <v>0.58</v>
      </c>
      <c r="AI53" s="2" t="n">
        <v>0.38</v>
      </c>
      <c r="AJ53" s="2" t="n">
        <v>0.6</v>
      </c>
      <c r="AK53" s="2" t="n">
        <v>0.6</v>
      </c>
      <c r="AL53" s="2" t="n">
        <v>0.54</v>
      </c>
      <c r="AM53" s="2" t="n">
        <v>0.54</v>
      </c>
      <c r="AN53" s="2" t="n">
        <v>0.44</v>
      </c>
      <c r="AO53" s="2" t="n">
        <v>0.1</v>
      </c>
      <c r="AP53" s="2" t="n">
        <v>0.11</v>
      </c>
      <c r="AQ53" s="2" t="n">
        <v>0.09</v>
      </c>
      <c r="AR53" s="2" t="n">
        <v>0.21</v>
      </c>
      <c r="AS53" s="2" t="n">
        <v>0.29</v>
      </c>
      <c r="AT53" s="2" t="n">
        <v>0.15</v>
      </c>
      <c r="AU53" s="2" t="n">
        <v>0.14</v>
      </c>
      <c r="AV53" s="2" t="n">
        <v>0.52</v>
      </c>
      <c r="AW53" s="2" t="n">
        <v>0.62</v>
      </c>
      <c r="AX53" s="2" t="n">
        <v>0.64</v>
      </c>
      <c r="AY53" s="2" t="n">
        <v>0.5600000000000001</v>
      </c>
      <c r="AZ53" s="2" t="n">
        <v>0.4</v>
      </c>
      <c r="BA53" s="2" t="n">
        <v>0.31</v>
      </c>
      <c r="BB53" s="2" t="n">
        <v>1</v>
      </c>
    </row>
    <row r="54">
      <c r="A54" s="2" t="inlineStr">
        <is>
          <t>ALTERNATIVES</t>
        </is>
      </c>
      <c r="B54" s="2" t="inlineStr">
        <is>
          <t>Gold</t>
        </is>
      </c>
      <c r="C54" s="5" t="n">
        <v>0.03604</v>
      </c>
      <c r="D54" s="5" t="n">
        <v>0.17711</v>
      </c>
      <c r="E54" s="2" t="n">
        <v>0.018</v>
      </c>
      <c r="F54" s="2" t="n">
        <v>0.06900000000000001</v>
      </c>
      <c r="G54" s="2" t="n">
        <v>0.34</v>
      </c>
      <c r="H54" s="2" t="n">
        <v>0.22</v>
      </c>
      <c r="I54" s="2" t="n">
        <v>0.45</v>
      </c>
      <c r="J54" s="2" t="n">
        <v>0.37</v>
      </c>
      <c r="K54" s="2" t="n">
        <v>0.38</v>
      </c>
      <c r="L54" s="2" t="n">
        <v>0.27</v>
      </c>
      <c r="M54" s="2" t="n">
        <v>0.34</v>
      </c>
      <c r="N54" s="2" t="n">
        <v>0.26</v>
      </c>
      <c r="O54" s="2" t="n">
        <v>0.11</v>
      </c>
      <c r="P54" s="2" t="n">
        <v>-0.1184</v>
      </c>
      <c r="Q54" s="2" t="n">
        <v>0.2</v>
      </c>
      <c r="R54" s="2" t="n">
        <v>0.55</v>
      </c>
      <c r="S54" s="2" t="n">
        <v>0.17</v>
      </c>
      <c r="T54" s="2" t="n">
        <v>0.5</v>
      </c>
      <c r="U54" s="2" t="n">
        <v>0.33</v>
      </c>
      <c r="V54" s="2" t="n">
        <v>0.4</v>
      </c>
      <c r="W54" s="2" t="n">
        <v>0.29</v>
      </c>
      <c r="X54" s="2" t="n">
        <v>0.24</v>
      </c>
      <c r="Y54" s="2" t="n">
        <v>0.073</v>
      </c>
      <c r="Z54" s="2" t="n">
        <v>-0.01067</v>
      </c>
      <c r="AA54" s="2" t="n">
        <v>0.019</v>
      </c>
      <c r="AB54" s="2" t="n">
        <v>-0.01079</v>
      </c>
      <c r="AC54" s="2" t="n">
        <v>-0.009391</v>
      </c>
      <c r="AD54" s="2" t="n">
        <v>0.011</v>
      </c>
      <c r="AE54" s="2" t="n">
        <v>0.065</v>
      </c>
      <c r="AF54" s="2" t="n">
        <v>-0.03026</v>
      </c>
      <c r="AG54" s="2" t="n">
        <v>0.17</v>
      </c>
      <c r="AH54" s="2" t="n">
        <v>0.11</v>
      </c>
      <c r="AI54" s="2" t="n">
        <v>-0.1241</v>
      </c>
      <c r="AJ54" s="2" t="n">
        <v>0.08</v>
      </c>
      <c r="AK54" s="2" t="n">
        <v>0.21</v>
      </c>
      <c r="AL54" s="2" t="n">
        <v>0.21</v>
      </c>
      <c r="AM54" s="2" t="n">
        <v>0.083</v>
      </c>
      <c r="AN54" s="2" t="n">
        <v>0.043</v>
      </c>
      <c r="AO54" s="2" t="n">
        <v>0</v>
      </c>
      <c r="AP54" s="2" t="n">
        <v>0</v>
      </c>
      <c r="AQ54" s="2" t="n">
        <v>-0.1176</v>
      </c>
      <c r="AR54" s="2" t="n">
        <v>0</v>
      </c>
      <c r="AS54" s="2" t="n">
        <v>0.048</v>
      </c>
      <c r="AT54" s="2" t="n">
        <v>0</v>
      </c>
      <c r="AU54" s="2" t="n">
        <v>0.31</v>
      </c>
      <c r="AV54" s="2" t="n">
        <v>0.1</v>
      </c>
      <c r="AW54" s="2" t="n">
        <v>0.077</v>
      </c>
      <c r="AX54" s="2" t="n">
        <v>0.15</v>
      </c>
      <c r="AY54" s="2" t="n">
        <v>0.08400000000000001</v>
      </c>
      <c r="AZ54" s="2" t="n">
        <v>0.39</v>
      </c>
      <c r="BA54" s="2" t="n">
        <v>0.29</v>
      </c>
      <c r="BB54" s="2" t="n">
        <v>0.45</v>
      </c>
      <c r="BC54" s="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7">
    <tabColor rgb="FF06005A"/>
    <outlinePr summaryBelow="1" summaryRight="1"/>
    <pageSetUpPr/>
  </sheetPr>
  <dimension ref="A1:BB53"/>
  <sheetViews>
    <sheetView workbookViewId="0">
      <selection activeCell="A1" sqref="A1"/>
    </sheetView>
  </sheetViews>
  <sheetFormatPr baseColWidth="8" defaultColWidth="0" defaultRowHeight="17.5" zeroHeight="1"/>
  <cols>
    <col width="48.08984375" bestFit="1" customWidth="1" style="2" min="1" max="1"/>
    <col width="54" bestFit="1" customWidth="1" style="2" min="2" max="2"/>
    <col width="63.6328125" bestFit="1" customWidth="1" style="2" min="3" max="3"/>
    <col width="21" bestFit="1" customWidth="1" style="2" min="4" max="4"/>
    <col width="17" bestFit="1" customWidth="1" style="2" min="5" max="5"/>
    <col width="14" bestFit="1" customWidth="1" style="2" min="6" max="6"/>
    <col width="27.26953125" bestFit="1" customWidth="1" style="2" min="7" max="7"/>
    <col width="24.6328125" bestFit="1" customWidth="1" style="2" min="8" max="8"/>
    <col width="27" bestFit="1" customWidth="1" style="2" min="9" max="9"/>
    <col width="26.81640625" bestFit="1" customWidth="1" style="3" min="10" max="10"/>
    <col width="16.7265625" bestFit="1" customWidth="1" style="3" min="11" max="11"/>
    <col width="37.1796875" bestFit="1" customWidth="1" style="2" min="12" max="12"/>
    <col width="36.26953125" bestFit="1" customWidth="1" style="2" min="13" max="13"/>
    <col width="20.453125" bestFit="1" customWidth="1" style="2" min="14" max="14"/>
    <col width="19.1796875" bestFit="1" customWidth="1" style="2" min="15" max="15"/>
    <col width="17.1796875" bestFit="1" customWidth="1" style="2" min="16" max="16"/>
    <col width="22.7265625" bestFit="1" customWidth="1" style="2" min="17" max="17"/>
    <col width="32.81640625" bestFit="1" customWidth="1" style="2" min="18" max="18"/>
    <col width="23.81640625" bestFit="1" customWidth="1" style="2" min="19" max="19"/>
    <col width="35.81640625" bestFit="1" customWidth="1" style="2" min="20" max="20"/>
    <col width="51.54296875" bestFit="1" customWidth="1" style="2" min="21" max="21"/>
    <col width="42.6328125" bestFit="1" customWidth="1" style="2" min="22" max="22"/>
    <col width="12.90625" bestFit="1" customWidth="1" style="2" min="23" max="23"/>
    <col width="18" bestFit="1" customWidth="1" style="2" min="24" max="24"/>
    <col width="12.54296875" bestFit="1" customWidth="1" style="2" min="25" max="25"/>
    <col width="36.54296875" bestFit="1" customWidth="1" style="2" min="26" max="26"/>
    <col width="33.36328125" bestFit="1" customWidth="1" style="2" min="27" max="27"/>
    <col width="24.81640625" bestFit="1" customWidth="1" style="2" min="28" max="28"/>
    <col width="18.6328125" bestFit="1" customWidth="1" style="2" min="29" max="29"/>
    <col width="20.7265625" bestFit="1" customWidth="1" style="2" min="30" max="30"/>
    <col width="30.26953125" bestFit="1" customWidth="1" style="2" min="31" max="31"/>
    <col width="28.08984375" bestFit="1" customWidth="1" style="2" min="32" max="32"/>
    <col width="29.7265625" bestFit="1" customWidth="1" style="2" min="33" max="33"/>
    <col width="41.7265625" bestFit="1" customWidth="1" style="2" min="34" max="34"/>
    <col width="41.54296875" bestFit="1" customWidth="1" style="2" min="35" max="35"/>
    <col width="54" bestFit="1" customWidth="1" style="2" min="36" max="36"/>
    <col width="20" bestFit="1" customWidth="1" style="2" min="37" max="37"/>
    <col width="17.1796875" bestFit="1" customWidth="1" style="2" min="38" max="38"/>
    <col width="36.08984375" bestFit="1" customWidth="1" style="2" min="39" max="39"/>
    <col width="35.1796875" bestFit="1" customWidth="1" style="2" min="40" max="40"/>
    <col width="27.36328125" bestFit="1" customWidth="1" style="2" min="41" max="41"/>
    <col width="37.1796875" bestFit="1" customWidth="1" style="2" min="42" max="42"/>
    <col width="40.90625" bestFit="1" customWidth="1" style="2" min="43" max="43"/>
    <col width="16.90625" bestFit="1" customWidth="1" style="2" min="44" max="44"/>
    <col width="39.36328125" bestFit="1" customWidth="1" style="2" min="45" max="45"/>
    <col width="27.08984375" bestFit="1" customWidth="1" style="2" min="46" max="46"/>
    <col width="34.453125" bestFit="1" customWidth="1" style="2" min="47" max="47"/>
    <col width="14.26953125" bestFit="1" customWidth="1" style="2" min="48" max="48"/>
    <col width="12.54296875" bestFit="1" customWidth="1" style="2" min="49" max="49"/>
    <col width="13.08984375" bestFit="1" customWidth="1" style="2" min="50" max="50"/>
    <col width="15.6328125" bestFit="1" customWidth="1" style="2" min="51" max="51"/>
    <col width="22.90625" bestFit="1" customWidth="1" style="2" min="52" max="52"/>
    <col width="24.90625" bestFit="1" customWidth="1" style="2" min="53" max="53"/>
    <col width="25.7265625" bestFit="1" customWidth="1" style="2" min="54" max="54"/>
    <col width="6.54296875" customWidth="1" style="2" min="55" max="55"/>
    <col hidden="1" width="6.54296875" customWidth="1" style="2" min="56" max="60"/>
    <col hidden="1" width="8.7265625" customWidth="1" style="2" min="61" max="61"/>
    <col hidden="1" width="8.7265625" customWidth="1" style="2" min="62" max="16384"/>
  </cols>
  <sheetData>
    <row r="1" ht="18" customHeight="1">
      <c r="A1" s="1" t="inlineStr">
        <is>
          <t>10-Year Capital Market Expectations</t>
        </is>
      </c>
    </row>
    <row r="3">
      <c r="B3" s="2" t="inlineStr">
        <is>
          <t>Asset Class</t>
        </is>
      </c>
      <c r="C3" s="2" t="inlineStr">
        <is>
          <t>Representative Index</t>
        </is>
      </c>
      <c r="D3" s="3" t="inlineStr">
        <is>
          <t>Expected Return</t>
        </is>
      </c>
      <c r="E3" s="4" t="inlineStr">
        <is>
          <t>Expected Vol</t>
        </is>
      </c>
      <c r="F3" s="2" t="inlineStr">
        <is>
          <t>U.S. Equity</t>
        </is>
      </c>
      <c r="G3" s="2" t="inlineStr">
        <is>
          <t>U.S. Large Cap Equity</t>
        </is>
      </c>
      <c r="H3" s="2" t="inlineStr">
        <is>
          <t>U.S. Mid Cap Equity</t>
        </is>
      </c>
      <c r="I3" s="2" t="inlineStr">
        <is>
          <t>U.S. Small Cap Equity</t>
        </is>
      </c>
      <c r="J3" s="2" t="inlineStr">
        <is>
          <t>U.S. Micro Cap Equity</t>
        </is>
      </c>
      <c r="K3" s="2" t="inlineStr">
        <is>
          <t>Global Equity</t>
        </is>
      </c>
      <c r="L3" s="2" t="inlineStr">
        <is>
          <t>International Developed Equity</t>
        </is>
      </c>
      <c r="M3" s="2" t="inlineStr">
        <is>
          <t>International Small Cap Equity</t>
        </is>
      </c>
      <c r="N3" s="2" t="inlineStr">
        <is>
          <t>Emerging Equity</t>
        </is>
      </c>
      <c r="O3" s="2" t="inlineStr">
        <is>
          <t>U.S. Aggregate</t>
        </is>
      </c>
      <c r="P3" s="2" t="inlineStr">
        <is>
          <t>U.S. Treasury</t>
        </is>
      </c>
      <c r="Q3" s="2" t="inlineStr">
        <is>
          <t>U.S. Treasury Bills</t>
        </is>
      </c>
      <c r="R3" s="2" t="inlineStr">
        <is>
          <t>U.S. Intermediate Treasury</t>
        </is>
      </c>
      <c r="S3" s="2" t="inlineStr">
        <is>
          <t>U.S. Long Treasury</t>
        </is>
      </c>
      <c r="T3" s="2" t="inlineStr">
        <is>
          <t>U.S. Investment Grade Credit</t>
        </is>
      </c>
      <c r="U3" s="2" t="inlineStr">
        <is>
          <t>U.S. Intermediate Investment Grade Credit</t>
        </is>
      </c>
      <c r="V3" s="2" t="inlineStr">
        <is>
          <t>U.S. Long Investment Grade Credit</t>
        </is>
      </c>
      <c r="W3" s="2" t="inlineStr">
        <is>
          <t>U.S. TIPS</t>
        </is>
      </c>
      <c r="X3" s="2" t="inlineStr">
        <is>
          <t>U.S. Agencies</t>
        </is>
      </c>
      <c r="Y3" s="2" t="inlineStr">
        <is>
          <t>U.S. MBS</t>
        </is>
      </c>
      <c r="Z3" s="2" t="inlineStr">
        <is>
          <t>U.S. Investment Grade CMBS</t>
        </is>
      </c>
      <c r="AA3" s="2" t="inlineStr">
        <is>
          <t>U.S. Intermediate Municipal</t>
        </is>
      </c>
      <c r="AB3" s="2" t="inlineStr">
        <is>
          <t>U.S. Short Municipal</t>
        </is>
      </c>
      <c r="AC3" s="2" t="inlineStr">
        <is>
          <t>U.S. High Yield</t>
        </is>
      </c>
      <c r="AD3" s="2" t="inlineStr">
        <is>
          <t>U.S. Bank Loans</t>
        </is>
      </c>
      <c r="AE3" s="2" t="inlineStr">
        <is>
          <t>Global Aggregate Ex-US</t>
        </is>
      </c>
      <c r="AF3" s="2" t="inlineStr">
        <is>
          <t>Global Treasury Ex-US</t>
        </is>
      </c>
      <c r="AG3" s="2" t="inlineStr">
        <is>
          <t>Global Corporate Ex-US</t>
        </is>
      </c>
      <c r="AH3" s="2" t="inlineStr">
        <is>
          <t>Emerging Markets Sovereign USD</t>
        </is>
      </c>
      <c r="AI3" s="2" t="inlineStr">
        <is>
          <t>Emerging Markets Corporate USD</t>
        </is>
      </c>
      <c r="AJ3" s="2" t="inlineStr">
        <is>
          <t>Emerging Markets Sovereign Local Currency</t>
        </is>
      </c>
      <c r="AK3" s="2" t="inlineStr">
        <is>
          <t>Absolute Return</t>
        </is>
      </c>
      <c r="AL3" s="2" t="inlineStr">
        <is>
          <t>Hedge Funds</t>
        </is>
      </c>
      <c r="AM3" s="2" t="inlineStr">
        <is>
          <t>Hedge Funds – Equity Hedge</t>
        </is>
      </c>
      <c r="AN3" s="2" t="inlineStr">
        <is>
          <t>Hedge Funds – Event Driven</t>
        </is>
      </c>
      <c r="AO3" s="2" t="inlineStr">
        <is>
          <t>Hedge Funds – Macro</t>
        </is>
      </c>
      <c r="AP3" s="2" t="inlineStr">
        <is>
          <t>Hedge Funds – Relative Value</t>
        </is>
      </c>
      <c r="AQ3" s="2" t="inlineStr">
        <is>
          <t>Hedge Funds – Managed Futures</t>
        </is>
      </c>
      <c r="AR3" s="2" t="inlineStr">
        <is>
          <t>Commodities</t>
        </is>
      </c>
      <c r="AS3" s="2" t="inlineStr">
        <is>
          <t>Global Natural Resources Equity</t>
        </is>
      </c>
      <c r="AT3" s="2" t="inlineStr">
        <is>
          <t>U.S. Core Real Estate</t>
        </is>
      </c>
      <c r="AU3" s="2" t="inlineStr">
        <is>
          <t>U.S. Residential Real Estate</t>
        </is>
      </c>
      <c r="AV3" s="2" t="inlineStr">
        <is>
          <t>Timberland</t>
        </is>
      </c>
      <c r="AW3" s="2" t="inlineStr">
        <is>
          <t>Farmland</t>
        </is>
      </c>
      <c r="AX3" s="2" t="inlineStr">
        <is>
          <t>U.S. REIT</t>
        </is>
      </c>
      <c r="AY3" s="2" t="inlineStr">
        <is>
          <t>Global REIT</t>
        </is>
      </c>
      <c r="AZ3" s="2" t="inlineStr">
        <is>
          <t>U.S. Private Equity</t>
        </is>
      </c>
      <c r="BA3" s="2" t="inlineStr">
        <is>
          <t>U.S. Venture Capital</t>
        </is>
      </c>
      <c r="BB3" s="2" t="inlineStr">
        <is>
          <t>Energy Infrastructure</t>
        </is>
      </c>
    </row>
    <row r="4">
      <c r="A4" s="2" t="inlineStr">
        <is>
          <t>Equity</t>
        </is>
      </c>
      <c r="B4" s="2" t="inlineStr">
        <is>
          <t>U.S. Equity</t>
        </is>
      </c>
      <c r="C4" s="2" t="inlineStr">
        <is>
          <t>Russell 3000</t>
        </is>
      </c>
      <c r="D4" s="12" t="n">
        <v>0.06560000000000001</v>
      </c>
      <c r="E4" s="12" t="n">
        <v>0.1601</v>
      </c>
      <c r="F4" s="2" t="n">
        <v>1</v>
      </c>
      <c r="G4" s="2" t="n">
        <v>1</v>
      </c>
      <c r="H4" s="2" t="n">
        <v>0.92</v>
      </c>
      <c r="I4" s="2" t="n">
        <v>0.9</v>
      </c>
      <c r="J4" s="2" t="n">
        <v>0.88</v>
      </c>
      <c r="K4" s="2" t="n">
        <v>0.95</v>
      </c>
      <c r="L4" s="2" t="n">
        <v>0.9</v>
      </c>
      <c r="M4" s="2" t="n">
        <v>0.8100000000000001</v>
      </c>
      <c r="N4" s="2" t="n">
        <v>0.85</v>
      </c>
      <c r="O4" s="2" t="n">
        <v>-0.04839</v>
      </c>
      <c r="P4" s="2" t="n">
        <v>-0.3259</v>
      </c>
      <c r="Q4" s="2" t="n">
        <v>-0.1002</v>
      </c>
      <c r="R4" s="2" t="n">
        <v>-0.329</v>
      </c>
      <c r="S4" s="2" t="n">
        <v>-0.2988</v>
      </c>
      <c r="T4" s="2" t="n">
        <v>0.24</v>
      </c>
      <c r="U4" s="2" t="n">
        <v>0.24</v>
      </c>
      <c r="V4" s="2" t="n">
        <v>0.21</v>
      </c>
      <c r="W4" s="2" t="n">
        <v>0.064</v>
      </c>
      <c r="X4" s="2" t="n">
        <v>-0.1369</v>
      </c>
      <c r="Y4" s="2" t="n">
        <v>-0.1273</v>
      </c>
      <c r="Z4" s="2" t="n">
        <v>0.39</v>
      </c>
      <c r="AA4" s="2" t="n">
        <v>-0.04354</v>
      </c>
      <c r="AB4" s="2" t="n">
        <v>-0.1091</v>
      </c>
      <c r="AC4" s="2" t="n">
        <v>0.67</v>
      </c>
      <c r="AD4" s="2" t="n">
        <v>0.49</v>
      </c>
      <c r="AE4" s="2" t="n">
        <v>0.27</v>
      </c>
      <c r="AF4" s="2" t="n">
        <v>0.16</v>
      </c>
      <c r="AG4" s="2" t="n">
        <v>0.47</v>
      </c>
      <c r="AH4" s="2" t="n">
        <v>0.53</v>
      </c>
      <c r="AI4" s="2" t="n">
        <v>0.57</v>
      </c>
      <c r="AJ4" s="2" t="n">
        <v>0.63</v>
      </c>
      <c r="AK4" s="2" t="n">
        <v>0.63</v>
      </c>
      <c r="AL4" s="2" t="n">
        <v>0.8100000000000001</v>
      </c>
      <c r="AM4" s="2" t="n">
        <v>0.85</v>
      </c>
      <c r="AN4" s="2" t="n">
        <v>0.72</v>
      </c>
      <c r="AO4" s="2" t="n">
        <v>0.22</v>
      </c>
      <c r="AP4" s="2" t="n">
        <v>0.64</v>
      </c>
      <c r="AQ4" s="2" t="n">
        <v>-0.09347999999999999</v>
      </c>
      <c r="AR4" s="2" t="n">
        <v>0.39</v>
      </c>
      <c r="AS4" s="2" t="n">
        <v>0.66</v>
      </c>
      <c r="AT4" s="2" t="n">
        <v>0.46</v>
      </c>
      <c r="AU4" s="2" t="n">
        <v>0.1</v>
      </c>
      <c r="AV4" s="2" t="n">
        <v>0.42</v>
      </c>
      <c r="AW4" s="2" t="n">
        <v>0.35</v>
      </c>
      <c r="AX4" s="2" t="n">
        <v>0.6899999999999999</v>
      </c>
      <c r="AY4" s="2" t="n">
        <v>0.73</v>
      </c>
      <c r="AZ4" s="2" t="n">
        <v>0.9399999999999999</v>
      </c>
      <c r="BA4" s="2" t="n">
        <v>0.65</v>
      </c>
      <c r="BB4" s="2" t="n">
        <v>0.51</v>
      </c>
    </row>
    <row r="5">
      <c r="A5" s="2" t="inlineStr">
        <is>
          <t>Equity</t>
        </is>
      </c>
      <c r="B5" s="2" t="inlineStr">
        <is>
          <t>U.S. Large Cap Equity</t>
        </is>
      </c>
      <c r="C5" s="2" t="inlineStr">
        <is>
          <t>Russell 1000</t>
        </is>
      </c>
      <c r="D5" s="12" t="n">
        <v>0.0605</v>
      </c>
      <c r="E5" s="12" t="n">
        <v>0.1508</v>
      </c>
      <c r="F5" s="2" t="n">
        <v>1</v>
      </c>
      <c r="G5" s="2" t="n">
        <v>1</v>
      </c>
      <c r="H5" s="2" t="n">
        <v>0.98</v>
      </c>
      <c r="I5" s="2" t="n">
        <v>0.84</v>
      </c>
      <c r="J5" s="2" t="n">
        <v>0.82</v>
      </c>
      <c r="K5" s="2" t="n">
        <v>0.9399999999999999</v>
      </c>
      <c r="L5" s="2" t="n">
        <v>0.9399999999999999</v>
      </c>
      <c r="M5" s="2" t="n">
        <v>0.78</v>
      </c>
      <c r="N5" s="2" t="n">
        <v>0.77</v>
      </c>
      <c r="O5" s="2" t="n">
        <v>-0.04154</v>
      </c>
      <c r="P5" s="2" t="n">
        <v>-0.312</v>
      </c>
      <c r="Q5" s="2" t="n">
        <v>-0.1114</v>
      </c>
      <c r="R5" s="2" t="n">
        <v>-0.3053</v>
      </c>
      <c r="S5" s="2" t="n">
        <v>-0.3162</v>
      </c>
      <c r="T5" s="2" t="n">
        <v>0.25</v>
      </c>
      <c r="U5" s="2" t="n">
        <v>0.27</v>
      </c>
      <c r="V5" s="2" t="n">
        <v>0.21</v>
      </c>
      <c r="W5" s="2" t="n">
        <v>0.083</v>
      </c>
      <c r="X5" s="2" t="n">
        <v>-0.1096</v>
      </c>
      <c r="Y5" s="2" t="n">
        <v>-0.125</v>
      </c>
      <c r="Z5" s="2" t="n">
        <v>0.4</v>
      </c>
      <c r="AA5" s="2" t="n">
        <v>-0.0293</v>
      </c>
      <c r="AB5" s="2" t="n">
        <v>-0.1312</v>
      </c>
      <c r="AC5" s="2" t="n">
        <v>0.68</v>
      </c>
      <c r="AD5" s="2" t="n">
        <v>0.58</v>
      </c>
      <c r="AE5" s="2" t="n">
        <v>0.23</v>
      </c>
      <c r="AF5" s="2" t="n">
        <v>0.16</v>
      </c>
      <c r="AG5" s="2" t="n">
        <v>0.49</v>
      </c>
      <c r="AH5" s="2" t="n">
        <v>0.54</v>
      </c>
      <c r="AI5" s="2" t="n">
        <v>0.59</v>
      </c>
      <c r="AJ5" s="2" t="n">
        <v>0.58</v>
      </c>
      <c r="AK5" s="2" t="n">
        <v>0.7</v>
      </c>
      <c r="AL5" s="2" t="n">
        <v>0.79</v>
      </c>
      <c r="AM5" s="2" t="n">
        <v>0.89</v>
      </c>
      <c r="AN5" s="2" t="n">
        <v>0.75</v>
      </c>
      <c r="AO5" s="2" t="n">
        <v>0.21</v>
      </c>
      <c r="AP5" s="2" t="n">
        <v>0.7</v>
      </c>
      <c r="AQ5" s="2" t="n">
        <v>-0.08217000000000001</v>
      </c>
      <c r="AR5" s="2" t="n">
        <v>0.39</v>
      </c>
      <c r="AS5" s="2" t="n">
        <v>0.7</v>
      </c>
      <c r="AT5" s="2" t="n">
        <v>0.48</v>
      </c>
      <c r="AU5" s="2" t="n">
        <v>0.1</v>
      </c>
      <c r="AV5" s="2" t="n">
        <v>0.38</v>
      </c>
      <c r="AW5" s="2" t="n">
        <v>0.31</v>
      </c>
      <c r="AX5" s="2" t="n">
        <v>0.64</v>
      </c>
      <c r="AY5" s="2" t="n">
        <v>0.78</v>
      </c>
      <c r="AZ5" s="2" t="n">
        <v>0.93</v>
      </c>
      <c r="BA5" s="2" t="n">
        <v>0.7</v>
      </c>
      <c r="BB5" s="2" t="n">
        <v>0.49</v>
      </c>
    </row>
    <row r="6">
      <c r="A6" s="2" t="inlineStr">
        <is>
          <t>Equity</t>
        </is>
      </c>
      <c r="B6" s="2" t="inlineStr">
        <is>
          <t>U.S. Mid Cap Equity</t>
        </is>
      </c>
      <c r="C6" s="2" t="inlineStr">
        <is>
          <t>Russell Mid Cap</t>
        </is>
      </c>
      <c r="D6" s="12" t="n">
        <v>0.0624</v>
      </c>
      <c r="E6" s="12" t="n">
        <v>0.1781</v>
      </c>
      <c r="F6" s="2" t="n">
        <v>0.92</v>
      </c>
      <c r="G6" s="2" t="n">
        <v>0.98</v>
      </c>
      <c r="H6" s="2" t="n">
        <v>1</v>
      </c>
      <c r="I6" s="2" t="n">
        <v>0.86</v>
      </c>
      <c r="J6" s="2" t="n">
        <v>0.86</v>
      </c>
      <c r="K6" s="2" t="n">
        <v>0.89</v>
      </c>
      <c r="L6" s="2" t="n">
        <v>0.92</v>
      </c>
      <c r="M6" s="2" t="n">
        <v>0.86</v>
      </c>
      <c r="N6" s="2" t="n">
        <v>0.71</v>
      </c>
      <c r="O6" s="2" t="n">
        <v>-0.01844</v>
      </c>
      <c r="P6" s="2" t="n">
        <v>-0.3171</v>
      </c>
      <c r="Q6" s="2" t="n">
        <v>-0.1059</v>
      </c>
      <c r="R6" s="2" t="n">
        <v>-0.3</v>
      </c>
      <c r="S6" s="2" t="n">
        <v>-0.306</v>
      </c>
      <c r="T6" s="2" t="n">
        <v>0.26</v>
      </c>
      <c r="U6" s="2" t="n">
        <v>0.29</v>
      </c>
      <c r="V6" s="2" t="n">
        <v>0.23</v>
      </c>
      <c r="W6" s="2" t="n">
        <v>0.12</v>
      </c>
      <c r="X6" s="2" t="n">
        <v>-0.1025</v>
      </c>
      <c r="Y6" s="2" t="n">
        <v>-0.114</v>
      </c>
      <c r="Z6" s="2" t="n">
        <v>0.39</v>
      </c>
      <c r="AA6" s="2" t="n">
        <v>0</v>
      </c>
      <c r="AB6" s="2" t="n">
        <v>-0.11</v>
      </c>
      <c r="AC6" s="2" t="n">
        <v>0.8100000000000001</v>
      </c>
      <c r="AD6" s="2" t="n">
        <v>0.6</v>
      </c>
      <c r="AE6" s="2" t="n">
        <v>0.27</v>
      </c>
      <c r="AF6" s="2" t="n">
        <v>0.16</v>
      </c>
      <c r="AG6" s="2" t="n">
        <v>0.5</v>
      </c>
      <c r="AH6" s="2" t="n">
        <v>0.57</v>
      </c>
      <c r="AI6" s="2" t="n">
        <v>0.63</v>
      </c>
      <c r="AJ6" s="2" t="n">
        <v>0.65</v>
      </c>
      <c r="AK6" s="2" t="n">
        <v>0.68</v>
      </c>
      <c r="AL6" s="2" t="n">
        <v>0.93</v>
      </c>
      <c r="AM6" s="2" t="n">
        <v>0.95</v>
      </c>
      <c r="AN6" s="2" t="n">
        <v>0.9</v>
      </c>
      <c r="AO6" s="2" t="n">
        <v>0.27</v>
      </c>
      <c r="AP6" s="2" t="n">
        <v>0.8</v>
      </c>
      <c r="AQ6" s="2" t="n">
        <v>-0.07699</v>
      </c>
      <c r="AR6" s="2" t="n">
        <v>0.44</v>
      </c>
      <c r="AS6" s="2" t="n">
        <v>0.68</v>
      </c>
      <c r="AT6" s="2" t="n">
        <v>0.5</v>
      </c>
      <c r="AU6" s="2" t="n">
        <v>0.1</v>
      </c>
      <c r="AV6" s="2" t="n">
        <v>0.4</v>
      </c>
      <c r="AW6" s="2" t="n">
        <v>0.25</v>
      </c>
      <c r="AX6" s="2" t="n">
        <v>0.67</v>
      </c>
      <c r="AY6" s="2" t="n">
        <v>0.7</v>
      </c>
      <c r="AZ6" s="2" t="n">
        <v>0.8</v>
      </c>
      <c r="BA6" s="2" t="n">
        <v>0.77</v>
      </c>
      <c r="BB6" s="2" t="n">
        <v>0.47</v>
      </c>
    </row>
    <row r="7">
      <c r="A7" s="2" t="inlineStr">
        <is>
          <t>Equity</t>
        </is>
      </c>
      <c r="B7" s="2" t="inlineStr">
        <is>
          <t>U.S. Small Cap Equity</t>
        </is>
      </c>
      <c r="C7" s="2" t="inlineStr">
        <is>
          <t>Russell 2000</t>
        </is>
      </c>
      <c r="D7" s="12" t="n">
        <v>0.0746</v>
      </c>
      <c r="E7" s="12" t="n">
        <v>0.1976</v>
      </c>
      <c r="F7" s="2" t="n">
        <v>0.9</v>
      </c>
      <c r="G7" s="2" t="n">
        <v>0.84</v>
      </c>
      <c r="H7" s="2" t="n">
        <v>0.86</v>
      </c>
      <c r="I7" s="2" t="n">
        <v>1</v>
      </c>
      <c r="J7" s="2" t="n">
        <v>0.9399999999999999</v>
      </c>
      <c r="K7" s="2" t="n">
        <v>0.93</v>
      </c>
      <c r="L7" s="2" t="n">
        <v>0.76</v>
      </c>
      <c r="M7" s="2" t="n">
        <v>0.73</v>
      </c>
      <c r="N7" s="2" t="n">
        <v>0.71</v>
      </c>
      <c r="O7" s="2" t="n">
        <v>-0.08298</v>
      </c>
      <c r="P7" s="2" t="n">
        <v>-0.3121</v>
      </c>
      <c r="Q7" s="2" t="n">
        <v>-0.0982</v>
      </c>
      <c r="R7" s="2" t="n">
        <v>-0.3397</v>
      </c>
      <c r="S7" s="2" t="n">
        <v>-0.3582</v>
      </c>
      <c r="T7" s="2" t="n">
        <v>0.19</v>
      </c>
      <c r="U7" s="2" t="n">
        <v>0.19</v>
      </c>
      <c r="V7" s="2" t="n">
        <v>0.18</v>
      </c>
      <c r="W7" s="2" t="n">
        <v>0.02</v>
      </c>
      <c r="X7" s="2" t="n">
        <v>-0.138</v>
      </c>
      <c r="Y7" s="2" t="n">
        <v>-0.1799</v>
      </c>
      <c r="Z7" s="2" t="n">
        <v>0.35</v>
      </c>
      <c r="AA7" s="2" t="n">
        <v>-0.06356000000000001</v>
      </c>
      <c r="AB7" s="2" t="n">
        <v>-0.1349</v>
      </c>
      <c r="AC7" s="2" t="n">
        <v>0.7</v>
      </c>
      <c r="AD7" s="2" t="n">
        <v>0.5600000000000001</v>
      </c>
      <c r="AE7" s="2" t="n">
        <v>0.18</v>
      </c>
      <c r="AF7" s="2" t="n">
        <v>0.11</v>
      </c>
      <c r="AG7" s="2" t="n">
        <v>0.38</v>
      </c>
      <c r="AH7" s="2" t="n">
        <v>0.45</v>
      </c>
      <c r="AI7" s="2" t="n">
        <v>0.57</v>
      </c>
      <c r="AJ7" s="2" t="n">
        <v>0.54</v>
      </c>
      <c r="AK7" s="2" t="n">
        <v>0.63</v>
      </c>
      <c r="AL7" s="2" t="n">
        <v>0.8</v>
      </c>
      <c r="AM7" s="2" t="n">
        <v>0.86</v>
      </c>
      <c r="AN7" s="2" t="n">
        <v>0.71</v>
      </c>
      <c r="AO7" s="2" t="n">
        <v>0.22</v>
      </c>
      <c r="AP7" s="2" t="n">
        <v>0.63</v>
      </c>
      <c r="AQ7" s="2" t="n">
        <v>-0.103</v>
      </c>
      <c r="AR7" s="2" t="n">
        <v>0.37</v>
      </c>
      <c r="AS7" s="2" t="n">
        <v>0.59</v>
      </c>
      <c r="AT7" s="2" t="n">
        <v>0.44</v>
      </c>
      <c r="AU7" s="2" t="n">
        <v>0.08699999999999999</v>
      </c>
      <c r="AV7" s="2" t="n">
        <v>0.35</v>
      </c>
      <c r="AW7" s="2" t="n">
        <v>0.31</v>
      </c>
      <c r="AX7" s="2" t="n">
        <v>0.64</v>
      </c>
      <c r="AY7" s="2" t="n">
        <v>0.77</v>
      </c>
      <c r="AZ7" s="2" t="n">
        <v>0.9</v>
      </c>
      <c r="BA7" s="2" t="n">
        <v>0.6899999999999999</v>
      </c>
      <c r="BB7" s="2" t="n">
        <v>0.47</v>
      </c>
    </row>
    <row r="8">
      <c r="A8" s="2" t="inlineStr">
        <is>
          <t>Equity</t>
        </is>
      </c>
      <c r="B8" s="2" t="inlineStr">
        <is>
          <t>U.S. Micro Cap Equity</t>
        </is>
      </c>
      <c r="C8" s="2" t="inlineStr">
        <is>
          <t>Dow Jones Wilshire U.S. Micro-Cap</t>
        </is>
      </c>
      <c r="D8" s="12" t="n">
        <v>0.0689</v>
      </c>
      <c r="E8" s="12" t="n">
        <v>0.2229</v>
      </c>
      <c r="F8" s="2" t="n">
        <v>0.88</v>
      </c>
      <c r="G8" s="2" t="n">
        <v>0.82</v>
      </c>
      <c r="H8" s="2" t="n">
        <v>0.86</v>
      </c>
      <c r="I8" s="2" t="n">
        <v>0.9399999999999999</v>
      </c>
      <c r="J8" s="2" t="n">
        <v>1</v>
      </c>
      <c r="K8" s="2" t="n">
        <v>0.84</v>
      </c>
      <c r="L8" s="2" t="n">
        <v>0.67</v>
      </c>
      <c r="M8" s="2" t="n">
        <v>0.8100000000000001</v>
      </c>
      <c r="N8" s="2" t="n">
        <v>0.65</v>
      </c>
      <c r="O8" s="2" t="n">
        <v>-0.115</v>
      </c>
      <c r="P8" s="2" t="n">
        <v>-0.3466</v>
      </c>
      <c r="Q8" s="2" t="n">
        <v>-0.09018</v>
      </c>
      <c r="R8" s="2" t="n">
        <v>-0.405</v>
      </c>
      <c r="S8" s="2" t="n">
        <v>-0.3859</v>
      </c>
      <c r="T8" s="2" t="n">
        <v>0.16</v>
      </c>
      <c r="U8" s="2" t="n">
        <v>0.18</v>
      </c>
      <c r="V8" s="2" t="n">
        <v>0.13</v>
      </c>
      <c r="W8" s="2" t="n">
        <v>0.021</v>
      </c>
      <c r="X8" s="2" t="n">
        <v>-0.1729</v>
      </c>
      <c r="Y8" s="2" t="n">
        <v>-0.215</v>
      </c>
      <c r="Z8" s="2" t="n">
        <v>0.32</v>
      </c>
      <c r="AA8" s="2" t="n">
        <v>-0.06468</v>
      </c>
      <c r="AB8" s="2" t="n">
        <v>-0.1141</v>
      </c>
      <c r="AC8" s="2" t="n">
        <v>0.67</v>
      </c>
      <c r="AD8" s="2" t="n">
        <v>0.55</v>
      </c>
      <c r="AE8" s="2" t="n">
        <v>0.19</v>
      </c>
      <c r="AF8" s="2" t="n">
        <v>0.092</v>
      </c>
      <c r="AG8" s="2" t="n">
        <v>0.39</v>
      </c>
      <c r="AH8" s="2" t="n">
        <v>0.45</v>
      </c>
      <c r="AI8" s="2" t="n">
        <v>0.5</v>
      </c>
      <c r="AJ8" s="2" t="n">
        <v>0.53</v>
      </c>
      <c r="AK8" s="2" t="n">
        <v>0.72</v>
      </c>
      <c r="AL8" s="2" t="n">
        <v>0.8100000000000001</v>
      </c>
      <c r="AM8" s="2" t="n">
        <v>0.93</v>
      </c>
      <c r="AN8" s="2" t="n">
        <v>0.89</v>
      </c>
      <c r="AO8" s="2" t="n">
        <v>0.25</v>
      </c>
      <c r="AP8" s="2" t="n">
        <v>0.66</v>
      </c>
      <c r="AQ8" s="2" t="n">
        <v>-0.105</v>
      </c>
      <c r="AR8" s="2" t="n">
        <v>0.34</v>
      </c>
      <c r="AS8" s="2" t="n">
        <v>0.57</v>
      </c>
      <c r="AT8" s="2" t="n">
        <v>0.44</v>
      </c>
      <c r="AU8" s="2" t="n">
        <v>0.13</v>
      </c>
      <c r="AV8" s="2" t="n">
        <v>0.3</v>
      </c>
      <c r="AW8" s="2" t="n">
        <v>0.2</v>
      </c>
      <c r="AX8" s="2" t="n">
        <v>0.62</v>
      </c>
      <c r="AY8" s="2" t="n">
        <v>0.65</v>
      </c>
      <c r="AZ8" s="2" t="n">
        <v>0.84</v>
      </c>
      <c r="BA8" s="2" t="n">
        <v>0.76</v>
      </c>
      <c r="BB8" s="2" t="n">
        <v>0.47</v>
      </c>
    </row>
    <row r="9">
      <c r="A9" s="2" t="inlineStr">
        <is>
          <t>Equity</t>
        </is>
      </c>
      <c r="B9" s="2" t="inlineStr">
        <is>
          <t>Global Equity</t>
        </is>
      </c>
      <c r="C9" s="2" t="inlineStr">
        <is>
          <t>MSCI ACWI</t>
        </is>
      </c>
      <c r="D9" s="12" t="n">
        <v>0.0667</v>
      </c>
      <c r="E9" s="12" t="n">
        <v>0.149</v>
      </c>
      <c r="F9" s="2" t="n">
        <v>0.95</v>
      </c>
      <c r="G9" s="2" t="n">
        <v>0.9399999999999999</v>
      </c>
      <c r="H9" s="2" t="n">
        <v>0.89</v>
      </c>
      <c r="I9" s="2" t="n">
        <v>0.93</v>
      </c>
      <c r="J9" s="2" t="n">
        <v>0.84</v>
      </c>
      <c r="K9" s="2" t="n">
        <v>1</v>
      </c>
      <c r="L9" s="2" t="n">
        <v>0.99</v>
      </c>
      <c r="M9" s="2" t="n">
        <v>0.86</v>
      </c>
      <c r="N9" s="2" t="n">
        <v>0.92</v>
      </c>
      <c r="O9" s="2" t="n">
        <v>0.0098</v>
      </c>
      <c r="P9" s="2" t="n">
        <v>-0.287</v>
      </c>
      <c r="Q9" s="2" t="n">
        <v>-0.09420000000000001</v>
      </c>
      <c r="R9" s="2" t="n">
        <v>-0.3056</v>
      </c>
      <c r="S9" s="2" t="n">
        <v>-0.3216</v>
      </c>
      <c r="T9" s="2" t="n">
        <v>0.28</v>
      </c>
      <c r="U9" s="2" t="n">
        <v>0.35</v>
      </c>
      <c r="V9" s="2" t="n">
        <v>0.27</v>
      </c>
      <c r="W9" s="2" t="n">
        <v>0.16</v>
      </c>
      <c r="X9" s="2" t="n">
        <v>-0.08073</v>
      </c>
      <c r="Y9" s="2" t="n">
        <v>-0.09871000000000001</v>
      </c>
      <c r="Z9" s="2" t="n">
        <v>0.37</v>
      </c>
      <c r="AA9" s="2" t="n">
        <v>-0.009986999999999999</v>
      </c>
      <c r="AB9" s="2" t="n">
        <v>-0.0936</v>
      </c>
      <c r="AC9" s="2" t="n">
        <v>0.79</v>
      </c>
      <c r="AD9" s="2" t="n">
        <v>0.53</v>
      </c>
      <c r="AE9" s="2" t="n">
        <v>0.35</v>
      </c>
      <c r="AF9" s="2" t="n">
        <v>0.3</v>
      </c>
      <c r="AG9" s="2" t="n">
        <v>0.6</v>
      </c>
      <c r="AH9" s="2" t="n">
        <v>0.7</v>
      </c>
      <c r="AI9" s="2" t="n">
        <v>0.65</v>
      </c>
      <c r="AJ9" s="2" t="n">
        <v>0.7</v>
      </c>
      <c r="AK9" s="2" t="n">
        <v>0.6899999999999999</v>
      </c>
      <c r="AL9" s="2" t="n">
        <v>0.95</v>
      </c>
      <c r="AM9" s="2" t="n">
        <v>0.83</v>
      </c>
      <c r="AN9" s="2" t="n">
        <v>0.78</v>
      </c>
      <c r="AO9" s="2" t="n">
        <v>0.3</v>
      </c>
      <c r="AP9" s="2" t="n">
        <v>0.7</v>
      </c>
      <c r="AQ9" s="2" t="n">
        <v>-0.07463</v>
      </c>
      <c r="AR9" s="2" t="n">
        <v>0.5</v>
      </c>
      <c r="AS9" s="2" t="n">
        <v>0.86</v>
      </c>
      <c r="AT9" s="2" t="n">
        <v>0.43</v>
      </c>
      <c r="AU9" s="2" t="n">
        <v>0.12</v>
      </c>
      <c r="AV9" s="2" t="n">
        <v>0.47</v>
      </c>
      <c r="AW9" s="2" t="n">
        <v>0.32</v>
      </c>
      <c r="AX9" s="2" t="n">
        <v>0.7</v>
      </c>
      <c r="AY9" s="2" t="n">
        <v>0.77</v>
      </c>
      <c r="AZ9" s="2" t="n">
        <v>0.83</v>
      </c>
      <c r="BA9" s="2" t="n">
        <v>0.62</v>
      </c>
      <c r="BB9" s="2" t="n">
        <v>0.51</v>
      </c>
    </row>
    <row r="10">
      <c r="A10" s="2" t="inlineStr">
        <is>
          <t>Equity</t>
        </is>
      </c>
      <c r="B10" s="2" t="inlineStr">
        <is>
          <t>International Developed Equity</t>
        </is>
      </c>
      <c r="C10" s="2" t="inlineStr">
        <is>
          <t>MSCI EAFE</t>
        </is>
      </c>
      <c r="D10" s="12" t="n">
        <v>0.06569999999999999</v>
      </c>
      <c r="E10" s="12" t="n">
        <v>0.1878</v>
      </c>
      <c r="F10" s="2" t="n">
        <v>0.9</v>
      </c>
      <c r="G10" s="2" t="n">
        <v>0.9399999999999999</v>
      </c>
      <c r="H10" s="2" t="n">
        <v>0.92</v>
      </c>
      <c r="I10" s="2" t="n">
        <v>0.76</v>
      </c>
      <c r="J10" s="2" t="n">
        <v>0.67</v>
      </c>
      <c r="K10" s="2" t="n">
        <v>0.99</v>
      </c>
      <c r="L10" s="2" t="n">
        <v>1</v>
      </c>
      <c r="M10" s="2" t="n">
        <v>0.97</v>
      </c>
      <c r="N10" s="2" t="n">
        <v>0.91</v>
      </c>
      <c r="O10" s="2" t="n">
        <v>0.03</v>
      </c>
      <c r="P10" s="2" t="n">
        <v>-0.244</v>
      </c>
      <c r="Q10" s="2" t="n">
        <v>-0.06931</v>
      </c>
      <c r="R10" s="2" t="n">
        <v>-0.2538</v>
      </c>
      <c r="S10" s="2" t="n">
        <v>-0.3051</v>
      </c>
      <c r="T10" s="2" t="n">
        <v>0.32</v>
      </c>
      <c r="U10" s="2" t="n">
        <v>0.38</v>
      </c>
      <c r="V10" s="2" t="n">
        <v>0.3</v>
      </c>
      <c r="W10" s="2" t="n">
        <v>0.17</v>
      </c>
      <c r="X10" s="2" t="n">
        <v>-0.04366</v>
      </c>
      <c r="Y10" s="2" t="n">
        <v>-0.05725</v>
      </c>
      <c r="Z10" s="2" t="n">
        <v>0.37</v>
      </c>
      <c r="AA10" s="2" t="n">
        <v>0</v>
      </c>
      <c r="AB10" s="2" t="n">
        <v>-0.07480000000000001</v>
      </c>
      <c r="AC10" s="2" t="n">
        <v>0.7</v>
      </c>
      <c r="AD10" s="2" t="n">
        <v>0.54</v>
      </c>
      <c r="AE10" s="2" t="n">
        <v>0.45</v>
      </c>
      <c r="AF10" s="2" t="n">
        <v>0.32</v>
      </c>
      <c r="AG10" s="2" t="n">
        <v>0.73</v>
      </c>
      <c r="AH10" s="2" t="n">
        <v>0.61</v>
      </c>
      <c r="AI10" s="2" t="n">
        <v>0.5600000000000001</v>
      </c>
      <c r="AJ10" s="2" t="n">
        <v>0.7</v>
      </c>
      <c r="AK10" s="2" t="n">
        <v>0.7</v>
      </c>
      <c r="AL10" s="2" t="n">
        <v>0.8100000000000001</v>
      </c>
      <c r="AM10" s="2" t="n">
        <v>0.93</v>
      </c>
      <c r="AN10" s="2" t="n">
        <v>0.76</v>
      </c>
      <c r="AO10" s="2" t="n">
        <v>0.3</v>
      </c>
      <c r="AP10" s="2" t="n">
        <v>0.68</v>
      </c>
      <c r="AQ10" s="2" t="n">
        <v>-0.06168</v>
      </c>
      <c r="AR10" s="2" t="n">
        <v>0.5</v>
      </c>
      <c r="AS10" s="2" t="n">
        <v>0.84</v>
      </c>
      <c r="AT10" s="2" t="n">
        <v>0.45</v>
      </c>
      <c r="AU10" s="2" t="n">
        <v>0.12</v>
      </c>
      <c r="AV10" s="2" t="n">
        <v>0.5</v>
      </c>
      <c r="AW10" s="2" t="n">
        <v>0.36</v>
      </c>
      <c r="AX10" s="2" t="n">
        <v>0.61</v>
      </c>
      <c r="AY10" s="2" t="n">
        <v>0.8</v>
      </c>
      <c r="AZ10" s="2" t="n">
        <v>0.8100000000000001</v>
      </c>
      <c r="BA10" s="2" t="n">
        <v>0.65</v>
      </c>
      <c r="BB10" s="2" t="n">
        <v>0.5</v>
      </c>
    </row>
    <row r="11">
      <c r="A11" s="2" t="inlineStr">
        <is>
          <t>Equity</t>
        </is>
      </c>
      <c r="B11" s="2" t="inlineStr">
        <is>
          <t>International Small Cap Equity</t>
        </is>
      </c>
      <c r="C11" s="2" t="inlineStr">
        <is>
          <t>MSCI EAFE Small Cap</t>
        </is>
      </c>
      <c r="D11" s="12" t="n">
        <v>0.0602</v>
      </c>
      <c r="E11" s="12" t="n">
        <v>0.1767</v>
      </c>
      <c r="F11" s="2" t="n">
        <v>0.8100000000000001</v>
      </c>
      <c r="G11" s="2" t="n">
        <v>0.78</v>
      </c>
      <c r="H11" s="2" t="n">
        <v>0.86</v>
      </c>
      <c r="I11" s="2" t="n">
        <v>0.73</v>
      </c>
      <c r="J11" s="2" t="n">
        <v>0.8100000000000001</v>
      </c>
      <c r="K11" s="2" t="n">
        <v>0.86</v>
      </c>
      <c r="L11" s="2" t="n">
        <v>0.97</v>
      </c>
      <c r="M11" s="2" t="n">
        <v>1</v>
      </c>
      <c r="N11" s="2" t="n">
        <v>0.88</v>
      </c>
      <c r="O11" s="2" t="n">
        <v>0.029</v>
      </c>
      <c r="P11" s="2" t="n">
        <v>-0.2512</v>
      </c>
      <c r="Q11" s="2" t="n">
        <v>-0.1061</v>
      </c>
      <c r="R11" s="2" t="n">
        <v>-0.2692</v>
      </c>
      <c r="S11" s="2" t="n">
        <v>-0.276</v>
      </c>
      <c r="T11" s="2" t="n">
        <v>0.38</v>
      </c>
      <c r="U11" s="2" t="n">
        <v>0.36</v>
      </c>
      <c r="V11" s="2" t="n">
        <v>0.27</v>
      </c>
      <c r="W11" s="2" t="n">
        <v>0.17</v>
      </c>
      <c r="X11" s="2" t="n">
        <v>-0.05671</v>
      </c>
      <c r="Y11" s="2" t="n">
        <v>-0.05956</v>
      </c>
      <c r="Z11" s="2" t="n">
        <v>0.36</v>
      </c>
      <c r="AA11" s="2" t="n">
        <v>0.011</v>
      </c>
      <c r="AB11" s="2" t="n">
        <v>-0.0984</v>
      </c>
      <c r="AC11" s="2" t="n">
        <v>0.67</v>
      </c>
      <c r="AD11" s="2" t="n">
        <v>0.62</v>
      </c>
      <c r="AE11" s="2" t="n">
        <v>0.44</v>
      </c>
      <c r="AF11" s="2" t="n">
        <v>0.32</v>
      </c>
      <c r="AG11" s="2" t="n">
        <v>0.64</v>
      </c>
      <c r="AH11" s="2" t="n">
        <v>0.61</v>
      </c>
      <c r="AI11" s="2" t="n">
        <v>0.64</v>
      </c>
      <c r="AJ11" s="2" t="n">
        <v>0.71</v>
      </c>
      <c r="AK11" s="2" t="n">
        <v>0.71</v>
      </c>
      <c r="AL11" s="2" t="n">
        <v>0.8100000000000001</v>
      </c>
      <c r="AM11" s="2" t="n">
        <v>0.9399999999999999</v>
      </c>
      <c r="AN11" s="2" t="n">
        <v>0.84</v>
      </c>
      <c r="AO11" s="2" t="n">
        <v>0.3</v>
      </c>
      <c r="AP11" s="2" t="n">
        <v>0.77</v>
      </c>
      <c r="AQ11" s="2" t="n">
        <v>-0.06390999999999999</v>
      </c>
      <c r="AR11" s="2" t="n">
        <v>0.5</v>
      </c>
      <c r="AS11" s="2" t="n">
        <v>0.83</v>
      </c>
      <c r="AT11" s="2" t="n">
        <v>0.44</v>
      </c>
      <c r="AU11" s="2" t="n">
        <v>0.13</v>
      </c>
      <c r="AV11" s="2" t="n">
        <v>0.44</v>
      </c>
      <c r="AW11" s="2" t="n">
        <v>0.26</v>
      </c>
      <c r="AX11" s="2" t="n">
        <v>0.58</v>
      </c>
      <c r="AY11" s="2" t="n">
        <v>0.71</v>
      </c>
      <c r="AZ11" s="2" t="n">
        <v>0.83</v>
      </c>
      <c r="BA11" s="2" t="n">
        <v>0.55</v>
      </c>
      <c r="BB11" s="2" t="n">
        <v>0.5</v>
      </c>
    </row>
    <row r="12">
      <c r="A12" s="2" t="inlineStr">
        <is>
          <t>Equity</t>
        </is>
      </c>
      <c r="B12" s="2" t="inlineStr">
        <is>
          <t>Emerging Equity</t>
        </is>
      </c>
      <c r="C12" s="2" t="inlineStr">
        <is>
          <t>MSCI Emerging</t>
        </is>
      </c>
      <c r="D12" s="12" t="n">
        <v>0.0851</v>
      </c>
      <c r="E12" s="12" t="n">
        <v>0.222</v>
      </c>
      <c r="F12" s="2" t="n">
        <v>0.85</v>
      </c>
      <c r="G12" s="2" t="n">
        <v>0.77</v>
      </c>
      <c r="H12" s="2" t="n">
        <v>0.71</v>
      </c>
      <c r="I12" s="2" t="n">
        <v>0.71</v>
      </c>
      <c r="J12" s="2" t="n">
        <v>0.65</v>
      </c>
      <c r="K12" s="2" t="n">
        <v>0.92</v>
      </c>
      <c r="L12" s="2" t="n">
        <v>0.91</v>
      </c>
      <c r="M12" s="2" t="n">
        <v>0.88</v>
      </c>
      <c r="N12" s="2" t="n">
        <v>1</v>
      </c>
      <c r="O12" s="2" t="n">
        <v>0.067</v>
      </c>
      <c r="P12" s="2" t="n">
        <v>-0.2165</v>
      </c>
      <c r="Q12" s="2" t="n">
        <v>-0.03659</v>
      </c>
      <c r="R12" s="2" t="n">
        <v>-0.212</v>
      </c>
      <c r="S12" s="2" t="n">
        <v>-0.2323</v>
      </c>
      <c r="T12" s="2" t="n">
        <v>0.35</v>
      </c>
      <c r="U12" s="2" t="n">
        <v>0.41</v>
      </c>
      <c r="V12" s="2" t="n">
        <v>0.33</v>
      </c>
      <c r="W12" s="2" t="n">
        <v>0.26</v>
      </c>
      <c r="X12" s="2" t="n">
        <v>-0.009693</v>
      </c>
      <c r="Y12" s="2" t="n">
        <v>-0.03248</v>
      </c>
      <c r="Z12" s="2" t="n">
        <v>0.38</v>
      </c>
      <c r="AA12" s="2" t="n">
        <v>0.019</v>
      </c>
      <c r="AB12" s="2" t="n">
        <v>-0.03117</v>
      </c>
      <c r="AC12" s="2" t="n">
        <v>0.78</v>
      </c>
      <c r="AD12" s="2" t="n">
        <v>0.58</v>
      </c>
      <c r="AE12" s="2" t="n">
        <v>0.45</v>
      </c>
      <c r="AF12" s="2" t="n">
        <v>0.35</v>
      </c>
      <c r="AG12" s="2" t="n">
        <v>0.53</v>
      </c>
      <c r="AH12" s="2" t="n">
        <v>0.63</v>
      </c>
      <c r="AI12" s="2" t="n">
        <v>0.7</v>
      </c>
      <c r="AJ12" s="2" t="n">
        <v>0.77</v>
      </c>
      <c r="AK12" s="2" t="n">
        <v>0.68</v>
      </c>
      <c r="AL12" s="2" t="n">
        <v>0.8</v>
      </c>
      <c r="AM12" s="2" t="n">
        <v>0.82</v>
      </c>
      <c r="AN12" s="2" t="n">
        <v>0.74</v>
      </c>
      <c r="AO12" s="2" t="n">
        <v>0.32</v>
      </c>
      <c r="AP12" s="2" t="n">
        <v>0.76</v>
      </c>
      <c r="AQ12" s="2" t="n">
        <v>-0.04135</v>
      </c>
      <c r="AR12" s="2" t="n">
        <v>0.5</v>
      </c>
      <c r="AS12" s="2" t="n">
        <v>0.8</v>
      </c>
      <c r="AT12" s="2" t="n">
        <v>0.34</v>
      </c>
      <c r="AU12" s="2" t="n">
        <v>0.065</v>
      </c>
      <c r="AV12" s="2" t="n">
        <v>0.28</v>
      </c>
      <c r="AW12" s="2" t="n">
        <v>0.12</v>
      </c>
      <c r="AX12" s="2" t="n">
        <v>0.57</v>
      </c>
      <c r="AY12" s="2" t="n">
        <v>0.7</v>
      </c>
      <c r="AZ12" s="2" t="n">
        <v>0.75</v>
      </c>
      <c r="BA12" s="2" t="n">
        <v>0.59</v>
      </c>
      <c r="BB12" s="2" t="n">
        <v>0.5</v>
      </c>
    </row>
    <row r="13">
      <c r="A13" s="2" t="inlineStr">
        <is>
          <t>Fixed Income</t>
        </is>
      </c>
      <c r="B13" s="2" t="inlineStr">
        <is>
          <t>U.S. Aggregate</t>
        </is>
      </c>
      <c r="C13" s="2" t="inlineStr">
        <is>
          <t>Bloomberg Barclays U.S. Aggregate</t>
        </is>
      </c>
      <c r="D13" s="12" t="n">
        <v>0.027</v>
      </c>
      <c r="E13" s="12" t="n">
        <v>0.0298</v>
      </c>
      <c r="F13" s="2" t="n">
        <v>-0.04839</v>
      </c>
      <c r="G13" s="2" t="n">
        <v>-0.04154</v>
      </c>
      <c r="H13" s="2" t="n">
        <v>-0.01844</v>
      </c>
      <c r="I13" s="2" t="n">
        <v>-0.08298</v>
      </c>
      <c r="J13" s="2" t="n">
        <v>-0.115</v>
      </c>
      <c r="K13" s="2" t="n">
        <v>0.0098</v>
      </c>
      <c r="L13" s="2" t="n">
        <v>0.03</v>
      </c>
      <c r="M13" s="2" t="n">
        <v>0.029</v>
      </c>
      <c r="N13" s="2" t="n">
        <v>0.067</v>
      </c>
      <c r="O13" s="2" t="n">
        <v>1</v>
      </c>
      <c r="P13" s="2" t="n">
        <v>0.9</v>
      </c>
      <c r="Q13" s="2" t="n">
        <v>0.16</v>
      </c>
      <c r="R13" s="2" t="n">
        <v>0.89</v>
      </c>
      <c r="S13" s="2" t="n">
        <v>0.83</v>
      </c>
      <c r="T13" s="2" t="n">
        <v>0.9</v>
      </c>
      <c r="U13" s="2" t="n">
        <v>0.92</v>
      </c>
      <c r="V13" s="2" t="n">
        <v>0.88</v>
      </c>
      <c r="W13" s="2" t="n">
        <v>0.8</v>
      </c>
      <c r="X13" s="2" t="n">
        <v>1</v>
      </c>
      <c r="Y13" s="2" t="n">
        <v>0.97</v>
      </c>
      <c r="Z13" s="2" t="n">
        <v>0.43</v>
      </c>
      <c r="AA13" s="2" t="n">
        <v>0.7</v>
      </c>
      <c r="AB13" s="2" t="n">
        <v>0.6</v>
      </c>
      <c r="AC13" s="2" t="n">
        <v>0.2</v>
      </c>
      <c r="AD13" s="2" t="n">
        <v>-0.01902</v>
      </c>
      <c r="AE13" s="2" t="inlineStr">
        <is>
          <t>0. 51</t>
        </is>
      </c>
      <c r="AF13" s="2" t="n">
        <v>0.51</v>
      </c>
      <c r="AG13" s="2" t="n">
        <v>0.35</v>
      </c>
      <c r="AH13" s="2" t="n">
        <v>0.43</v>
      </c>
      <c r="AI13" s="2" t="n">
        <v>0.36</v>
      </c>
      <c r="AJ13" s="2" t="n">
        <v>0.36</v>
      </c>
      <c r="AK13" s="2" t="n">
        <v>0.066</v>
      </c>
      <c r="AL13" s="2" t="n">
        <v>0</v>
      </c>
      <c r="AM13" s="2" t="n">
        <v>-0.05475</v>
      </c>
      <c r="AN13" s="2" t="n">
        <v>-0.06156</v>
      </c>
      <c r="AO13" s="2" t="n">
        <v>0.25</v>
      </c>
      <c r="AP13" s="2" t="n">
        <v>0.08400000000000001</v>
      </c>
      <c r="AQ13" s="2" t="n">
        <v>0.29</v>
      </c>
      <c r="AR13" s="2" t="n">
        <v>0.056</v>
      </c>
      <c r="AS13" s="2" t="n">
        <v>-0.01083</v>
      </c>
      <c r="AT13" s="2" t="n">
        <v>-0.03922</v>
      </c>
      <c r="AU13" s="2" t="n">
        <v>-0.08366999999999999</v>
      </c>
      <c r="AV13" s="2" t="n">
        <v>0.13</v>
      </c>
      <c r="AW13" s="2" t="n">
        <v>-0.3712</v>
      </c>
      <c r="AX13" s="2" t="n">
        <v>0.25</v>
      </c>
      <c r="AY13" s="2" t="n">
        <v>0.23</v>
      </c>
      <c r="AZ13" s="2" t="n">
        <v>-0.06594</v>
      </c>
      <c r="BA13" s="2" t="n">
        <v>-0.09034</v>
      </c>
      <c r="BB13" s="2" t="n">
        <v>0.011</v>
      </c>
    </row>
    <row r="14">
      <c r="A14" s="2" t="inlineStr">
        <is>
          <t>Fixed Income</t>
        </is>
      </c>
      <c r="B14" s="2" t="inlineStr">
        <is>
          <t>U.S. Treasury</t>
        </is>
      </c>
      <c r="C14" s="2" t="inlineStr">
        <is>
          <t>Bloomberg Barclays U.S. Treasury</t>
        </is>
      </c>
      <c r="D14" s="12" t="n">
        <v>0.0229</v>
      </c>
      <c r="E14" s="12" t="n">
        <v>0.0461</v>
      </c>
      <c r="F14" s="2" t="n">
        <v>-0.3259</v>
      </c>
      <c r="G14" s="2" t="n">
        <v>-0.312</v>
      </c>
      <c r="H14" s="2" t="n">
        <v>-0.3171</v>
      </c>
      <c r="I14" s="2" t="n">
        <v>-0.3121</v>
      </c>
      <c r="J14" s="2" t="n">
        <v>-0.3466</v>
      </c>
      <c r="K14" s="2" t="n">
        <v>-0.287</v>
      </c>
      <c r="L14" s="2" t="n">
        <v>-0.244</v>
      </c>
      <c r="M14" s="2" t="n">
        <v>-0.2512</v>
      </c>
      <c r="N14" s="2" t="n">
        <v>-0.2165</v>
      </c>
      <c r="O14" s="2" t="n">
        <v>0.9</v>
      </c>
      <c r="P14" s="2" t="n">
        <v>1</v>
      </c>
      <c r="Q14" s="2" t="n">
        <v>0.21</v>
      </c>
      <c r="R14" s="2" t="n">
        <v>0.87</v>
      </c>
      <c r="S14" s="2" t="n">
        <v>0.93</v>
      </c>
      <c r="T14" s="2" t="n">
        <v>0.6</v>
      </c>
      <c r="U14" s="2" t="n">
        <v>0.6</v>
      </c>
      <c r="V14" s="2" t="n">
        <v>0.64</v>
      </c>
      <c r="W14" s="2" t="n">
        <v>0.64</v>
      </c>
      <c r="X14" s="2" t="n">
        <v>0.91</v>
      </c>
      <c r="Y14" s="2" t="n">
        <v>0.82</v>
      </c>
      <c r="Z14" s="2" t="n">
        <v>0.18</v>
      </c>
      <c r="AA14" s="2" t="n">
        <v>0.52</v>
      </c>
      <c r="AB14" s="2" t="n">
        <v>0.49</v>
      </c>
      <c r="AC14" s="2" t="n">
        <v>-0.212</v>
      </c>
      <c r="AD14" s="2" t="n">
        <v>-0.3587</v>
      </c>
      <c r="AE14" s="2" t="n">
        <v>0.37</v>
      </c>
      <c r="AF14" s="2" t="n">
        <v>0.42</v>
      </c>
      <c r="AG14" s="2" t="n">
        <v>0.13</v>
      </c>
      <c r="AH14" s="2" t="n">
        <v>0.18</v>
      </c>
      <c r="AI14" s="2" t="n">
        <v>0.049</v>
      </c>
      <c r="AJ14" s="2" t="n">
        <v>0.083</v>
      </c>
      <c r="AK14" s="2" t="n">
        <v>-0.2273</v>
      </c>
      <c r="AL14" s="2" t="n">
        <v>-0.2913</v>
      </c>
      <c r="AM14" s="2" t="n">
        <v>-0.3334</v>
      </c>
      <c r="AN14" s="2" t="n">
        <v>-0.3704</v>
      </c>
      <c r="AO14" s="2" t="n">
        <v>0.19</v>
      </c>
      <c r="AP14" s="2" t="n">
        <v>-0.281</v>
      </c>
      <c r="AQ14" s="2" t="n">
        <v>0.36</v>
      </c>
      <c r="AR14" s="2" t="n">
        <v>-0.1276</v>
      </c>
      <c r="AS14" s="2" t="n">
        <v>-0.2687</v>
      </c>
      <c r="AT14" s="2" t="n">
        <v>-0.1747</v>
      </c>
      <c r="AU14" s="2" t="n">
        <v>-0.0958</v>
      </c>
      <c r="AV14" s="2" t="n">
        <v>0.13</v>
      </c>
      <c r="AW14" s="2" t="n">
        <v>-0.1992</v>
      </c>
      <c r="AX14" s="2" t="n">
        <v>-0.0211</v>
      </c>
      <c r="AY14" s="2" t="n">
        <v>-0.06510000000000001</v>
      </c>
      <c r="AZ14" s="2" t="n">
        <v>-0.3026</v>
      </c>
      <c r="BA14" s="2" t="n">
        <v>-0.2711</v>
      </c>
      <c r="BB14" s="2" t="n">
        <v>-0.2439</v>
      </c>
    </row>
    <row r="15">
      <c r="A15" s="2" t="inlineStr">
        <is>
          <t>Fixed Income</t>
        </is>
      </c>
      <c r="B15" s="2" t="inlineStr">
        <is>
          <t>U.S. Treasury Bills</t>
        </is>
      </c>
      <c r="C15" s="2" t="inlineStr">
        <is>
          <t>Bloomberg Barclays U.S. Treasury Bills 3-6 Month</t>
        </is>
      </c>
      <c r="D15" s="12" t="n">
        <v>0.0191</v>
      </c>
      <c r="E15" s="12" t="n">
        <v>0.0064</v>
      </c>
      <c r="F15" s="2" t="n">
        <v>-0.1002</v>
      </c>
      <c r="G15" s="2" t="n">
        <v>-0.1114</v>
      </c>
      <c r="H15" s="2" t="n">
        <v>-0.1059</v>
      </c>
      <c r="I15" s="2" t="n">
        <v>-0.0982</v>
      </c>
      <c r="J15" s="2" t="n">
        <v>-0.09018</v>
      </c>
      <c r="K15" s="2" t="n">
        <v>-0.09420000000000001</v>
      </c>
      <c r="L15" s="2" t="n">
        <v>-0.06931</v>
      </c>
      <c r="M15" s="2" t="n">
        <v>-0.1061</v>
      </c>
      <c r="N15" s="2" t="n">
        <v>-0.03659</v>
      </c>
      <c r="O15" s="2" t="n">
        <v>0.16</v>
      </c>
      <c r="P15" s="2" t="n">
        <v>0.21</v>
      </c>
      <c r="Q15" s="2" t="n">
        <v>1</v>
      </c>
      <c r="R15" s="2" t="n">
        <v>0.3</v>
      </c>
      <c r="S15" s="2" t="n">
        <v>0.048</v>
      </c>
      <c r="T15" s="2" t="n">
        <v>0</v>
      </c>
      <c r="U15" s="2" t="n">
        <v>0.05</v>
      </c>
      <c r="V15" s="2" t="n">
        <v>-0.04932</v>
      </c>
      <c r="W15" s="2" t="n">
        <v>0.093</v>
      </c>
      <c r="X15" s="2" t="n">
        <v>0.27</v>
      </c>
      <c r="Y15" s="2" t="n">
        <v>0.28</v>
      </c>
      <c r="Z15" s="2" t="n">
        <v>-0.04588</v>
      </c>
      <c r="AA15" s="2" t="n">
        <v>0.043</v>
      </c>
      <c r="AB15" s="2" t="n">
        <v>0.3</v>
      </c>
      <c r="AC15" s="2" t="n">
        <v>-0.1432</v>
      </c>
      <c r="AD15" s="2" t="n">
        <v>-0.1503</v>
      </c>
      <c r="AE15" s="2" t="n">
        <v>0.075</v>
      </c>
      <c r="AF15" s="2" t="n">
        <v>0.08400000000000001</v>
      </c>
      <c r="AG15" s="2" t="n">
        <v>0.019</v>
      </c>
      <c r="AH15" s="2" t="n">
        <v>-0.01901</v>
      </c>
      <c r="AI15" s="2" t="n">
        <v>-0.0549</v>
      </c>
      <c r="AJ15" s="2" t="n">
        <v>0.063</v>
      </c>
      <c r="AK15" s="2" t="n">
        <v>0.13</v>
      </c>
      <c r="AL15" s="2" t="n">
        <v>0.033</v>
      </c>
      <c r="AM15" s="2" t="n">
        <v>0.031</v>
      </c>
      <c r="AN15" s="2" t="n">
        <v>0.019</v>
      </c>
      <c r="AO15" s="2" t="n">
        <v>0.2</v>
      </c>
      <c r="AP15" s="2" t="n">
        <v>0.009299999999999999</v>
      </c>
      <c r="AQ15" s="2" t="n">
        <v>0.062</v>
      </c>
      <c r="AR15" s="2" t="n">
        <v>0.079</v>
      </c>
      <c r="AS15" s="2" t="n">
        <v>0</v>
      </c>
      <c r="AT15" s="2" t="n">
        <v>-0.01945</v>
      </c>
      <c r="AU15" s="2" t="n">
        <v>-0.02751</v>
      </c>
      <c r="AV15" s="2" t="n">
        <v>0.3</v>
      </c>
      <c r="AW15" s="2" t="n">
        <v>-0.31</v>
      </c>
      <c r="AX15" s="2" t="n">
        <v>-0.05741</v>
      </c>
      <c r="AY15" s="2" t="n">
        <v>-0.06362</v>
      </c>
      <c r="AZ15" s="2" t="n">
        <v>-0.06444</v>
      </c>
      <c r="BA15" s="2" t="n">
        <v>-0.1315</v>
      </c>
      <c r="BB15" s="2" t="n">
        <v>0.021</v>
      </c>
    </row>
    <row r="16">
      <c r="A16" s="2" t="inlineStr">
        <is>
          <t>Fixed Income</t>
        </is>
      </c>
      <c r="B16" s="2" t="inlineStr">
        <is>
          <t>U.S. Intermediate Treasury</t>
        </is>
      </c>
      <c r="C16" s="2" t="inlineStr">
        <is>
          <t>Bloomberg Barclays U.S. Intermediate Treasury</t>
        </is>
      </c>
      <c r="D16" s="12" t="n">
        <v>0.0216</v>
      </c>
      <c r="E16" s="12" t="n">
        <v>0.031</v>
      </c>
      <c r="F16" s="2" t="n">
        <v>-0.329</v>
      </c>
      <c r="G16" s="2" t="n">
        <v>-0.3053</v>
      </c>
      <c r="H16" s="2" t="n">
        <v>-0.3</v>
      </c>
      <c r="I16" s="2" t="n">
        <v>-0.3397</v>
      </c>
      <c r="J16" s="2" t="n">
        <v>-0.405</v>
      </c>
      <c r="K16" s="2" t="n">
        <v>-0.3056</v>
      </c>
      <c r="L16" s="2" t="n">
        <v>-0.2538</v>
      </c>
      <c r="M16" s="2" t="n">
        <v>-0.2692</v>
      </c>
      <c r="N16" s="2" t="n">
        <v>-0.212</v>
      </c>
      <c r="O16" s="2" t="n">
        <v>0.89</v>
      </c>
      <c r="P16" s="2" t="n">
        <v>0.87</v>
      </c>
      <c r="Q16" s="2" t="n">
        <v>0.3</v>
      </c>
      <c r="R16" s="2" t="n">
        <v>1</v>
      </c>
      <c r="S16" s="2" t="n">
        <v>0.8</v>
      </c>
      <c r="T16" s="2" t="n">
        <v>0.53</v>
      </c>
      <c r="U16" s="2" t="n">
        <v>0.57</v>
      </c>
      <c r="V16" s="2" t="n">
        <v>0.5</v>
      </c>
      <c r="W16" s="2" t="n">
        <v>0.64</v>
      </c>
      <c r="X16" s="2" t="n">
        <v>0.97</v>
      </c>
      <c r="Y16" s="2" t="n">
        <v>0.84</v>
      </c>
      <c r="Z16" s="2" t="n">
        <v>0.12</v>
      </c>
      <c r="AA16" s="2" t="n">
        <v>0.54</v>
      </c>
      <c r="AB16" s="2" t="n">
        <v>0.53</v>
      </c>
      <c r="AC16" s="2" t="n">
        <v>-0.2132</v>
      </c>
      <c r="AD16" s="2" t="n">
        <v>-0.418</v>
      </c>
      <c r="AE16" s="2" t="n">
        <v>0.44</v>
      </c>
      <c r="AF16" s="2" t="n">
        <v>0.46</v>
      </c>
      <c r="AG16" s="2" t="n">
        <v>0.17</v>
      </c>
      <c r="AH16" s="2" t="n">
        <v>0.16</v>
      </c>
      <c r="AI16" s="2" t="n">
        <v>0.041</v>
      </c>
      <c r="AJ16" s="2" t="n">
        <v>0.11</v>
      </c>
      <c r="AK16" s="2" t="n">
        <v>-0.2087</v>
      </c>
      <c r="AL16" s="2" t="n">
        <v>-0.2773</v>
      </c>
      <c r="AM16" s="2" t="n">
        <v>-0.3247</v>
      </c>
      <c r="AN16" s="2" t="n">
        <v>-0.3322</v>
      </c>
      <c r="AO16" s="2" t="n">
        <v>0.19</v>
      </c>
      <c r="AP16" s="2" t="n">
        <v>-0.2576</v>
      </c>
      <c r="AQ16" s="2" t="n">
        <v>0.3</v>
      </c>
      <c r="AR16" s="2" t="n">
        <v>-0.07403999999999999</v>
      </c>
      <c r="AS16" s="2" t="n">
        <v>-0.2278</v>
      </c>
      <c r="AT16" s="2" t="n">
        <v>-0.1789</v>
      </c>
      <c r="AU16" s="2" t="n">
        <v>-0.1459</v>
      </c>
      <c r="AV16" s="2" t="n">
        <v>0.17</v>
      </c>
      <c r="AW16" s="2" t="n">
        <v>-0.1887</v>
      </c>
      <c r="AX16" s="2" t="n">
        <v>-0.03858</v>
      </c>
      <c r="AY16" s="2" t="n">
        <v>-0.07663</v>
      </c>
      <c r="AZ16" s="2" t="n">
        <v>-0.2948</v>
      </c>
      <c r="BA16" s="2" t="n">
        <v>-0.2796</v>
      </c>
      <c r="BB16" s="2" t="n">
        <v>-0.2119</v>
      </c>
    </row>
    <row r="17">
      <c r="A17" s="2" t="inlineStr">
        <is>
          <t>Fixed Income</t>
        </is>
      </c>
      <c r="B17" s="2" t="inlineStr">
        <is>
          <t>U.S. Long Treasury</t>
        </is>
      </c>
      <c r="C17" s="2" t="inlineStr">
        <is>
          <t>Bloomberg Barclays U.S. Long Treasury</t>
        </is>
      </c>
      <c r="D17" s="12" t="n">
        <v>0.0197</v>
      </c>
      <c r="E17" s="12" t="n">
        <v>0.1264</v>
      </c>
      <c r="F17" s="2" t="n">
        <v>-0.2988</v>
      </c>
      <c r="G17" s="2" t="n">
        <v>-0.3162</v>
      </c>
      <c r="H17" s="2" t="n">
        <v>-0.306</v>
      </c>
      <c r="I17" s="2" t="n">
        <v>-0.3582</v>
      </c>
      <c r="J17" s="2" t="n">
        <v>-0.3859</v>
      </c>
      <c r="K17" s="2" t="n">
        <v>-0.3216</v>
      </c>
      <c r="L17" s="2" t="n">
        <v>-0.3051</v>
      </c>
      <c r="M17" s="2" t="n">
        <v>-0.276</v>
      </c>
      <c r="N17" s="2" t="n">
        <v>-0.2323</v>
      </c>
      <c r="O17" s="2" t="n">
        <v>0.83</v>
      </c>
      <c r="P17" s="2" t="n">
        <v>0.93</v>
      </c>
      <c r="Q17" s="2" t="n">
        <v>0.048</v>
      </c>
      <c r="R17" s="2" t="n">
        <v>0.8</v>
      </c>
      <c r="S17" s="2" t="n">
        <v>1</v>
      </c>
      <c r="T17" s="2" t="n">
        <v>0.5600000000000001</v>
      </c>
      <c r="U17" s="2" t="n">
        <v>0.47</v>
      </c>
      <c r="V17" s="2" t="n">
        <v>0.67</v>
      </c>
      <c r="W17" s="2" t="n">
        <v>0.6</v>
      </c>
      <c r="X17" s="2" t="n">
        <v>0.6899999999999999</v>
      </c>
      <c r="Y17" s="2" t="n">
        <v>0.7</v>
      </c>
      <c r="Z17" s="2" t="n">
        <v>0.16</v>
      </c>
      <c r="AA17" s="2" t="n">
        <v>0.53</v>
      </c>
      <c r="AB17" s="2" t="n">
        <v>0.35</v>
      </c>
      <c r="AC17" s="2" t="n">
        <v>-0.1966</v>
      </c>
      <c r="AD17" s="2" t="n">
        <v>-0.3146</v>
      </c>
      <c r="AE17" s="2" t="n">
        <v>0.22</v>
      </c>
      <c r="AF17" s="2" t="n">
        <v>0.31</v>
      </c>
      <c r="AG17" s="2" t="n">
        <v>0</v>
      </c>
      <c r="AH17" s="2" t="n">
        <v>0.19</v>
      </c>
      <c r="AI17" s="2" t="n">
        <v>0.042</v>
      </c>
      <c r="AJ17" s="2" t="n">
        <v>0.032</v>
      </c>
      <c r="AK17" s="2" t="n">
        <v>-0.2318</v>
      </c>
      <c r="AL17" s="2" t="n">
        <v>-0.3151</v>
      </c>
      <c r="AM17" s="2" t="n">
        <v>-0.371</v>
      </c>
      <c r="AN17" s="2" t="n">
        <v>-0.404</v>
      </c>
      <c r="AO17" s="2" t="n">
        <v>0.15</v>
      </c>
      <c r="AP17" s="2" t="n">
        <v>-0.269</v>
      </c>
      <c r="AQ17" s="2" t="n">
        <v>0.36</v>
      </c>
      <c r="AR17" s="2" t="n">
        <v>-0.2088</v>
      </c>
      <c r="AS17" s="2" t="n">
        <v>-0.308</v>
      </c>
      <c r="AT17" s="2" t="n">
        <v>-0.2281</v>
      </c>
      <c r="AU17" s="2" t="n">
        <v>-0.06963999999999999</v>
      </c>
      <c r="AV17" s="2" t="n">
        <v>-0.009967</v>
      </c>
      <c r="AW17" s="2" t="n">
        <v>-0.2084</v>
      </c>
      <c r="AX17" s="2" t="n">
        <v>0.02</v>
      </c>
      <c r="AY17" s="2" t="n">
        <v>-0.03612</v>
      </c>
      <c r="AZ17" s="2" t="n">
        <v>-0.3105</v>
      </c>
      <c r="BA17" s="2" t="n">
        <v>-0.2418</v>
      </c>
      <c r="BB17" s="2" t="n">
        <v>-0.266</v>
      </c>
    </row>
    <row r="18">
      <c r="A18" s="2" t="inlineStr">
        <is>
          <t>Fixed Income</t>
        </is>
      </c>
      <c r="B18" s="2" t="inlineStr">
        <is>
          <t>U.S. Investment Grade Credit</t>
        </is>
      </c>
      <c r="C18" s="2" t="inlineStr">
        <is>
          <t>Bloomberg Barclays U.S. Credit</t>
        </is>
      </c>
      <c r="D18" s="12" t="n">
        <v>0.035</v>
      </c>
      <c r="E18" s="12" t="n">
        <v>0.0525</v>
      </c>
      <c r="F18" s="2" t="n">
        <v>0.24</v>
      </c>
      <c r="G18" s="2" t="n">
        <v>0.25</v>
      </c>
      <c r="H18" s="2" t="n">
        <v>0.26</v>
      </c>
      <c r="I18" s="2" t="n">
        <v>0.19</v>
      </c>
      <c r="J18" s="2" t="n">
        <v>0.16</v>
      </c>
      <c r="K18" s="2" t="n">
        <v>0.28</v>
      </c>
      <c r="L18" s="2" t="n">
        <v>0.32</v>
      </c>
      <c r="M18" s="2" t="n">
        <v>0.38</v>
      </c>
      <c r="N18" s="2" t="n">
        <v>0.35</v>
      </c>
      <c r="O18" s="2" t="n">
        <v>0.9</v>
      </c>
      <c r="P18" s="2" t="n">
        <v>0.6</v>
      </c>
      <c r="Q18" s="2" t="n">
        <v>0</v>
      </c>
      <c r="R18" s="2" t="n">
        <v>0.53</v>
      </c>
      <c r="S18" s="2" t="n">
        <v>0.5600000000000001</v>
      </c>
      <c r="T18" s="2" t="n">
        <v>1</v>
      </c>
      <c r="U18" s="2" t="n">
        <v>0.9</v>
      </c>
      <c r="V18" s="2" t="n">
        <v>0.97</v>
      </c>
      <c r="W18" s="2" t="n">
        <v>0.7</v>
      </c>
      <c r="X18" s="2" t="n">
        <v>0.6899999999999999</v>
      </c>
      <c r="Y18" s="2" t="n">
        <v>0.6899999999999999</v>
      </c>
      <c r="Z18" s="2" t="n">
        <v>0.53</v>
      </c>
      <c r="AA18" s="2" t="n">
        <v>0.63</v>
      </c>
      <c r="AB18" s="2" t="n">
        <v>0.49</v>
      </c>
      <c r="AC18" s="2" t="n">
        <v>0.53</v>
      </c>
      <c r="AD18" s="2" t="n">
        <v>0.32</v>
      </c>
      <c r="AE18" s="2" t="n">
        <v>0.55</v>
      </c>
      <c r="AF18" s="2" t="n">
        <v>0.53</v>
      </c>
      <c r="AG18" s="2" t="n">
        <v>0.53</v>
      </c>
      <c r="AH18" s="2" t="n">
        <v>0.67</v>
      </c>
      <c r="AI18" s="2" t="n">
        <v>0.58</v>
      </c>
      <c r="AJ18" s="2" t="n">
        <v>0.5600000000000001</v>
      </c>
      <c r="AK18" s="2" t="n">
        <v>0.35</v>
      </c>
      <c r="AL18" s="2" t="n">
        <v>0.3</v>
      </c>
      <c r="AM18" s="2" t="n">
        <v>0.26</v>
      </c>
      <c r="AN18" s="2" t="n">
        <v>0.25</v>
      </c>
      <c r="AO18" s="2" t="n">
        <v>0.31</v>
      </c>
      <c r="AP18" s="2" t="n">
        <v>0.41</v>
      </c>
      <c r="AQ18" s="2" t="n">
        <v>0.17</v>
      </c>
      <c r="AR18" s="2" t="n">
        <v>0.21</v>
      </c>
      <c r="AS18" s="2" t="n">
        <v>0.27</v>
      </c>
      <c r="AT18" s="2" t="n">
        <v>0.049</v>
      </c>
      <c r="AU18" s="2" t="n">
        <v>0</v>
      </c>
      <c r="AV18" s="2" t="n">
        <v>0.09</v>
      </c>
      <c r="AW18" s="2" t="n">
        <v>-0.436</v>
      </c>
      <c r="AX18" s="2" t="n">
        <v>0.43</v>
      </c>
      <c r="AY18" s="2" t="n">
        <v>0.5</v>
      </c>
      <c r="AZ18" s="2" t="n">
        <v>0.2</v>
      </c>
      <c r="BA18" s="2" t="n">
        <v>0.12</v>
      </c>
      <c r="BB18" s="2" t="n">
        <v>0.25</v>
      </c>
    </row>
    <row r="19">
      <c r="A19" s="2" t="inlineStr">
        <is>
          <t>Fixed Income</t>
        </is>
      </c>
      <c r="B19" s="2" t="inlineStr">
        <is>
          <t>U.S. Intermediate Investment Grade Credit</t>
        </is>
      </c>
      <c r="C19" s="2" t="inlineStr">
        <is>
          <t>Bloomberg Barclays U.S. Intermediate Credit</t>
        </is>
      </c>
      <c r="D19" s="12" t="n">
        <v>0.0286</v>
      </c>
      <c r="E19" s="12" t="n">
        <v>0.0404</v>
      </c>
      <c r="F19" s="2" t="n">
        <v>0.24</v>
      </c>
      <c r="G19" s="2" t="n">
        <v>0.27</v>
      </c>
      <c r="H19" s="2" t="n">
        <v>0.29</v>
      </c>
      <c r="I19" s="2" t="n">
        <v>0.19</v>
      </c>
      <c r="J19" s="2" t="n">
        <v>0.18</v>
      </c>
      <c r="K19" s="2" t="n">
        <v>0.35</v>
      </c>
      <c r="L19" s="2" t="n">
        <v>0.38</v>
      </c>
      <c r="M19" s="2" t="n">
        <v>0.36</v>
      </c>
      <c r="N19" s="2" t="n">
        <v>0.41</v>
      </c>
      <c r="O19" s="2" t="n">
        <v>0.92</v>
      </c>
      <c r="P19" s="2" t="n">
        <v>0.6</v>
      </c>
      <c r="Q19" s="2" t="n">
        <v>0.05</v>
      </c>
      <c r="R19" s="2" t="n">
        <v>0.57</v>
      </c>
      <c r="S19" s="2" t="n">
        <v>0.47</v>
      </c>
      <c r="T19" s="2" t="n">
        <v>0.9</v>
      </c>
      <c r="U19" s="2" t="n">
        <v>1</v>
      </c>
      <c r="V19" s="2" t="n">
        <v>0.78</v>
      </c>
      <c r="W19" s="2" t="n">
        <v>0.8</v>
      </c>
      <c r="X19" s="2" t="n">
        <v>0.79</v>
      </c>
      <c r="Y19" s="2" t="n">
        <v>0.68</v>
      </c>
      <c r="Z19" s="2" t="n">
        <v>0.5</v>
      </c>
      <c r="AA19" s="2" t="n">
        <v>0.61</v>
      </c>
      <c r="AB19" s="2" t="n">
        <v>0.62</v>
      </c>
      <c r="AC19" s="2" t="n">
        <v>0.53</v>
      </c>
      <c r="AD19" s="2" t="n">
        <v>0.33</v>
      </c>
      <c r="AE19" s="2" t="n">
        <v>0.5600000000000001</v>
      </c>
      <c r="AF19" s="2" t="n">
        <v>0.59</v>
      </c>
      <c r="AG19" s="2" t="n">
        <v>0.63</v>
      </c>
      <c r="AH19" s="2" t="n">
        <v>0.67</v>
      </c>
      <c r="AI19" s="2" t="n">
        <v>0.68</v>
      </c>
      <c r="AJ19" s="2" t="n">
        <v>0.55</v>
      </c>
      <c r="AK19" s="2" t="n">
        <v>0.39</v>
      </c>
      <c r="AL19" s="2" t="n">
        <v>0.33</v>
      </c>
      <c r="AM19" s="2" t="n">
        <v>0.33</v>
      </c>
      <c r="AN19" s="2" t="n">
        <v>0.29</v>
      </c>
      <c r="AO19" s="2" t="n">
        <v>0.27</v>
      </c>
      <c r="AP19" s="2" t="n">
        <v>0.52</v>
      </c>
      <c r="AQ19" s="2" t="n">
        <v>0.15</v>
      </c>
      <c r="AR19" s="2" t="n">
        <v>0.27</v>
      </c>
      <c r="AS19" s="2" t="n">
        <v>0.26</v>
      </c>
      <c r="AT19" s="2" t="n">
        <v>0.09</v>
      </c>
      <c r="AU19" s="2" t="n">
        <v>-0.009351999999999999</v>
      </c>
      <c r="AV19" s="2" t="n">
        <v>0.13</v>
      </c>
      <c r="AW19" s="2" t="n">
        <v>-0.363</v>
      </c>
      <c r="AX19" s="2" t="n">
        <v>0.4</v>
      </c>
      <c r="AY19" s="2" t="n">
        <v>0.46</v>
      </c>
      <c r="AZ19" s="2" t="n">
        <v>0.23</v>
      </c>
      <c r="BA19" s="2" t="n">
        <v>0.11</v>
      </c>
      <c r="BB19" s="2" t="n">
        <v>0.26</v>
      </c>
    </row>
    <row r="20">
      <c r="A20" s="2" t="inlineStr">
        <is>
          <t>Fixed Income</t>
        </is>
      </c>
      <c r="B20" s="2" t="inlineStr">
        <is>
          <t>U.S. Long Investment Grade Credit</t>
        </is>
      </c>
      <c r="C20" s="2" t="inlineStr">
        <is>
          <t>Bloomberg Barclays U.S. Long Credit</t>
        </is>
      </c>
      <c r="D20" s="12" t="n">
        <v>0.0393</v>
      </c>
      <c r="E20" s="12" t="n">
        <v>0.09950000000000001</v>
      </c>
      <c r="F20" s="2" t="n">
        <v>0.21</v>
      </c>
      <c r="G20" s="2" t="n">
        <v>0.21</v>
      </c>
      <c r="H20" s="2" t="n">
        <v>0.23</v>
      </c>
      <c r="I20" s="2" t="n">
        <v>0.18</v>
      </c>
      <c r="J20" s="2" t="n">
        <v>0.13</v>
      </c>
      <c r="K20" s="2" t="n">
        <v>0.27</v>
      </c>
      <c r="L20" s="2" t="n">
        <v>0.3</v>
      </c>
      <c r="M20" s="2" t="n">
        <v>0.27</v>
      </c>
      <c r="N20" s="2" t="n">
        <v>0.33</v>
      </c>
      <c r="O20" s="2" t="n">
        <v>0.88</v>
      </c>
      <c r="P20" s="2" t="n">
        <v>0.64</v>
      </c>
      <c r="Q20" s="2" t="n">
        <v>-0.04932</v>
      </c>
      <c r="R20" s="2" t="n">
        <v>0.5</v>
      </c>
      <c r="S20" s="2" t="n">
        <v>0.67</v>
      </c>
      <c r="T20" s="2" t="n">
        <v>0.97</v>
      </c>
      <c r="U20" s="2" t="n">
        <v>0.78</v>
      </c>
      <c r="V20" s="2" t="n">
        <v>1</v>
      </c>
      <c r="W20" s="2" t="n">
        <v>0.7</v>
      </c>
      <c r="X20" s="2" t="n">
        <v>0.74</v>
      </c>
      <c r="Y20" s="2" t="n">
        <v>0.66</v>
      </c>
      <c r="Z20" s="2" t="n">
        <v>0.5</v>
      </c>
      <c r="AA20" s="2" t="n">
        <v>0.6</v>
      </c>
      <c r="AB20" s="2" t="n">
        <v>0.39</v>
      </c>
      <c r="AC20" s="2" t="n">
        <v>0.46</v>
      </c>
      <c r="AD20" s="2" t="n">
        <v>0.26</v>
      </c>
      <c r="AE20" s="2" t="n">
        <v>0.52</v>
      </c>
      <c r="AF20" s="2" t="n">
        <v>0.48</v>
      </c>
      <c r="AG20" s="2" t="n">
        <v>0.45</v>
      </c>
      <c r="AH20" s="2" t="n">
        <v>0.6</v>
      </c>
      <c r="AI20" s="2" t="n">
        <v>0.59</v>
      </c>
      <c r="AJ20" s="2" t="n">
        <v>0.47</v>
      </c>
      <c r="AK20" s="2" t="n">
        <v>0.24</v>
      </c>
      <c r="AL20" s="2" t="n">
        <v>0.23</v>
      </c>
      <c r="AM20" s="2" t="n">
        <v>0.2</v>
      </c>
      <c r="AN20" s="2" t="n">
        <v>0.2</v>
      </c>
      <c r="AO20" s="2" t="n">
        <v>0.25</v>
      </c>
      <c r="AP20" s="2" t="n">
        <v>0.35</v>
      </c>
      <c r="AQ20" s="2" t="n">
        <v>0.19</v>
      </c>
      <c r="AR20" s="2" t="n">
        <v>0.14</v>
      </c>
      <c r="AS20" s="2" t="n">
        <v>0.22</v>
      </c>
      <c r="AT20" s="2" t="n">
        <v>-0.01022</v>
      </c>
      <c r="AU20" s="2" t="n">
        <v>0</v>
      </c>
      <c r="AV20" s="2" t="n">
        <v>0.064</v>
      </c>
      <c r="AW20" s="2" t="n">
        <v>-0.3371</v>
      </c>
      <c r="AX20" s="2" t="n">
        <v>0.42</v>
      </c>
      <c r="AY20" s="2" t="n">
        <v>0.47</v>
      </c>
      <c r="AZ20" s="2" t="n">
        <v>0.17</v>
      </c>
      <c r="BA20" s="2" t="n">
        <v>0.1</v>
      </c>
      <c r="BB20" s="2" t="n">
        <v>0.17</v>
      </c>
    </row>
    <row r="21">
      <c r="A21" s="2" t="inlineStr">
        <is>
          <t>Fixed Income</t>
        </is>
      </c>
      <c r="B21" s="2" t="inlineStr">
        <is>
          <t>U.S. TIPS</t>
        </is>
      </c>
      <c r="C21" s="2" t="inlineStr">
        <is>
          <t>Bloomberg Barclays U.S. Inflation Linked Bonds</t>
        </is>
      </c>
      <c r="D21" s="12" t="n">
        <v>0.02</v>
      </c>
      <c r="E21" s="12" t="n">
        <v>0.0557</v>
      </c>
      <c r="F21" s="2" t="n">
        <v>0.064</v>
      </c>
      <c r="G21" s="2" t="n">
        <v>0.083</v>
      </c>
      <c r="H21" s="2" t="n">
        <v>0.12</v>
      </c>
      <c r="I21" s="2" t="n">
        <v>0.02</v>
      </c>
      <c r="J21" s="2" t="n">
        <v>0.021</v>
      </c>
      <c r="K21" s="2" t="n">
        <v>0.16</v>
      </c>
      <c r="L21" s="2" t="n">
        <v>0.17</v>
      </c>
      <c r="M21" s="2" t="n">
        <v>0.17</v>
      </c>
      <c r="N21" s="2" t="n">
        <v>0.26</v>
      </c>
      <c r="O21" s="2" t="n">
        <v>0.8</v>
      </c>
      <c r="P21" s="2" t="n">
        <v>0.64</v>
      </c>
      <c r="Q21" s="2" t="n">
        <v>0.093</v>
      </c>
      <c r="R21" s="2" t="n">
        <v>0.64</v>
      </c>
      <c r="S21" s="2" t="n">
        <v>0.6</v>
      </c>
      <c r="T21" s="2" t="n">
        <v>0.7</v>
      </c>
      <c r="U21" s="2" t="n">
        <v>0.8</v>
      </c>
      <c r="V21" s="2" t="n">
        <v>0.7</v>
      </c>
      <c r="W21" s="2" t="n">
        <v>1</v>
      </c>
      <c r="X21" s="2" t="n">
        <v>0.77</v>
      </c>
      <c r="Y21" s="2" t="n">
        <v>0.62</v>
      </c>
      <c r="Z21" s="2" t="n">
        <v>0.42</v>
      </c>
      <c r="AA21" s="2" t="n">
        <v>0.53</v>
      </c>
      <c r="AB21" s="2" t="n">
        <v>0.49</v>
      </c>
      <c r="AC21" s="2" t="n">
        <v>0.34</v>
      </c>
      <c r="AD21" s="2" t="n">
        <v>0.16</v>
      </c>
      <c r="AE21" s="2" t="n">
        <v>0.55</v>
      </c>
      <c r="AF21" s="2" t="n">
        <v>0.55</v>
      </c>
      <c r="AG21" s="2" t="n">
        <v>0.52</v>
      </c>
      <c r="AH21" s="2" t="n">
        <v>0.5600000000000001</v>
      </c>
      <c r="AI21" s="2" t="n">
        <v>0.46</v>
      </c>
      <c r="AJ21" s="2" t="n">
        <v>0.47</v>
      </c>
      <c r="AK21" s="2" t="n">
        <v>0.2</v>
      </c>
      <c r="AL21" s="2" t="n">
        <v>0.17</v>
      </c>
      <c r="AM21" s="2" t="n">
        <v>0.11</v>
      </c>
      <c r="AN21" s="2" t="n">
        <v>0.1</v>
      </c>
      <c r="AO21" s="2" t="n">
        <v>0.28</v>
      </c>
      <c r="AP21" s="2" t="n">
        <v>0.28</v>
      </c>
      <c r="AQ21" s="2" t="n">
        <v>0.22</v>
      </c>
      <c r="AR21" s="2" t="n">
        <v>0.28</v>
      </c>
      <c r="AS21" s="2" t="n">
        <v>0.22</v>
      </c>
      <c r="AT21" s="2" t="n">
        <v>0.2</v>
      </c>
      <c r="AU21" s="2" t="n">
        <v>-0.0528</v>
      </c>
      <c r="AV21" s="2" t="n">
        <v>0.23</v>
      </c>
      <c r="AW21" s="2" t="n">
        <v>-0.2395</v>
      </c>
      <c r="AX21" s="2" t="n">
        <v>0.28</v>
      </c>
      <c r="AY21" s="2" t="n">
        <v>0.35</v>
      </c>
      <c r="AZ21" s="2" t="n">
        <v>0.1</v>
      </c>
      <c r="BA21" s="2" t="n">
        <v>0.02</v>
      </c>
      <c r="BB21" s="2" t="n">
        <v>0.13</v>
      </c>
    </row>
    <row r="22">
      <c r="A22" s="2" t="inlineStr">
        <is>
          <t>Fixed Income</t>
        </is>
      </c>
      <c r="B22" s="2" t="inlineStr">
        <is>
          <t>U.S. Agencies</t>
        </is>
      </c>
      <c r="C22" s="2" t="inlineStr">
        <is>
          <t>Bloomberg Barclays U.S. Agencies</t>
        </is>
      </c>
      <c r="D22" s="12" t="n">
        <v>0.0248</v>
      </c>
      <c r="E22" s="12" t="n">
        <v>0.0299</v>
      </c>
      <c r="F22" s="2" t="n">
        <v>-0.1369</v>
      </c>
      <c r="G22" s="2" t="n">
        <v>-0.1096</v>
      </c>
      <c r="H22" s="2" t="n">
        <v>-0.1025</v>
      </c>
      <c r="I22" s="2" t="n">
        <v>-0.138</v>
      </c>
      <c r="J22" s="2" t="n">
        <v>-0.1729</v>
      </c>
      <c r="K22" s="2" t="n">
        <v>-0.08073</v>
      </c>
      <c r="L22" s="2" t="n">
        <v>-0.04366</v>
      </c>
      <c r="M22" s="2" t="n">
        <v>-0.05671</v>
      </c>
      <c r="N22" s="2" t="n">
        <v>-0.009693</v>
      </c>
      <c r="O22" s="2" t="n">
        <v>1</v>
      </c>
      <c r="P22" s="2" t="n">
        <v>0.91</v>
      </c>
      <c r="Q22" s="2" t="n">
        <v>0.27</v>
      </c>
      <c r="R22" s="2" t="n">
        <v>0.97</v>
      </c>
      <c r="S22" s="2" t="n">
        <v>0.6899999999999999</v>
      </c>
      <c r="T22" s="2" t="n">
        <v>0.6899999999999999</v>
      </c>
      <c r="U22" s="2" t="n">
        <v>0.79</v>
      </c>
      <c r="V22" s="2" t="n">
        <v>0.74</v>
      </c>
      <c r="W22" s="2" t="n">
        <v>0.77</v>
      </c>
      <c r="X22" s="2" t="n">
        <v>1</v>
      </c>
      <c r="Y22" s="2" t="n">
        <v>0.92</v>
      </c>
      <c r="Z22" s="2" t="n">
        <v>0.35</v>
      </c>
      <c r="AA22" s="2" t="n">
        <v>0.57</v>
      </c>
      <c r="AB22" s="2" t="n">
        <v>0.65</v>
      </c>
      <c r="AC22" s="2" t="n">
        <v>0.054</v>
      </c>
      <c r="AD22" s="2" t="n">
        <v>-0.1626</v>
      </c>
      <c r="AE22" s="2" t="n">
        <v>0.5</v>
      </c>
      <c r="AF22" s="2" t="n">
        <v>0.5600000000000001</v>
      </c>
      <c r="AG22" s="2" t="n">
        <v>0.34</v>
      </c>
      <c r="AH22" s="2" t="n">
        <v>0.33</v>
      </c>
      <c r="AI22" s="2" t="n">
        <v>0.26</v>
      </c>
      <c r="AJ22" s="2" t="n">
        <v>0.3</v>
      </c>
      <c r="AK22" s="2" t="n">
        <v>-0.009051999999999999</v>
      </c>
      <c r="AL22" s="2" t="n">
        <v>-0.06952999999999999</v>
      </c>
      <c r="AM22" s="2" t="n">
        <v>-0.09908</v>
      </c>
      <c r="AN22" s="2" t="n">
        <v>-0.1323</v>
      </c>
      <c r="AO22" s="2" t="n">
        <v>0.24</v>
      </c>
      <c r="AP22" s="2" t="n">
        <v>-0.0214</v>
      </c>
      <c r="AQ22" s="2" t="n">
        <v>0.26</v>
      </c>
      <c r="AR22" s="2" t="n">
        <v>0.049</v>
      </c>
      <c r="AS22" s="2" t="n">
        <v>-0.04068</v>
      </c>
      <c r="AT22" s="2" t="n">
        <v>-0.09950000000000001</v>
      </c>
      <c r="AU22" s="2" t="n">
        <v>-0.109</v>
      </c>
      <c r="AV22" s="2" t="n">
        <v>0.23</v>
      </c>
      <c r="AW22" s="2" t="n">
        <v>-0.2597</v>
      </c>
      <c r="AX22" s="2" t="n">
        <v>0.12</v>
      </c>
      <c r="AY22" s="2" t="n">
        <v>0.11</v>
      </c>
      <c r="AZ22" s="2" t="n">
        <v>-0.1619</v>
      </c>
      <c r="BA22" s="2" t="n">
        <v>-0.1613</v>
      </c>
      <c r="BB22" s="2" t="n">
        <v>-0.02109</v>
      </c>
    </row>
    <row r="23">
      <c r="A23" s="2" t="inlineStr">
        <is>
          <t>Fixed Income</t>
        </is>
      </c>
      <c r="B23" s="2" t="inlineStr">
        <is>
          <t>U.S. MBS</t>
        </is>
      </c>
      <c r="C23" s="2" t="inlineStr">
        <is>
          <t>Bloomberg Barclays U.S. MBS</t>
        </is>
      </c>
      <c r="D23" s="12" t="n">
        <v>0.0258</v>
      </c>
      <c r="E23" s="12" t="n">
        <v>0.0228</v>
      </c>
      <c r="F23" s="2" t="n">
        <v>-0.1273</v>
      </c>
      <c r="G23" s="2" t="n">
        <v>-0.125</v>
      </c>
      <c r="H23" s="2" t="n">
        <v>-0.114</v>
      </c>
      <c r="I23" s="2" t="n">
        <v>-0.1799</v>
      </c>
      <c r="J23" s="2" t="n">
        <v>-0.215</v>
      </c>
      <c r="K23" s="2" t="n">
        <v>-0.09871000000000001</v>
      </c>
      <c r="L23" s="2" t="n">
        <v>-0.05725</v>
      </c>
      <c r="M23" s="2" t="n">
        <v>-0.05956</v>
      </c>
      <c r="N23" s="2" t="n">
        <v>-0.03248</v>
      </c>
      <c r="O23" s="2" t="n">
        <v>0.97</v>
      </c>
      <c r="P23" s="2" t="n">
        <v>0.82</v>
      </c>
      <c r="Q23" s="2" t="n">
        <v>0.28</v>
      </c>
      <c r="R23" s="2" t="n">
        <v>0.84</v>
      </c>
      <c r="S23" s="2" t="n">
        <v>0.7</v>
      </c>
      <c r="T23" s="2" t="n">
        <v>0.6899999999999999</v>
      </c>
      <c r="U23" s="2" t="n">
        <v>0.68</v>
      </c>
      <c r="V23" s="2" t="n">
        <v>0.66</v>
      </c>
      <c r="W23" s="2" t="n">
        <v>0.62</v>
      </c>
      <c r="X23" s="2" t="n">
        <v>0.92</v>
      </c>
      <c r="Y23" s="2" t="n">
        <v>1</v>
      </c>
      <c r="Z23" s="2" t="n">
        <v>0.19</v>
      </c>
      <c r="AA23" s="2" t="n">
        <v>0.57</v>
      </c>
      <c r="AB23" s="2" t="n">
        <v>0.53</v>
      </c>
      <c r="AC23" s="2" t="n">
        <v>0.037</v>
      </c>
      <c r="AD23" s="2" t="n">
        <v>-0.135</v>
      </c>
      <c r="AE23" s="2" t="n">
        <v>0.38</v>
      </c>
      <c r="AF23" s="2" t="n">
        <v>0.43</v>
      </c>
      <c r="AG23" s="2" t="n">
        <v>0.26</v>
      </c>
      <c r="AH23" s="2" t="n">
        <v>0.38</v>
      </c>
      <c r="AI23" s="2" t="n">
        <v>0.28</v>
      </c>
      <c r="AJ23" s="2" t="n">
        <v>0.2</v>
      </c>
      <c r="AK23" s="2" t="n">
        <v>-0.03226</v>
      </c>
      <c r="AL23" s="2" t="n">
        <v>-0.07922</v>
      </c>
      <c r="AM23" s="2" t="n">
        <v>-0.1236</v>
      </c>
      <c r="AN23" s="2" t="n">
        <v>-0.1397</v>
      </c>
      <c r="AO23" s="2" t="n">
        <v>0.19</v>
      </c>
      <c r="AP23" s="2" t="n">
        <v>-0.01933</v>
      </c>
      <c r="AQ23" s="2" t="n">
        <v>0.18</v>
      </c>
      <c r="AR23" s="2" t="n">
        <v>0</v>
      </c>
      <c r="AS23" s="2" t="n">
        <v>-0.07550999999999999</v>
      </c>
      <c r="AT23" s="2" t="n">
        <v>-0.08411</v>
      </c>
      <c r="AU23" s="2" t="n">
        <v>-0.1437</v>
      </c>
      <c r="AV23" s="2" t="n">
        <v>0.09</v>
      </c>
      <c r="AW23" s="2" t="n">
        <v>-0.2724</v>
      </c>
      <c r="AX23" s="2" t="n">
        <v>0.09</v>
      </c>
      <c r="AY23" s="2" t="n">
        <v>0.1</v>
      </c>
      <c r="AZ23" s="2" t="n">
        <v>-0.1211</v>
      </c>
      <c r="BA23" s="2" t="n">
        <v>-0.1399</v>
      </c>
      <c r="BB23" s="2" t="n">
        <v>-0.06537</v>
      </c>
    </row>
    <row r="24">
      <c r="A24" s="2" t="inlineStr">
        <is>
          <t>Fixed Income</t>
        </is>
      </c>
      <c r="B24" s="2" t="inlineStr">
        <is>
          <t>U.S. Investment Grade CMBS</t>
        </is>
      </c>
      <c r="C24" s="2" t="inlineStr">
        <is>
          <t>Bloomberg Barclays Investment Grade CMBS</t>
        </is>
      </c>
      <c r="D24" s="12" t="n">
        <v>0.0277</v>
      </c>
      <c r="E24" s="12" t="n">
        <v>0.0765</v>
      </c>
      <c r="F24" s="2" t="n">
        <v>0.39</v>
      </c>
      <c r="G24" s="2" t="n">
        <v>0.4</v>
      </c>
      <c r="H24" s="2" t="n">
        <v>0.39</v>
      </c>
      <c r="I24" s="2" t="n">
        <v>0.35</v>
      </c>
      <c r="J24" s="2" t="n">
        <v>0.32</v>
      </c>
      <c r="K24" s="2" t="n">
        <v>0.37</v>
      </c>
      <c r="L24" s="2" t="n">
        <v>0.37</v>
      </c>
      <c r="M24" s="2" t="n">
        <v>0.36</v>
      </c>
      <c r="N24" s="2" t="n">
        <v>0.38</v>
      </c>
      <c r="O24" s="2" t="n">
        <v>0.43</v>
      </c>
      <c r="P24" s="2" t="n">
        <v>0.18</v>
      </c>
      <c r="Q24" s="2" t="n">
        <v>-0.04588</v>
      </c>
      <c r="R24" s="2" t="n">
        <v>0.12</v>
      </c>
      <c r="S24" s="2" t="n">
        <v>0.16</v>
      </c>
      <c r="T24" s="2" t="n">
        <v>0.53</v>
      </c>
      <c r="U24" s="2" t="n">
        <v>0.5</v>
      </c>
      <c r="V24" s="2" t="n">
        <v>0.5</v>
      </c>
      <c r="W24" s="2" t="n">
        <v>0.42</v>
      </c>
      <c r="X24" s="2" t="n">
        <v>0.35</v>
      </c>
      <c r="Y24" s="2" t="n">
        <v>0.19</v>
      </c>
      <c r="Z24" s="2" t="n">
        <v>1</v>
      </c>
      <c r="AA24" s="2" t="n">
        <v>0.33</v>
      </c>
      <c r="AB24" s="2" t="n">
        <v>0.23</v>
      </c>
      <c r="AC24" s="2" t="n">
        <v>0.67</v>
      </c>
      <c r="AD24" s="2" t="n">
        <v>0.5</v>
      </c>
      <c r="AE24" s="2" t="n">
        <v>0.37</v>
      </c>
      <c r="AF24" s="2" t="n">
        <v>0.34</v>
      </c>
      <c r="AG24" s="2" t="n">
        <v>0.44</v>
      </c>
      <c r="AH24" s="2" t="n">
        <v>0.44</v>
      </c>
      <c r="AI24" s="2" t="n">
        <v>0.4</v>
      </c>
      <c r="AJ24" s="2" t="n">
        <v>0.44</v>
      </c>
      <c r="AK24" s="2" t="n">
        <v>0.32</v>
      </c>
      <c r="AL24" s="2" t="n">
        <v>0.32</v>
      </c>
      <c r="AM24" s="2" t="n">
        <v>0.34</v>
      </c>
      <c r="AN24" s="2" t="n">
        <v>0.32</v>
      </c>
      <c r="AO24" s="2" t="n">
        <v>0.11</v>
      </c>
      <c r="AP24" s="2" t="n">
        <v>0.44</v>
      </c>
      <c r="AQ24" s="2" t="n">
        <v>0.029</v>
      </c>
      <c r="AR24" s="2" t="n">
        <v>0.23</v>
      </c>
      <c r="AS24" s="2" t="n">
        <v>0.22</v>
      </c>
      <c r="AT24" s="2" t="n">
        <v>0.45</v>
      </c>
      <c r="AU24" s="2" t="n">
        <v>0.038</v>
      </c>
      <c r="AV24" s="2" t="n">
        <v>0.29</v>
      </c>
      <c r="AW24" s="2" t="n">
        <v>-0.1104</v>
      </c>
      <c r="AX24" s="2" t="n">
        <v>0.59</v>
      </c>
      <c r="AY24" s="2" t="n">
        <v>0.5600000000000001</v>
      </c>
      <c r="AZ24" s="2" t="n">
        <v>0.38</v>
      </c>
      <c r="BA24" s="2" t="n">
        <v>0.21</v>
      </c>
      <c r="BB24" s="2" t="n">
        <v>0.27</v>
      </c>
    </row>
    <row r="25">
      <c r="A25" s="2" t="inlineStr">
        <is>
          <t>Fixed Income</t>
        </is>
      </c>
      <c r="B25" s="2" t="inlineStr">
        <is>
          <t>U.S. Intermediate Municipal</t>
        </is>
      </c>
      <c r="C25" s="2" t="inlineStr">
        <is>
          <t>S&amp;P Municipal Bond Intermediate</t>
        </is>
      </c>
      <c r="D25" s="12" t="n">
        <v>0.0276</v>
      </c>
      <c r="E25" s="12" t="n">
        <v>0.034</v>
      </c>
      <c r="F25" s="2" t="n">
        <v>-0.04354</v>
      </c>
      <c r="G25" s="2" t="n">
        <v>-0.0293</v>
      </c>
      <c r="H25" s="2" t="n">
        <v>0</v>
      </c>
      <c r="I25" s="2" t="n">
        <v>-0.06356000000000001</v>
      </c>
      <c r="J25" s="2" t="n">
        <v>-0.06468</v>
      </c>
      <c r="K25" s="2" t="n">
        <v>-0.009986999999999999</v>
      </c>
      <c r="L25" s="2" t="n">
        <v>0</v>
      </c>
      <c r="M25" s="2" t="n">
        <v>0.011</v>
      </c>
      <c r="N25" s="2" t="n">
        <v>0.019</v>
      </c>
      <c r="O25" s="2" t="n">
        <v>0.7</v>
      </c>
      <c r="P25" s="2" t="n">
        <v>0.52</v>
      </c>
      <c r="Q25" s="2" t="n">
        <v>0.043</v>
      </c>
      <c r="R25" s="2" t="n">
        <v>0.54</v>
      </c>
      <c r="S25" s="2" t="n">
        <v>0.53</v>
      </c>
      <c r="T25" s="2" t="n">
        <v>0.63</v>
      </c>
      <c r="U25" s="2" t="n">
        <v>0.61</v>
      </c>
      <c r="V25" s="2" t="n">
        <v>0.6</v>
      </c>
      <c r="W25" s="2" t="n">
        <v>0.53</v>
      </c>
      <c r="X25" s="2" t="n">
        <v>0.57</v>
      </c>
      <c r="Y25" s="2" t="n">
        <v>0.57</v>
      </c>
      <c r="Z25" s="2" t="n">
        <v>0.33</v>
      </c>
      <c r="AA25" s="2" t="n">
        <v>1</v>
      </c>
      <c r="AB25" s="2" t="n">
        <v>0.83</v>
      </c>
      <c r="AC25" s="2" t="n">
        <v>0.23</v>
      </c>
      <c r="AD25" s="2" t="n">
        <v>0.11</v>
      </c>
      <c r="AE25" s="2" t="n">
        <v>0.33</v>
      </c>
      <c r="AF25" s="2" t="n">
        <v>0.34</v>
      </c>
      <c r="AG25" s="2" t="n">
        <v>0.21</v>
      </c>
      <c r="AH25" s="2" t="n">
        <v>0.38</v>
      </c>
      <c r="AI25" s="2" t="n">
        <v>0.28</v>
      </c>
      <c r="AJ25" s="2" t="n">
        <v>0.26</v>
      </c>
      <c r="AK25" s="2" t="n">
        <v>0.061</v>
      </c>
      <c r="AL25" s="2" t="n">
        <v>0.018</v>
      </c>
      <c r="AM25" s="2" t="n">
        <v>-0.02899</v>
      </c>
      <c r="AN25" s="2" t="n">
        <v>-0.02092</v>
      </c>
      <c r="AO25" s="2" t="n">
        <v>0.15</v>
      </c>
      <c r="AP25" s="2" t="n">
        <v>0.14</v>
      </c>
      <c r="AQ25" s="2" t="n">
        <v>0.2</v>
      </c>
      <c r="AR25" s="2" t="n">
        <v>-0.0365</v>
      </c>
      <c r="AS25" s="2" t="n">
        <v>-0.04153</v>
      </c>
      <c r="AT25" s="2" t="n">
        <v>0.009299999999999999</v>
      </c>
      <c r="AU25" s="2" t="n">
        <v>-0.0917</v>
      </c>
      <c r="AV25" s="2" t="n">
        <v>-0.0219</v>
      </c>
      <c r="AW25" s="2" t="n">
        <v>-0.3291</v>
      </c>
      <c r="AX25" s="2" t="n">
        <v>0.2</v>
      </c>
      <c r="AY25" s="2" t="n">
        <v>0.18</v>
      </c>
      <c r="AZ25" s="2" t="n">
        <v>-0.03109</v>
      </c>
      <c r="BA25" s="2" t="n">
        <v>-0.06641</v>
      </c>
      <c r="BB25" s="2" t="n">
        <v>0.14</v>
      </c>
    </row>
    <row r="26">
      <c r="A26" s="2" t="inlineStr">
        <is>
          <t>Fixed Income</t>
        </is>
      </c>
      <c r="B26" s="2" t="inlineStr">
        <is>
          <t>U.S. Short Municipal</t>
        </is>
      </c>
      <c r="C26" s="2" t="inlineStr">
        <is>
          <t>S&amp;P Municipal Bond Short</t>
        </is>
      </c>
      <c r="D26" s="12" t="n">
        <v>0.0193</v>
      </c>
      <c r="E26" s="12" t="n">
        <v>0.0127</v>
      </c>
      <c r="F26" s="2" t="n">
        <v>-0.1091</v>
      </c>
      <c r="G26" s="2" t="n">
        <v>-0.1312</v>
      </c>
      <c r="H26" s="2" t="n">
        <v>-0.11</v>
      </c>
      <c r="I26" s="2" t="n">
        <v>-0.1349</v>
      </c>
      <c r="J26" s="2" t="n">
        <v>-0.1141</v>
      </c>
      <c r="K26" s="2" t="n">
        <v>-0.0936</v>
      </c>
      <c r="L26" s="2" t="n">
        <v>-0.07480000000000001</v>
      </c>
      <c r="M26" s="2" t="n">
        <v>-0.0984</v>
      </c>
      <c r="N26" s="2" t="n">
        <v>-0.03117</v>
      </c>
      <c r="O26" s="2" t="n">
        <v>0.6</v>
      </c>
      <c r="P26" s="2" t="n">
        <v>0.49</v>
      </c>
      <c r="Q26" s="2" t="n">
        <v>0.3</v>
      </c>
      <c r="R26" s="2" t="n">
        <v>0.53</v>
      </c>
      <c r="S26" s="2" t="n">
        <v>0.35</v>
      </c>
      <c r="T26" s="2" t="n">
        <v>0.49</v>
      </c>
      <c r="U26" s="2" t="n">
        <v>0.62</v>
      </c>
      <c r="V26" s="2" t="n">
        <v>0.39</v>
      </c>
      <c r="W26" s="2" t="n">
        <v>0.49</v>
      </c>
      <c r="X26" s="2" t="n">
        <v>0.65</v>
      </c>
      <c r="Y26" s="2" t="n">
        <v>0.53</v>
      </c>
      <c r="Z26" s="2" t="n">
        <v>0.23</v>
      </c>
      <c r="AA26" s="2" t="n">
        <v>0.83</v>
      </c>
      <c r="AB26" s="2" t="n">
        <v>1</v>
      </c>
      <c r="AC26" s="2" t="n">
        <v>0.13</v>
      </c>
      <c r="AD26" s="2" t="n">
        <v>-0.02057</v>
      </c>
      <c r="AE26" s="2" t="n">
        <v>0.32</v>
      </c>
      <c r="AF26" s="2" t="n">
        <v>0.3</v>
      </c>
      <c r="AG26" s="2" t="n">
        <v>0.2</v>
      </c>
      <c r="AH26" s="2" t="n">
        <v>0.26</v>
      </c>
      <c r="AI26" s="2" t="n">
        <v>0.22</v>
      </c>
      <c r="AJ26" s="2" t="n">
        <v>0.18</v>
      </c>
      <c r="AK26" s="2" t="n">
        <v>0</v>
      </c>
      <c r="AL26" s="2" t="n">
        <v>-0.04372</v>
      </c>
      <c r="AM26" s="2" t="n">
        <v>-0.07931000000000001</v>
      </c>
      <c r="AN26" s="2" t="n">
        <v>-0.06952</v>
      </c>
      <c r="AO26" s="2" t="n">
        <v>0.16</v>
      </c>
      <c r="AP26" s="2" t="n">
        <v>0.064</v>
      </c>
      <c r="AQ26" s="2" t="n">
        <v>0.17</v>
      </c>
      <c r="AR26" s="2" t="n">
        <v>-0.03119</v>
      </c>
      <c r="AS26" s="2" t="n">
        <v>-0.04063</v>
      </c>
      <c r="AT26" s="2" t="n">
        <v>-0.07985</v>
      </c>
      <c r="AU26" s="2" t="n">
        <v>-0.1595</v>
      </c>
      <c r="AV26" s="2" t="n">
        <v>0.055</v>
      </c>
      <c r="AW26" s="2" t="n">
        <v>-0.3275</v>
      </c>
      <c r="AX26" s="2" t="n">
        <v>0.041</v>
      </c>
      <c r="AY26" s="2" t="n">
        <v>0.037</v>
      </c>
      <c r="AZ26" s="2" t="n">
        <v>-0.0917</v>
      </c>
      <c r="BA26" s="2" t="n">
        <v>-0.1195</v>
      </c>
      <c r="BB26" s="2" t="n">
        <v>0.1</v>
      </c>
    </row>
    <row r="27">
      <c r="A27" s="2" t="inlineStr">
        <is>
          <t>Fixed Income</t>
        </is>
      </c>
      <c r="B27" s="2" t="inlineStr">
        <is>
          <t>U.S. High Yield</t>
        </is>
      </c>
      <c r="C27" s="2" t="inlineStr">
        <is>
          <t>Bloomberg Barclays U.S. Corporate High Yield</t>
        </is>
      </c>
      <c r="D27" s="12" t="n">
        <v>0.0518</v>
      </c>
      <c r="E27" s="12" t="n">
        <v>0.103</v>
      </c>
      <c r="F27" s="2" t="n">
        <v>0.67</v>
      </c>
      <c r="G27" s="2" t="n">
        <v>0.68</v>
      </c>
      <c r="H27" s="2" t="n">
        <v>0.8100000000000001</v>
      </c>
      <c r="I27" s="2" t="n">
        <v>0.7</v>
      </c>
      <c r="J27" s="2" t="n">
        <v>0.67</v>
      </c>
      <c r="K27" s="2" t="n">
        <v>0.79</v>
      </c>
      <c r="L27" s="2" t="n">
        <v>0.7</v>
      </c>
      <c r="M27" s="2" t="n">
        <v>0.67</v>
      </c>
      <c r="N27" s="2" t="n">
        <v>0.78</v>
      </c>
      <c r="O27" s="2" t="n">
        <v>0.2</v>
      </c>
      <c r="P27" s="2" t="n">
        <v>-0.212</v>
      </c>
      <c r="Q27" s="2" t="n">
        <v>-0.1432</v>
      </c>
      <c r="R27" s="2" t="n">
        <v>-0.2132</v>
      </c>
      <c r="S27" s="2" t="n">
        <v>-0.1966</v>
      </c>
      <c r="T27" s="2" t="n">
        <v>0.53</v>
      </c>
      <c r="U27" s="2" t="n">
        <v>0.53</v>
      </c>
      <c r="V27" s="2" t="n">
        <v>0.46</v>
      </c>
      <c r="W27" s="2" t="n">
        <v>0.34</v>
      </c>
      <c r="X27" s="2" t="n">
        <v>0.054</v>
      </c>
      <c r="Y27" s="2" t="n">
        <v>0.037</v>
      </c>
      <c r="Z27" s="2" t="n">
        <v>0.67</v>
      </c>
      <c r="AA27" s="2" t="n">
        <v>0.23</v>
      </c>
      <c r="AB27" s="2" t="n">
        <v>0.13</v>
      </c>
      <c r="AC27" s="2" t="n">
        <v>1</v>
      </c>
      <c r="AD27" s="2" t="n">
        <v>0.85</v>
      </c>
      <c r="AE27" s="2" t="n">
        <v>0.34</v>
      </c>
      <c r="AF27" s="2" t="n">
        <v>0.27</v>
      </c>
      <c r="AG27" s="2" t="n">
        <v>0.55</v>
      </c>
      <c r="AH27" s="2" t="n">
        <v>0.71</v>
      </c>
      <c r="AI27" s="2" t="n">
        <v>0.79</v>
      </c>
      <c r="AJ27" s="2" t="n">
        <v>0.6899999999999999</v>
      </c>
      <c r="AK27" s="2" t="n">
        <v>0.6</v>
      </c>
      <c r="AL27" s="2" t="n">
        <v>0.72</v>
      </c>
      <c r="AM27" s="2" t="n">
        <v>0.8</v>
      </c>
      <c r="AN27" s="2" t="n">
        <v>0.73</v>
      </c>
      <c r="AO27" s="2" t="n">
        <v>0.14</v>
      </c>
      <c r="AP27" s="2" t="n">
        <v>0.86</v>
      </c>
      <c r="AQ27" s="2" t="n">
        <v>-0.1459</v>
      </c>
      <c r="AR27" s="2" t="n">
        <v>0.47</v>
      </c>
      <c r="AS27" s="2" t="n">
        <v>0.57</v>
      </c>
      <c r="AT27" s="2" t="n">
        <v>0.5</v>
      </c>
      <c r="AU27" s="2" t="n">
        <v>0.07000000000000001</v>
      </c>
      <c r="AV27" s="2" t="n">
        <v>0.29</v>
      </c>
      <c r="AW27" s="2" t="n">
        <v>-0.128</v>
      </c>
      <c r="AX27" s="2" t="n">
        <v>0.67</v>
      </c>
      <c r="AY27" s="2" t="n">
        <v>0.79</v>
      </c>
      <c r="AZ27" s="2" t="n">
        <v>0.65</v>
      </c>
      <c r="BA27" s="2" t="n">
        <v>0.5</v>
      </c>
      <c r="BB27" s="2" t="n">
        <v>0.63</v>
      </c>
    </row>
    <row r="28">
      <c r="A28" s="2" t="inlineStr">
        <is>
          <t>Fixed Income</t>
        </is>
      </c>
      <c r="B28" s="2" t="inlineStr">
        <is>
          <t>U.S. Bank Loans</t>
        </is>
      </c>
      <c r="C28" s="2" t="inlineStr">
        <is>
          <t>CSFB Leveraged Loan</t>
        </is>
      </c>
      <c r="D28" s="12" t="n">
        <v>0.0486</v>
      </c>
      <c r="E28" s="12" t="n">
        <v>0.0548</v>
      </c>
      <c r="F28" s="2" t="n">
        <v>0.49</v>
      </c>
      <c r="G28" s="2" t="n">
        <v>0.58</v>
      </c>
      <c r="H28" s="2" t="n">
        <v>0.6</v>
      </c>
      <c r="I28" s="2" t="n">
        <v>0.5600000000000001</v>
      </c>
      <c r="J28" s="2" t="n">
        <v>0.55</v>
      </c>
      <c r="K28" s="2" t="n">
        <v>0.53</v>
      </c>
      <c r="L28" s="2" t="n">
        <v>0.54</v>
      </c>
      <c r="M28" s="2" t="n">
        <v>0.62</v>
      </c>
      <c r="N28" s="2" t="n">
        <v>0.58</v>
      </c>
      <c r="O28" s="2" t="n">
        <v>-0.01902</v>
      </c>
      <c r="P28" s="2" t="n">
        <v>-0.3587</v>
      </c>
      <c r="Q28" s="2" t="n">
        <v>-0.1503</v>
      </c>
      <c r="R28" s="2" t="n">
        <v>-0.418</v>
      </c>
      <c r="S28" s="2" t="n">
        <v>-0.3146</v>
      </c>
      <c r="T28" s="2" t="n">
        <v>0.32</v>
      </c>
      <c r="U28" s="2" t="n">
        <v>0.33</v>
      </c>
      <c r="V28" s="2" t="n">
        <v>0.26</v>
      </c>
      <c r="W28" s="2" t="n">
        <v>0.16</v>
      </c>
      <c r="X28" s="2" t="n">
        <v>-0.1626</v>
      </c>
      <c r="Y28" s="2" t="n">
        <v>-0.135</v>
      </c>
      <c r="Z28" s="2" t="n">
        <v>0.5</v>
      </c>
      <c r="AA28" s="2" t="n">
        <v>0.11</v>
      </c>
      <c r="AB28" s="2" t="n">
        <v>-0.02057</v>
      </c>
      <c r="AC28" s="2" t="n">
        <v>0.85</v>
      </c>
      <c r="AD28" s="2" t="n">
        <v>1</v>
      </c>
      <c r="AE28" s="2" t="n">
        <v>0.1</v>
      </c>
      <c r="AF28" s="2" t="n">
        <v>0.0095</v>
      </c>
      <c r="AG28" s="2" t="n">
        <v>0.38</v>
      </c>
      <c r="AH28" s="2" t="n">
        <v>0.4</v>
      </c>
      <c r="AI28" s="2" t="n">
        <v>0.49</v>
      </c>
      <c r="AJ28" s="2" t="n">
        <v>0.36</v>
      </c>
      <c r="AK28" s="2" t="n">
        <v>0.64</v>
      </c>
      <c r="AL28" s="2" t="n">
        <v>0.6</v>
      </c>
      <c r="AM28" s="2" t="n">
        <v>0.6</v>
      </c>
      <c r="AN28" s="2" t="n">
        <v>0.72</v>
      </c>
      <c r="AO28" s="2" t="n">
        <v>0.038</v>
      </c>
      <c r="AP28" s="2" t="n">
        <v>0.87</v>
      </c>
      <c r="AQ28" s="2" t="n">
        <v>-0.1562</v>
      </c>
      <c r="AR28" s="2" t="n">
        <v>0.39</v>
      </c>
      <c r="AS28" s="2" t="n">
        <v>0.42</v>
      </c>
      <c r="AT28" s="2" t="n">
        <v>0.73</v>
      </c>
      <c r="AU28" s="2" t="n">
        <v>0.18</v>
      </c>
      <c r="AV28" s="2" t="n">
        <v>0.049</v>
      </c>
      <c r="AW28" s="2" t="n">
        <v>-0.2556</v>
      </c>
      <c r="AX28" s="2" t="n">
        <v>0.5</v>
      </c>
      <c r="AY28" s="2" t="n">
        <v>0.54</v>
      </c>
      <c r="AZ28" s="2" t="n">
        <v>0.5600000000000001</v>
      </c>
      <c r="BA28" s="2" t="n">
        <v>0.36</v>
      </c>
      <c r="BB28" s="2" t="n">
        <v>0.51</v>
      </c>
    </row>
    <row r="29">
      <c r="A29" s="2" t="inlineStr">
        <is>
          <t>Fixed Income</t>
        </is>
      </c>
      <c r="B29" s="2" t="inlineStr">
        <is>
          <t>Global Aggregate Ex-US</t>
        </is>
      </c>
      <c r="C29" s="2" t="inlineStr">
        <is>
          <t>Bloomberg Barclays Global Aggregate Ex-USD</t>
        </is>
      </c>
      <c r="D29" s="12" t="n">
        <v>0.0044</v>
      </c>
      <c r="E29" s="12" t="n">
        <v>0.0738</v>
      </c>
      <c r="F29" s="2" t="n">
        <v>0.27</v>
      </c>
      <c r="G29" s="2" t="n">
        <v>0.23</v>
      </c>
      <c r="H29" s="2" t="n">
        <v>0.27</v>
      </c>
      <c r="I29" s="2" t="n">
        <v>0.18</v>
      </c>
      <c r="J29" s="2" t="n">
        <v>0.19</v>
      </c>
      <c r="K29" s="2" t="n">
        <v>0.35</v>
      </c>
      <c r="L29" s="2" t="n">
        <v>0.45</v>
      </c>
      <c r="M29" s="2" t="n">
        <v>0.44</v>
      </c>
      <c r="N29" s="2" t="n">
        <v>0.45</v>
      </c>
      <c r="O29" s="2" t="inlineStr">
        <is>
          <t>0. 51</t>
        </is>
      </c>
      <c r="P29" s="2" t="n">
        <v>0.37</v>
      </c>
      <c r="Q29" s="2" t="n">
        <v>0.075</v>
      </c>
      <c r="R29" s="2" t="n">
        <v>0.44</v>
      </c>
      <c r="S29" s="2" t="n">
        <v>0.22</v>
      </c>
      <c r="T29" s="2" t="n">
        <v>0.55</v>
      </c>
      <c r="U29" s="2" t="n">
        <v>0.5600000000000001</v>
      </c>
      <c r="V29" s="2" t="n">
        <v>0.52</v>
      </c>
      <c r="W29" s="2" t="n">
        <v>0.55</v>
      </c>
      <c r="X29" s="2" t="n">
        <v>0.5</v>
      </c>
      <c r="Y29" s="2" t="n">
        <v>0.38</v>
      </c>
      <c r="Z29" s="2" t="n">
        <v>0.37</v>
      </c>
      <c r="AA29" s="2" t="n">
        <v>0.33</v>
      </c>
      <c r="AB29" s="2" t="n">
        <v>0.32</v>
      </c>
      <c r="AC29" s="2" t="n">
        <v>0.34</v>
      </c>
      <c r="AD29" s="2" t="n">
        <v>0.1</v>
      </c>
      <c r="AE29" s="2" t="n">
        <v>1</v>
      </c>
      <c r="AF29" s="2" t="n">
        <v>1</v>
      </c>
      <c r="AG29" s="2" t="n">
        <v>0.9</v>
      </c>
      <c r="AH29" s="2" t="n">
        <v>0.43</v>
      </c>
      <c r="AI29" s="2" t="n">
        <v>0.43</v>
      </c>
      <c r="AJ29" s="2" t="n">
        <v>0.55</v>
      </c>
      <c r="AK29" s="2" t="n">
        <v>0.21</v>
      </c>
      <c r="AL29" s="2" t="n">
        <v>0.28</v>
      </c>
      <c r="AM29" s="2" t="n">
        <v>0.27</v>
      </c>
      <c r="AN29" s="2" t="n">
        <v>0.25</v>
      </c>
      <c r="AO29" s="2" t="n">
        <v>0.25</v>
      </c>
      <c r="AP29" s="2" t="n">
        <v>0.24</v>
      </c>
      <c r="AQ29" s="2" t="n">
        <v>0.12</v>
      </c>
      <c r="AR29" s="2" t="n">
        <v>0.48</v>
      </c>
      <c r="AS29" s="2" t="n">
        <v>0.45</v>
      </c>
      <c r="AT29" s="2" t="n">
        <v>0.12</v>
      </c>
      <c r="AU29" s="2" t="n">
        <v>0</v>
      </c>
      <c r="AV29" s="2" t="n">
        <v>0.43</v>
      </c>
      <c r="AW29" s="2" t="n">
        <v>0.21</v>
      </c>
      <c r="AX29" s="2" t="n">
        <v>0.36</v>
      </c>
      <c r="AY29" s="2" t="n">
        <v>0.48</v>
      </c>
      <c r="AZ29" s="2" t="n">
        <v>0.2</v>
      </c>
      <c r="BA29" s="2" t="n">
        <v>0.1</v>
      </c>
      <c r="BB29" s="2" t="n">
        <v>0.22</v>
      </c>
    </row>
    <row r="30">
      <c r="A30" s="2" t="inlineStr">
        <is>
          <t>Fixed Income</t>
        </is>
      </c>
      <c r="B30" s="2" t="inlineStr">
        <is>
          <t>Global Treasury Ex-US</t>
        </is>
      </c>
      <c r="C30" s="2" t="inlineStr">
        <is>
          <t>Bloomberg Barclays Global Treasury Ex-USD</t>
        </is>
      </c>
      <c r="D30" s="12" t="n">
        <v>0.0021</v>
      </c>
      <c r="E30" s="12" t="n">
        <v>0.0791</v>
      </c>
      <c r="F30" s="2" t="n">
        <v>0.16</v>
      </c>
      <c r="G30" s="2" t="n">
        <v>0.16</v>
      </c>
      <c r="H30" s="2" t="n">
        <v>0.16</v>
      </c>
      <c r="I30" s="2" t="n">
        <v>0.11</v>
      </c>
      <c r="J30" s="2" t="n">
        <v>0.092</v>
      </c>
      <c r="K30" s="2" t="n">
        <v>0.3</v>
      </c>
      <c r="L30" s="2" t="n">
        <v>0.32</v>
      </c>
      <c r="M30" s="2" t="n">
        <v>0.32</v>
      </c>
      <c r="N30" s="2" t="n">
        <v>0.35</v>
      </c>
      <c r="O30" s="2" t="n">
        <v>0.51</v>
      </c>
      <c r="P30" s="2" t="n">
        <v>0.42</v>
      </c>
      <c r="Q30" s="2" t="n">
        <v>0.08400000000000001</v>
      </c>
      <c r="R30" s="2" t="n">
        <v>0.46</v>
      </c>
      <c r="S30" s="2" t="n">
        <v>0.31</v>
      </c>
      <c r="T30" s="2" t="n">
        <v>0.53</v>
      </c>
      <c r="U30" s="2" t="n">
        <v>0.59</v>
      </c>
      <c r="V30" s="2" t="n">
        <v>0.48</v>
      </c>
      <c r="W30" s="2" t="n">
        <v>0.55</v>
      </c>
      <c r="X30" s="2" t="n">
        <v>0.5600000000000001</v>
      </c>
      <c r="Y30" s="2" t="n">
        <v>0.43</v>
      </c>
      <c r="Z30" s="2" t="n">
        <v>0.34</v>
      </c>
      <c r="AA30" s="2" t="n">
        <v>0.34</v>
      </c>
      <c r="AB30" s="2" t="n">
        <v>0.3</v>
      </c>
      <c r="AC30" s="2" t="n">
        <v>0.27</v>
      </c>
      <c r="AD30" s="2" t="n">
        <v>0.0095</v>
      </c>
      <c r="AE30" s="2" t="n">
        <v>1</v>
      </c>
      <c r="AF30" s="2" t="n">
        <v>1</v>
      </c>
      <c r="AG30" s="2" t="n">
        <v>0.83</v>
      </c>
      <c r="AH30" s="2" t="n">
        <v>0.38</v>
      </c>
      <c r="AI30" s="2" t="n">
        <v>0.34</v>
      </c>
      <c r="AJ30" s="2" t="n">
        <v>0.5600000000000001</v>
      </c>
      <c r="AK30" s="2" t="n">
        <v>0.15</v>
      </c>
      <c r="AL30" s="2" t="n">
        <v>0.17</v>
      </c>
      <c r="AM30" s="2" t="n">
        <v>0.16</v>
      </c>
      <c r="AN30" s="2" t="n">
        <v>0.13</v>
      </c>
      <c r="AO30" s="2" t="n">
        <v>0.25</v>
      </c>
      <c r="AP30" s="2" t="n">
        <v>0.13</v>
      </c>
      <c r="AQ30" s="2" t="n">
        <v>0.17</v>
      </c>
      <c r="AR30" s="2" t="n">
        <v>0.43</v>
      </c>
      <c r="AS30" s="2" t="n">
        <v>0.36</v>
      </c>
      <c r="AT30" s="2" t="n">
        <v>0.043</v>
      </c>
      <c r="AU30" s="2" t="n">
        <v>-0.0191</v>
      </c>
      <c r="AV30" s="2" t="n">
        <v>0.4</v>
      </c>
      <c r="AW30" s="2" t="n">
        <v>0.19</v>
      </c>
      <c r="AX30" s="2" t="n">
        <v>0.3</v>
      </c>
      <c r="AY30" s="2" t="n">
        <v>0.4</v>
      </c>
      <c r="AZ30" s="2" t="n">
        <v>0.11</v>
      </c>
      <c r="BA30" s="2" t="n">
        <v>0.048</v>
      </c>
      <c r="BB30" s="2" t="n">
        <v>0.18</v>
      </c>
    </row>
    <row r="31">
      <c r="A31" s="2" t="inlineStr">
        <is>
          <t>Fixed Income</t>
        </is>
      </c>
      <c r="B31" s="2" t="inlineStr">
        <is>
          <t>Global Corporate Ex-US</t>
        </is>
      </c>
      <c r="C31" s="2" t="inlineStr">
        <is>
          <t>Bloomberg Barclays Global Corporate Ex-USD</t>
        </is>
      </c>
      <c r="D31" s="12" t="n">
        <v>0.0147</v>
      </c>
      <c r="E31" s="12" t="n">
        <v>0.08690000000000001</v>
      </c>
      <c r="F31" s="2" t="n">
        <v>0.47</v>
      </c>
      <c r="G31" s="2" t="n">
        <v>0.49</v>
      </c>
      <c r="H31" s="2" t="n">
        <v>0.5</v>
      </c>
      <c r="I31" s="2" t="n">
        <v>0.38</v>
      </c>
      <c r="J31" s="2" t="n">
        <v>0.39</v>
      </c>
      <c r="K31" s="2" t="n">
        <v>0.6</v>
      </c>
      <c r="L31" s="2" t="n">
        <v>0.73</v>
      </c>
      <c r="M31" s="2" t="n">
        <v>0.64</v>
      </c>
      <c r="N31" s="2" t="n">
        <v>0.53</v>
      </c>
      <c r="O31" s="2" t="n">
        <v>0.35</v>
      </c>
      <c r="P31" s="2" t="n">
        <v>0.13</v>
      </c>
      <c r="Q31" s="2" t="n">
        <v>0.019</v>
      </c>
      <c r="R31" s="2" t="n">
        <v>0.17</v>
      </c>
      <c r="S31" s="2" t="n">
        <v>0</v>
      </c>
      <c r="T31" s="2" t="n">
        <v>0.53</v>
      </c>
      <c r="U31" s="2" t="n">
        <v>0.63</v>
      </c>
      <c r="V31" s="2" t="n">
        <v>0.45</v>
      </c>
      <c r="W31" s="2" t="n">
        <v>0.52</v>
      </c>
      <c r="X31" s="2" t="n">
        <v>0.34</v>
      </c>
      <c r="Y31" s="2" t="n">
        <v>0.26</v>
      </c>
      <c r="Z31" s="2" t="n">
        <v>0.44</v>
      </c>
      <c r="AA31" s="2" t="n">
        <v>0.21</v>
      </c>
      <c r="AB31" s="2" t="n">
        <v>0.2</v>
      </c>
      <c r="AC31" s="2" t="n">
        <v>0.55</v>
      </c>
      <c r="AD31" s="2" t="n">
        <v>0.38</v>
      </c>
      <c r="AE31" s="2" t="n">
        <v>0.9</v>
      </c>
      <c r="AF31" s="2" t="n">
        <v>0.83</v>
      </c>
      <c r="AG31" s="2" t="n">
        <v>1</v>
      </c>
      <c r="AH31" s="2" t="n">
        <v>0.5</v>
      </c>
      <c r="AI31" s="2" t="n">
        <v>0.5</v>
      </c>
      <c r="AJ31" s="2" t="n">
        <v>0.6</v>
      </c>
      <c r="AK31" s="2" t="n">
        <v>0.48</v>
      </c>
      <c r="AL31" s="2" t="n">
        <v>0.52</v>
      </c>
      <c r="AM31" s="2" t="n">
        <v>0.52</v>
      </c>
      <c r="AN31" s="2" t="n">
        <v>0.45</v>
      </c>
      <c r="AO31" s="2" t="n">
        <v>0.23</v>
      </c>
      <c r="AP31" s="2" t="n">
        <v>0.48</v>
      </c>
      <c r="AQ31" s="2" t="n">
        <v>0</v>
      </c>
      <c r="AR31" s="2" t="n">
        <v>0.6</v>
      </c>
      <c r="AS31" s="2" t="n">
        <v>0.5600000000000001</v>
      </c>
      <c r="AT31" s="2" t="n">
        <v>0.26</v>
      </c>
      <c r="AU31" s="2" t="n">
        <v>0.061</v>
      </c>
      <c r="AV31" s="2" t="n">
        <v>0.44</v>
      </c>
      <c r="AW31" s="2" t="n">
        <v>0.19</v>
      </c>
      <c r="AX31" s="2" t="n">
        <v>0.44</v>
      </c>
      <c r="AY31" s="2" t="n">
        <v>0.57</v>
      </c>
      <c r="AZ31" s="2" t="n">
        <v>0.4</v>
      </c>
      <c r="BA31" s="2" t="n">
        <v>0.25</v>
      </c>
      <c r="BB31" s="2" t="n">
        <v>0.35</v>
      </c>
    </row>
    <row r="32">
      <c r="A32" s="2" t="inlineStr">
        <is>
          <t>Fixed Income</t>
        </is>
      </c>
      <c r="B32" s="2" t="inlineStr">
        <is>
          <t>Emerging Markets Sovereign USD</t>
        </is>
      </c>
      <c r="C32" s="2" t="inlineStr">
        <is>
          <t>Bloomberg Barclays EM USD Sovereign</t>
        </is>
      </c>
      <c r="D32" s="12" t="n">
        <v>0.0522</v>
      </c>
      <c r="E32" s="12" t="n">
        <v>0.09828000000000001</v>
      </c>
      <c r="F32" s="2" t="n">
        <v>0.53</v>
      </c>
      <c r="G32" s="2" t="n">
        <v>0.54</v>
      </c>
      <c r="H32" s="2" t="n">
        <v>0.57</v>
      </c>
      <c r="I32" s="2" t="n">
        <v>0.45</v>
      </c>
      <c r="J32" s="2" t="n">
        <v>0.45</v>
      </c>
      <c r="K32" s="2" t="n">
        <v>0.7</v>
      </c>
      <c r="L32" s="2" t="n">
        <v>0.61</v>
      </c>
      <c r="M32" s="2" t="n">
        <v>0.61</v>
      </c>
      <c r="N32" s="2" t="n">
        <v>0.63</v>
      </c>
      <c r="O32" s="2" t="n">
        <v>0.43</v>
      </c>
      <c r="P32" s="2" t="n">
        <v>0.18</v>
      </c>
      <c r="Q32" s="2" t="n">
        <v>-0.01901</v>
      </c>
      <c r="R32" s="2" t="n">
        <v>0.16</v>
      </c>
      <c r="S32" s="2" t="n">
        <v>0.19</v>
      </c>
      <c r="T32" s="2" t="n">
        <v>0.67</v>
      </c>
      <c r="U32" s="2" t="n">
        <v>0.67</v>
      </c>
      <c r="V32" s="2" t="n">
        <v>0.6</v>
      </c>
      <c r="W32" s="2" t="n">
        <v>0.5600000000000001</v>
      </c>
      <c r="X32" s="2" t="n">
        <v>0.33</v>
      </c>
      <c r="Y32" s="2" t="n">
        <v>0.38</v>
      </c>
      <c r="Z32" s="2" t="n">
        <v>0.44</v>
      </c>
      <c r="AA32" s="2" t="n">
        <v>0.38</v>
      </c>
      <c r="AB32" s="2" t="n">
        <v>0.26</v>
      </c>
      <c r="AC32" s="2" t="n">
        <v>0.71</v>
      </c>
      <c r="AD32" s="2" t="n">
        <v>0.4</v>
      </c>
      <c r="AE32" s="2" t="n">
        <v>0.43</v>
      </c>
      <c r="AF32" s="2" t="n">
        <v>0.38</v>
      </c>
      <c r="AG32" s="2" t="n">
        <v>0.5</v>
      </c>
      <c r="AH32" s="2" t="n">
        <v>1</v>
      </c>
      <c r="AI32" s="2" t="n">
        <v>0.87</v>
      </c>
      <c r="AJ32" s="2" t="n">
        <v>0.8100000000000001</v>
      </c>
      <c r="AK32" s="2" t="n">
        <v>0.53</v>
      </c>
      <c r="AL32" s="2" t="n">
        <v>0.6</v>
      </c>
      <c r="AM32" s="2" t="n">
        <v>0.5</v>
      </c>
      <c r="AN32" s="2" t="n">
        <v>0.57</v>
      </c>
      <c r="AO32" s="2" t="n">
        <v>0.26</v>
      </c>
      <c r="AP32" s="2" t="n">
        <v>0.6</v>
      </c>
      <c r="AQ32" s="2" t="n">
        <v>0</v>
      </c>
      <c r="AR32" s="2" t="n">
        <v>0.4</v>
      </c>
      <c r="AS32" s="2" t="n">
        <v>0.59</v>
      </c>
      <c r="AT32" s="2" t="n">
        <v>0.27</v>
      </c>
      <c r="AU32" s="2" t="n">
        <v>0.032</v>
      </c>
      <c r="AV32" s="2" t="n">
        <v>0.31</v>
      </c>
      <c r="AW32" s="2" t="n">
        <v>0.049</v>
      </c>
      <c r="AX32" s="2" t="n">
        <v>0.49</v>
      </c>
      <c r="AY32" s="2" t="n">
        <v>0.68</v>
      </c>
      <c r="AZ32" s="2" t="n">
        <v>0.5</v>
      </c>
      <c r="BA32" s="2" t="n">
        <v>0.36</v>
      </c>
      <c r="BB32" s="2" t="n">
        <v>0.33</v>
      </c>
    </row>
    <row r="33">
      <c r="A33" s="2" t="inlineStr">
        <is>
          <t>Fixed Income</t>
        </is>
      </c>
      <c r="B33" s="2" t="inlineStr">
        <is>
          <t>Emerging Markets Corporate USD</t>
        </is>
      </c>
      <c r="C33" s="2" t="inlineStr">
        <is>
          <t>Bloomberg Barclays EM USD Corporate</t>
        </is>
      </c>
      <c r="D33" s="12" t="n">
        <v>0.0523</v>
      </c>
      <c r="E33" s="12" t="n">
        <v>0.1202</v>
      </c>
      <c r="F33" s="2" t="n">
        <v>0.57</v>
      </c>
      <c r="G33" s="2" t="n">
        <v>0.59</v>
      </c>
      <c r="H33" s="2" t="n">
        <v>0.63</v>
      </c>
      <c r="I33" s="2" t="n">
        <v>0.57</v>
      </c>
      <c r="J33" s="2" t="n">
        <v>0.5</v>
      </c>
      <c r="K33" s="2" t="n">
        <v>0.65</v>
      </c>
      <c r="L33" s="2" t="n">
        <v>0.5600000000000001</v>
      </c>
      <c r="M33" s="2" t="n">
        <v>0.64</v>
      </c>
      <c r="N33" s="2" t="n">
        <v>0.7</v>
      </c>
      <c r="O33" s="2" t="n">
        <v>0.36</v>
      </c>
      <c r="P33" s="2" t="n">
        <v>0.049</v>
      </c>
      <c r="Q33" s="2" t="n">
        <v>-0.0549</v>
      </c>
      <c r="R33" s="2" t="n">
        <v>0.041</v>
      </c>
      <c r="S33" s="2" t="n">
        <v>0.042</v>
      </c>
      <c r="T33" s="2" t="n">
        <v>0.58</v>
      </c>
      <c r="U33" s="2" t="n">
        <v>0.68</v>
      </c>
      <c r="V33" s="2" t="n">
        <v>0.59</v>
      </c>
      <c r="W33" s="2" t="n">
        <v>0.46</v>
      </c>
      <c r="X33" s="2" t="n">
        <v>0.26</v>
      </c>
      <c r="Y33" s="2" t="n">
        <v>0.28</v>
      </c>
      <c r="Z33" s="2" t="n">
        <v>0.4</v>
      </c>
      <c r="AA33" s="2" t="n">
        <v>0.28</v>
      </c>
      <c r="AB33" s="2" t="n">
        <v>0.22</v>
      </c>
      <c r="AC33" s="2" t="n">
        <v>0.79</v>
      </c>
      <c r="AD33" s="2" t="n">
        <v>0.49</v>
      </c>
      <c r="AE33" s="2" t="n">
        <v>0.43</v>
      </c>
      <c r="AF33" s="2" t="n">
        <v>0.34</v>
      </c>
      <c r="AG33" s="2" t="n">
        <v>0.5</v>
      </c>
      <c r="AH33" s="2" t="n">
        <v>0.87</v>
      </c>
      <c r="AI33" s="2" t="n">
        <v>1</v>
      </c>
      <c r="AJ33" s="2" t="n">
        <v>0.6899999999999999</v>
      </c>
      <c r="AK33" s="2" t="n">
        <v>0.63</v>
      </c>
      <c r="AL33" s="2" t="n">
        <v>0.7</v>
      </c>
      <c r="AM33" s="2" t="n">
        <v>0.62</v>
      </c>
      <c r="AN33" s="2" t="n">
        <v>0.59</v>
      </c>
      <c r="AO33" s="2" t="n">
        <v>0.22</v>
      </c>
      <c r="AP33" s="2" t="n">
        <v>0.6</v>
      </c>
      <c r="AQ33" s="2" t="n">
        <v>-0.06365</v>
      </c>
      <c r="AR33" s="2" t="n">
        <v>0.44</v>
      </c>
      <c r="AS33" s="2" t="n">
        <v>0.63</v>
      </c>
      <c r="AT33" s="2" t="n">
        <v>0.37</v>
      </c>
      <c r="AU33" s="2" t="n">
        <v>0.037</v>
      </c>
      <c r="AV33" s="2" t="n">
        <v>0.26</v>
      </c>
      <c r="AW33" s="2" t="n">
        <v>-0.02918</v>
      </c>
      <c r="AX33" s="2" t="n">
        <v>0.48</v>
      </c>
      <c r="AY33" s="2" t="n">
        <v>0.6899999999999999</v>
      </c>
      <c r="AZ33" s="2" t="n">
        <v>0.57</v>
      </c>
      <c r="BA33" s="2" t="n">
        <v>0.41</v>
      </c>
      <c r="BB33" s="2" t="n">
        <v>0.39</v>
      </c>
    </row>
    <row r="34">
      <c r="A34" s="2" t="inlineStr">
        <is>
          <t>Fixed Income</t>
        </is>
      </c>
      <c r="B34" s="2" t="inlineStr">
        <is>
          <t>Emerging Markets Sovereign Local Currency</t>
        </is>
      </c>
      <c r="C34" s="2" t="inlineStr">
        <is>
          <t>Bloomberg Barclays EM Local Currency Government</t>
        </is>
      </c>
      <c r="D34" s="12" t="n">
        <v>0.0535</v>
      </c>
      <c r="E34" s="12" t="n">
        <v>0.1193</v>
      </c>
      <c r="F34" s="2" t="n">
        <v>0.63</v>
      </c>
      <c r="G34" s="2" t="n">
        <v>0.58</v>
      </c>
      <c r="H34" s="2" t="n">
        <v>0.65</v>
      </c>
      <c r="I34" s="2" t="n">
        <v>0.54</v>
      </c>
      <c r="J34" s="2" t="n">
        <v>0.53</v>
      </c>
      <c r="K34" s="2" t="n">
        <v>0.7</v>
      </c>
      <c r="L34" s="2" t="n">
        <v>0.7</v>
      </c>
      <c r="M34" s="2" t="n">
        <v>0.71</v>
      </c>
      <c r="N34" s="2" t="n">
        <v>0.77</v>
      </c>
      <c r="O34" s="2" t="n">
        <v>0.36</v>
      </c>
      <c r="P34" s="2" t="n">
        <v>0.083</v>
      </c>
      <c r="Q34" s="2" t="n">
        <v>0.063</v>
      </c>
      <c r="R34" s="2" t="n">
        <v>0.11</v>
      </c>
      <c r="S34" s="2" t="n">
        <v>0.032</v>
      </c>
      <c r="T34" s="2" t="n">
        <v>0.5600000000000001</v>
      </c>
      <c r="U34" s="2" t="n">
        <v>0.55</v>
      </c>
      <c r="V34" s="2" t="n">
        <v>0.47</v>
      </c>
      <c r="W34" s="2" t="n">
        <v>0.47</v>
      </c>
      <c r="X34" s="2" t="n">
        <v>0.3</v>
      </c>
      <c r="Y34" s="2" t="n">
        <v>0.2</v>
      </c>
      <c r="Z34" s="2" t="n">
        <v>0.44</v>
      </c>
      <c r="AA34" s="2" t="n">
        <v>0.26</v>
      </c>
      <c r="AB34" s="2" t="n">
        <v>0.18</v>
      </c>
      <c r="AC34" s="2" t="n">
        <v>0.6899999999999999</v>
      </c>
      <c r="AD34" s="2" t="n">
        <v>0.36</v>
      </c>
      <c r="AE34" s="2" t="n">
        <v>0.55</v>
      </c>
      <c r="AF34" s="2" t="n">
        <v>0.5600000000000001</v>
      </c>
      <c r="AG34" s="2" t="n">
        <v>0.6</v>
      </c>
      <c r="AH34" s="2" t="n">
        <v>0.8100000000000001</v>
      </c>
      <c r="AI34" s="2" t="n">
        <v>0.6899999999999999</v>
      </c>
      <c r="AJ34" s="2" t="n">
        <v>1</v>
      </c>
      <c r="AK34" s="2" t="n">
        <v>0.52</v>
      </c>
      <c r="AL34" s="2" t="n">
        <v>0.6</v>
      </c>
      <c r="AM34" s="2" t="n">
        <v>0.65</v>
      </c>
      <c r="AN34" s="2" t="n">
        <v>0.54</v>
      </c>
      <c r="AO34" s="2" t="n">
        <v>0.3</v>
      </c>
      <c r="AP34" s="2" t="n">
        <v>0.54</v>
      </c>
      <c r="AQ34" s="2" t="n">
        <v>-0.01978</v>
      </c>
      <c r="AR34" s="2" t="n">
        <v>0.5</v>
      </c>
      <c r="AS34" s="2" t="n">
        <v>0.76</v>
      </c>
      <c r="AT34" s="2" t="n">
        <v>0.25</v>
      </c>
      <c r="AU34" s="2" t="n">
        <v>0.036</v>
      </c>
      <c r="AV34" s="2" t="n">
        <v>0.42</v>
      </c>
      <c r="AW34" s="2" t="n">
        <v>0.14</v>
      </c>
      <c r="AX34" s="2" t="n">
        <v>0.7</v>
      </c>
      <c r="AY34" s="2" t="n">
        <v>0.67</v>
      </c>
      <c r="AZ34" s="2" t="n">
        <v>0.5600000000000001</v>
      </c>
      <c r="BA34" s="2" t="n">
        <v>0.45</v>
      </c>
      <c r="BB34" s="2" t="n">
        <v>0.49</v>
      </c>
    </row>
    <row r="35">
      <c r="A35" s="2" t="inlineStr">
        <is>
          <t>Alternatives</t>
        </is>
      </c>
      <c r="B35" s="2" t="inlineStr">
        <is>
          <t>Absolute Return</t>
        </is>
      </c>
      <c r="C35" s="2" t="inlineStr">
        <is>
          <t>HFRX Global Hedge Fund</t>
        </is>
      </c>
      <c r="D35" s="12" t="n">
        <v>0.0435</v>
      </c>
      <c r="E35" s="12" t="n">
        <v>0.0511</v>
      </c>
      <c r="F35" s="2" t="n">
        <v>0.63</v>
      </c>
      <c r="G35" s="2" t="n">
        <v>0.7</v>
      </c>
      <c r="H35" s="2" t="n">
        <v>0.68</v>
      </c>
      <c r="I35" s="2" t="n">
        <v>0.63</v>
      </c>
      <c r="J35" s="2" t="n">
        <v>0.72</v>
      </c>
      <c r="K35" s="2" t="n">
        <v>0.6899999999999999</v>
      </c>
      <c r="L35" s="2" t="n">
        <v>0.7</v>
      </c>
      <c r="M35" s="2" t="n">
        <v>0.71</v>
      </c>
      <c r="N35" s="2" t="n">
        <v>0.68</v>
      </c>
      <c r="O35" s="2" t="n">
        <v>0.066</v>
      </c>
      <c r="P35" s="2" t="n">
        <v>-0.2273</v>
      </c>
      <c r="Q35" s="2" t="n">
        <v>0.13</v>
      </c>
      <c r="R35" s="2" t="n">
        <v>-0.2087</v>
      </c>
      <c r="S35" s="2" t="n">
        <v>-0.2318</v>
      </c>
      <c r="T35" s="2" t="n">
        <v>0.35</v>
      </c>
      <c r="U35" s="2" t="n">
        <v>0.39</v>
      </c>
      <c r="V35" s="2" t="n">
        <v>0.24</v>
      </c>
      <c r="W35" s="2" t="n">
        <v>0.2</v>
      </c>
      <c r="X35" s="2" t="n">
        <v>-0.009051999999999999</v>
      </c>
      <c r="Y35" s="2" t="n">
        <v>-0.03226</v>
      </c>
      <c r="Z35" s="2" t="n">
        <v>0.32</v>
      </c>
      <c r="AA35" s="2" t="n">
        <v>0.061</v>
      </c>
      <c r="AB35" s="2" t="n">
        <v>0</v>
      </c>
      <c r="AC35" s="2" t="n">
        <v>0.6</v>
      </c>
      <c r="AD35" s="2" t="n">
        <v>0.64</v>
      </c>
      <c r="AE35" s="2" t="n">
        <v>0.21</v>
      </c>
      <c r="AF35" s="2" t="n">
        <v>0.15</v>
      </c>
      <c r="AG35" s="2" t="n">
        <v>0.48</v>
      </c>
      <c r="AH35" s="2" t="n">
        <v>0.53</v>
      </c>
      <c r="AI35" s="2" t="n">
        <v>0.63</v>
      </c>
      <c r="AJ35" s="2" t="n">
        <v>0.52</v>
      </c>
      <c r="AK35" s="2" t="n">
        <v>1</v>
      </c>
      <c r="AL35" s="2" t="n">
        <v>0.82</v>
      </c>
      <c r="AM35" s="2" t="n">
        <v>0.79</v>
      </c>
      <c r="AN35" s="2" t="n">
        <v>0.89</v>
      </c>
      <c r="AO35" s="2" t="n">
        <v>0.54</v>
      </c>
      <c r="AP35" s="2" t="n">
        <v>0.89</v>
      </c>
      <c r="AQ35" s="2" t="n">
        <v>0.15</v>
      </c>
      <c r="AR35" s="2" t="n">
        <v>0.51</v>
      </c>
      <c r="AS35" s="2" t="n">
        <v>0.65</v>
      </c>
      <c r="AT35" s="2" t="n">
        <v>0.52</v>
      </c>
      <c r="AU35" s="2" t="n">
        <v>0.17</v>
      </c>
      <c r="AV35" s="2" t="n">
        <v>0.35</v>
      </c>
      <c r="AW35" s="2" t="n">
        <v>-0.03811</v>
      </c>
      <c r="AX35" s="2" t="n">
        <v>0.43</v>
      </c>
      <c r="AY35" s="2" t="n">
        <v>0.52</v>
      </c>
      <c r="AZ35" s="2" t="n">
        <v>0.7</v>
      </c>
      <c r="BA35" s="2" t="n">
        <v>0.5600000000000001</v>
      </c>
      <c r="BB35" s="2" t="n">
        <v>0.54</v>
      </c>
    </row>
    <row r="36">
      <c r="A36" s="2" t="inlineStr">
        <is>
          <t>Alternatives</t>
        </is>
      </c>
      <c r="B36" s="2" t="inlineStr">
        <is>
          <t>Hedge Funds</t>
        </is>
      </c>
      <c r="C36" s="2" t="inlineStr">
        <is>
          <t>HFRI Fund Weighted Composite</t>
        </is>
      </c>
      <c r="D36" s="12" t="n">
        <v>0.0405</v>
      </c>
      <c r="E36" s="12" t="n">
        <v>0.0622</v>
      </c>
      <c r="F36" s="2" t="n">
        <v>0.8100000000000001</v>
      </c>
      <c r="G36" s="2" t="n">
        <v>0.79</v>
      </c>
      <c r="H36" s="2" t="n">
        <v>0.93</v>
      </c>
      <c r="I36" s="2" t="n">
        <v>0.8</v>
      </c>
      <c r="J36" s="2" t="n">
        <v>0.8100000000000001</v>
      </c>
      <c r="K36" s="2" t="n">
        <v>0.95</v>
      </c>
      <c r="L36" s="2" t="n">
        <v>0.8100000000000001</v>
      </c>
      <c r="M36" s="2" t="n">
        <v>0.8100000000000001</v>
      </c>
      <c r="N36" s="2" t="n">
        <v>0.8</v>
      </c>
      <c r="O36" s="2" t="n">
        <v>0</v>
      </c>
      <c r="P36" s="2" t="n">
        <v>-0.2913</v>
      </c>
      <c r="Q36" s="2" t="n">
        <v>0.033</v>
      </c>
      <c r="R36" s="2" t="n">
        <v>-0.2773</v>
      </c>
      <c r="S36" s="2" t="n">
        <v>-0.3151</v>
      </c>
      <c r="T36" s="2" t="n">
        <v>0.3</v>
      </c>
      <c r="U36" s="2" t="n">
        <v>0.33</v>
      </c>
      <c r="V36" s="2" t="n">
        <v>0.23</v>
      </c>
      <c r="W36" s="2" t="n">
        <v>0.17</v>
      </c>
      <c r="X36" s="2" t="n">
        <v>-0.06952999999999999</v>
      </c>
      <c r="Y36" s="2" t="n">
        <v>-0.07922</v>
      </c>
      <c r="Z36" s="2" t="n">
        <v>0.32</v>
      </c>
      <c r="AA36" s="2" t="n">
        <v>0.018</v>
      </c>
      <c r="AB36" s="2" t="n">
        <v>-0.04372</v>
      </c>
      <c r="AC36" s="2" t="n">
        <v>0.72</v>
      </c>
      <c r="AD36" s="2" t="n">
        <v>0.6</v>
      </c>
      <c r="AE36" s="2" t="n">
        <v>0.28</v>
      </c>
      <c r="AF36" s="2" t="n">
        <v>0.17</v>
      </c>
      <c r="AG36" s="2" t="n">
        <v>0.52</v>
      </c>
      <c r="AH36" s="2" t="n">
        <v>0.6</v>
      </c>
      <c r="AI36" s="2" t="n">
        <v>0.7</v>
      </c>
      <c r="AJ36" s="2" t="n">
        <v>0.6</v>
      </c>
      <c r="AK36" s="2" t="n">
        <v>0.82</v>
      </c>
      <c r="AL36" s="2" t="n">
        <v>1</v>
      </c>
      <c r="AM36" s="2" t="n">
        <v>0.99</v>
      </c>
      <c r="AN36" s="2" t="n">
        <v>0.88</v>
      </c>
      <c r="AO36" s="2" t="n">
        <v>0.55</v>
      </c>
      <c r="AP36" s="2" t="n">
        <v>0.76</v>
      </c>
      <c r="AQ36" s="2" t="n">
        <v>0.07099999999999999</v>
      </c>
      <c r="AR36" s="2" t="n">
        <v>0.58</v>
      </c>
      <c r="AS36" s="2" t="n">
        <v>0.73</v>
      </c>
      <c r="AT36" s="2" t="n">
        <v>0.46</v>
      </c>
      <c r="AU36" s="2" t="n">
        <v>0.1</v>
      </c>
      <c r="AV36" s="2" t="n">
        <v>0.34</v>
      </c>
      <c r="AW36" s="2" t="n">
        <v>0.08400000000000001</v>
      </c>
      <c r="AX36" s="2" t="n">
        <v>0.5</v>
      </c>
      <c r="AY36" s="2" t="n">
        <v>0.74</v>
      </c>
      <c r="AZ36" s="2" t="n">
        <v>0.85</v>
      </c>
      <c r="BA36" s="2" t="n">
        <v>0.67</v>
      </c>
      <c r="BB36" s="2" t="n">
        <v>0.55</v>
      </c>
    </row>
    <row r="37">
      <c r="A37" s="2" t="inlineStr">
        <is>
          <t>Alternatives</t>
        </is>
      </c>
      <c r="B37" s="2" t="inlineStr">
        <is>
          <t>Hedge Funds – Equity Hedge</t>
        </is>
      </c>
      <c r="C37" s="2" t="inlineStr">
        <is>
          <t>HFRI Equity Hedge</t>
        </is>
      </c>
      <c r="D37" s="12" t="n">
        <v>0.0523</v>
      </c>
      <c r="E37" s="12" t="n">
        <v>0.0861</v>
      </c>
      <c r="F37" s="2" t="n">
        <v>0.85</v>
      </c>
      <c r="G37" s="2" t="n">
        <v>0.89</v>
      </c>
      <c r="H37" s="2" t="n">
        <v>0.95</v>
      </c>
      <c r="I37" s="2" t="n">
        <v>0.86</v>
      </c>
      <c r="J37" s="2" t="n">
        <v>0.93</v>
      </c>
      <c r="K37" s="2" t="n">
        <v>0.83</v>
      </c>
      <c r="L37" s="2" t="n">
        <v>0.93</v>
      </c>
      <c r="M37" s="2" t="n">
        <v>0.9399999999999999</v>
      </c>
      <c r="N37" s="2" t="n">
        <v>0.82</v>
      </c>
      <c r="O37" s="2" t="n">
        <v>-0.05475</v>
      </c>
      <c r="P37" s="2" t="n">
        <v>-0.3334</v>
      </c>
      <c r="Q37" s="2" t="n">
        <v>0.031</v>
      </c>
      <c r="R37" s="2" t="n">
        <v>-0.3247</v>
      </c>
      <c r="S37" s="2" t="n">
        <v>-0.371</v>
      </c>
      <c r="T37" s="2" t="n">
        <v>0.26</v>
      </c>
      <c r="U37" s="2" t="n">
        <v>0.33</v>
      </c>
      <c r="V37" s="2" t="n">
        <v>0.2</v>
      </c>
      <c r="W37" s="2" t="n">
        <v>0.11</v>
      </c>
      <c r="X37" s="2" t="n">
        <v>-0.09908</v>
      </c>
      <c r="Y37" s="2" t="n">
        <v>-0.1236</v>
      </c>
      <c r="Z37" s="2" t="n">
        <v>0.34</v>
      </c>
      <c r="AA37" s="2" t="n">
        <v>-0.02899</v>
      </c>
      <c r="AB37" s="2" t="n">
        <v>-0.07931000000000001</v>
      </c>
      <c r="AC37" s="2" t="n">
        <v>0.8</v>
      </c>
      <c r="AD37" s="2" t="n">
        <v>0.6</v>
      </c>
      <c r="AE37" s="2" t="n">
        <v>0.27</v>
      </c>
      <c r="AF37" s="2" t="n">
        <v>0.16</v>
      </c>
      <c r="AG37" s="2" t="n">
        <v>0.52</v>
      </c>
      <c r="AH37" s="2" t="n">
        <v>0.5</v>
      </c>
      <c r="AI37" s="2" t="n">
        <v>0.62</v>
      </c>
      <c r="AJ37" s="2" t="n">
        <v>0.65</v>
      </c>
      <c r="AK37" s="2" t="n">
        <v>0.79</v>
      </c>
      <c r="AL37" s="2" t="n">
        <v>0.99</v>
      </c>
      <c r="AM37" s="2" t="n">
        <v>1</v>
      </c>
      <c r="AN37" s="2" t="n">
        <v>0.98</v>
      </c>
      <c r="AO37" s="2" t="n">
        <v>0.44</v>
      </c>
      <c r="AP37" s="2" t="n">
        <v>0.79</v>
      </c>
      <c r="AQ37" s="2" t="n">
        <v>-0.04005</v>
      </c>
      <c r="AR37" s="2" t="n">
        <v>0.58</v>
      </c>
      <c r="AS37" s="2" t="n">
        <v>0.9</v>
      </c>
      <c r="AT37" s="2" t="n">
        <v>0.45</v>
      </c>
      <c r="AU37" s="2" t="n">
        <v>0.13</v>
      </c>
      <c r="AV37" s="2" t="n">
        <v>0.36</v>
      </c>
      <c r="AW37" s="2" t="n">
        <v>0.14</v>
      </c>
      <c r="AX37" s="2" t="n">
        <v>0.55</v>
      </c>
      <c r="AY37" s="2" t="n">
        <v>0.72</v>
      </c>
      <c r="AZ37" s="2" t="n">
        <v>0.8100000000000001</v>
      </c>
      <c r="BA37" s="2" t="n">
        <v>0.7</v>
      </c>
      <c r="BB37" s="2" t="n">
        <v>0.5</v>
      </c>
    </row>
    <row r="38">
      <c r="A38" s="2" t="inlineStr">
        <is>
          <t>Alternatives</t>
        </is>
      </c>
      <c r="B38" s="2" t="inlineStr">
        <is>
          <t>Hedge Funds – Event Driven</t>
        </is>
      </c>
      <c r="C38" s="2" t="inlineStr">
        <is>
          <t>HFRI Event Driven</t>
        </is>
      </c>
      <c r="D38" s="12" t="n">
        <v>0.0425</v>
      </c>
      <c r="E38" s="12" t="n">
        <v>0.0624</v>
      </c>
      <c r="F38" s="2" t="n">
        <v>0.72</v>
      </c>
      <c r="G38" s="2" t="n">
        <v>0.75</v>
      </c>
      <c r="H38" s="2" t="n">
        <v>0.9</v>
      </c>
      <c r="I38" s="2" t="n">
        <v>0.71</v>
      </c>
      <c r="J38" s="2" t="n">
        <v>0.89</v>
      </c>
      <c r="K38" s="2" t="n">
        <v>0.78</v>
      </c>
      <c r="L38" s="2" t="n">
        <v>0.76</v>
      </c>
      <c r="M38" s="2" t="n">
        <v>0.84</v>
      </c>
      <c r="N38" s="2" t="n">
        <v>0.74</v>
      </c>
      <c r="O38" s="2" t="n">
        <v>-0.06156</v>
      </c>
      <c r="P38" s="2" t="n">
        <v>-0.3704</v>
      </c>
      <c r="Q38" s="2" t="n">
        <v>0.019</v>
      </c>
      <c r="R38" s="2" t="n">
        <v>-0.3322</v>
      </c>
      <c r="S38" s="2" t="n">
        <v>-0.404</v>
      </c>
      <c r="T38" s="2" t="n">
        <v>0.25</v>
      </c>
      <c r="U38" s="2" t="n">
        <v>0.29</v>
      </c>
      <c r="V38" s="2" t="n">
        <v>0.2</v>
      </c>
      <c r="W38" s="2" t="n">
        <v>0.1</v>
      </c>
      <c r="X38" s="2" t="n">
        <v>-0.1323</v>
      </c>
      <c r="Y38" s="2" t="n">
        <v>-0.1397</v>
      </c>
      <c r="Z38" s="2" t="n">
        <v>0.32</v>
      </c>
      <c r="AA38" s="2" t="n">
        <v>-0.02092</v>
      </c>
      <c r="AB38" s="2" t="n">
        <v>-0.06952</v>
      </c>
      <c r="AC38" s="2" t="n">
        <v>0.73</v>
      </c>
      <c r="AD38" s="2" t="n">
        <v>0.72</v>
      </c>
      <c r="AE38" s="2" t="n">
        <v>0.25</v>
      </c>
      <c r="AF38" s="2" t="n">
        <v>0.13</v>
      </c>
      <c r="AG38" s="2" t="n">
        <v>0.45</v>
      </c>
      <c r="AH38" s="2" t="n">
        <v>0.57</v>
      </c>
      <c r="AI38" s="2" t="n">
        <v>0.59</v>
      </c>
      <c r="AJ38" s="2" t="n">
        <v>0.54</v>
      </c>
      <c r="AK38" s="2" t="n">
        <v>0.89</v>
      </c>
      <c r="AL38" s="2" t="n">
        <v>0.88</v>
      </c>
      <c r="AM38" s="2" t="n">
        <v>0.98</v>
      </c>
      <c r="AN38" s="2" t="n">
        <v>1</v>
      </c>
      <c r="AO38" s="2" t="n">
        <v>0.37</v>
      </c>
      <c r="AP38" s="2" t="n">
        <v>0.8</v>
      </c>
      <c r="AQ38" s="2" t="n">
        <v>-0.08548</v>
      </c>
      <c r="AR38" s="2" t="n">
        <v>0.49</v>
      </c>
      <c r="AS38" s="2" t="n">
        <v>0.8</v>
      </c>
      <c r="AT38" s="2" t="n">
        <v>0.54</v>
      </c>
      <c r="AU38" s="2" t="n">
        <v>0.18</v>
      </c>
      <c r="AV38" s="2" t="n">
        <v>0.35</v>
      </c>
      <c r="AW38" s="2" t="n">
        <v>0.055</v>
      </c>
      <c r="AX38" s="2" t="n">
        <v>0.44</v>
      </c>
      <c r="AY38" s="2" t="n">
        <v>0.63</v>
      </c>
      <c r="AZ38" s="2" t="n">
        <v>0.78</v>
      </c>
      <c r="BA38" s="2" t="n">
        <v>0.55</v>
      </c>
      <c r="BB38" s="2" t="n">
        <v>0.6</v>
      </c>
    </row>
    <row r="39">
      <c r="A39" s="2" t="inlineStr">
        <is>
          <t>Alternatives</t>
        </is>
      </c>
      <c r="B39" s="2" t="inlineStr">
        <is>
          <t>Hedge Funds – Macro</t>
        </is>
      </c>
      <c r="C39" s="2" t="inlineStr">
        <is>
          <t>HFRI Macro</t>
        </is>
      </c>
      <c r="D39" s="12" t="n">
        <v>0.0348</v>
      </c>
      <c r="E39" s="12" t="n">
        <v>0.0503</v>
      </c>
      <c r="F39" s="2" t="n">
        <v>0.22</v>
      </c>
      <c r="G39" s="2" t="n">
        <v>0.21</v>
      </c>
      <c r="H39" s="2" t="n">
        <v>0.27</v>
      </c>
      <c r="I39" s="2" t="n">
        <v>0.22</v>
      </c>
      <c r="J39" s="2" t="n">
        <v>0.25</v>
      </c>
      <c r="K39" s="2" t="n">
        <v>0.3</v>
      </c>
      <c r="L39" s="2" t="n">
        <v>0.3</v>
      </c>
      <c r="M39" s="2" t="n">
        <v>0.3</v>
      </c>
      <c r="N39" s="2" t="n">
        <v>0.32</v>
      </c>
      <c r="O39" s="2" t="n">
        <v>0.25</v>
      </c>
      <c r="P39" s="2" t="n">
        <v>0.19</v>
      </c>
      <c r="Q39" s="2" t="n">
        <v>0.2</v>
      </c>
      <c r="R39" s="2" t="n">
        <v>0.19</v>
      </c>
      <c r="S39" s="2" t="n">
        <v>0.15</v>
      </c>
      <c r="T39" s="2" t="n">
        <v>0.31</v>
      </c>
      <c r="U39" s="2" t="n">
        <v>0.27</v>
      </c>
      <c r="V39" s="2" t="n">
        <v>0.25</v>
      </c>
      <c r="W39" s="2" t="n">
        <v>0.28</v>
      </c>
      <c r="X39" s="2" t="n">
        <v>0.24</v>
      </c>
      <c r="Y39" s="2" t="n">
        <v>0.19</v>
      </c>
      <c r="Z39" s="2" t="n">
        <v>0.11</v>
      </c>
      <c r="AA39" s="2" t="n">
        <v>0.15</v>
      </c>
      <c r="AB39" s="2" t="n">
        <v>0.16</v>
      </c>
      <c r="AC39" s="2" t="n">
        <v>0.14</v>
      </c>
      <c r="AD39" s="2" t="n">
        <v>0.038</v>
      </c>
      <c r="AE39" s="2" t="n">
        <v>0.25</v>
      </c>
      <c r="AF39" s="2" t="n">
        <v>0.25</v>
      </c>
      <c r="AG39" s="2" t="n">
        <v>0.23</v>
      </c>
      <c r="AH39" s="2" t="n">
        <v>0.26</v>
      </c>
      <c r="AI39" s="2" t="n">
        <v>0.22</v>
      </c>
      <c r="AJ39" s="2" t="n">
        <v>0.3</v>
      </c>
      <c r="AK39" s="2" t="n">
        <v>0.54</v>
      </c>
      <c r="AL39" s="2" t="n">
        <v>0.55</v>
      </c>
      <c r="AM39" s="2" t="n">
        <v>0.44</v>
      </c>
      <c r="AN39" s="2" t="n">
        <v>0.37</v>
      </c>
      <c r="AO39" s="2" t="n">
        <v>1</v>
      </c>
      <c r="AP39" s="2" t="n">
        <v>0.27</v>
      </c>
      <c r="AQ39" s="2" t="n">
        <v>0.75</v>
      </c>
      <c r="AR39" s="2" t="n">
        <v>0.31</v>
      </c>
      <c r="AS39" s="2" t="n">
        <v>0.4</v>
      </c>
      <c r="AT39" s="2" t="n">
        <v>-0.01081</v>
      </c>
      <c r="AU39" s="2" t="n">
        <v>-0.107</v>
      </c>
      <c r="AV39" s="2" t="n">
        <v>0.22</v>
      </c>
      <c r="AW39" s="2" t="n">
        <v>-0.04914</v>
      </c>
      <c r="AX39" s="2" t="n">
        <v>0.17</v>
      </c>
      <c r="AY39" s="2" t="n">
        <v>0.27</v>
      </c>
      <c r="AZ39" s="2" t="n">
        <v>0.25</v>
      </c>
      <c r="BA39" s="2" t="n">
        <v>0.25</v>
      </c>
      <c r="BB39" s="2" t="n">
        <v>0.2</v>
      </c>
    </row>
    <row r="40">
      <c r="A40" s="2" t="inlineStr">
        <is>
          <t>Alternatives</t>
        </is>
      </c>
      <c r="B40" s="2" t="inlineStr">
        <is>
          <t>Hedge Funds – Relative Value</t>
        </is>
      </c>
      <c r="C40" s="2" t="inlineStr">
        <is>
          <t>HFRI Relative Value</t>
        </is>
      </c>
      <c r="D40" s="12" t="n">
        <v>0.0339</v>
      </c>
      <c r="E40" s="12" t="n">
        <v>0.0412</v>
      </c>
      <c r="F40" s="2" t="n">
        <v>0.64</v>
      </c>
      <c r="G40" s="2" t="n">
        <v>0.7</v>
      </c>
      <c r="H40" s="2" t="n">
        <v>0.8</v>
      </c>
      <c r="I40" s="2" t="n">
        <v>0.63</v>
      </c>
      <c r="J40" s="2" t="n">
        <v>0.66</v>
      </c>
      <c r="K40" s="2" t="n">
        <v>0.7</v>
      </c>
      <c r="L40" s="2" t="n">
        <v>0.68</v>
      </c>
      <c r="M40" s="2" t="n">
        <v>0.77</v>
      </c>
      <c r="N40" s="2" t="n">
        <v>0.76</v>
      </c>
      <c r="O40" s="2" t="n">
        <v>0.08400000000000001</v>
      </c>
      <c r="P40" s="2" t="n">
        <v>-0.281</v>
      </c>
      <c r="Q40" s="2" t="n">
        <v>0.009299999999999999</v>
      </c>
      <c r="R40" s="2" t="n">
        <v>-0.2576</v>
      </c>
      <c r="S40" s="2" t="n">
        <v>-0.269</v>
      </c>
      <c r="T40" s="2" t="n">
        <v>0.41</v>
      </c>
      <c r="U40" s="2" t="n">
        <v>0.52</v>
      </c>
      <c r="V40" s="2" t="n">
        <v>0.35</v>
      </c>
      <c r="W40" s="2" t="n">
        <v>0.28</v>
      </c>
      <c r="X40" s="2" t="n">
        <v>-0.0214</v>
      </c>
      <c r="Y40" s="2" t="n">
        <v>-0.01933</v>
      </c>
      <c r="Z40" s="2" t="n">
        <v>0.44</v>
      </c>
      <c r="AA40" s="2" t="n">
        <v>0.14</v>
      </c>
      <c r="AB40" s="2" t="n">
        <v>0.064</v>
      </c>
      <c r="AC40" s="2" t="n">
        <v>0.86</v>
      </c>
      <c r="AD40" s="2" t="n">
        <v>0.87</v>
      </c>
      <c r="AE40" s="2" t="n">
        <v>0.24</v>
      </c>
      <c r="AF40" s="2" t="n">
        <v>0.13</v>
      </c>
      <c r="AG40" s="2" t="n">
        <v>0.48</v>
      </c>
      <c r="AH40" s="2" t="n">
        <v>0.6</v>
      </c>
      <c r="AI40" s="2" t="n">
        <v>0.6</v>
      </c>
      <c r="AJ40" s="2" t="n">
        <v>0.54</v>
      </c>
      <c r="AK40" s="2" t="n">
        <v>0.89</v>
      </c>
      <c r="AL40" s="2" t="n">
        <v>0.76</v>
      </c>
      <c r="AM40" s="2" t="n">
        <v>0.79</v>
      </c>
      <c r="AN40" s="2" t="n">
        <v>0.8</v>
      </c>
      <c r="AO40" s="2" t="n">
        <v>0.27</v>
      </c>
      <c r="AP40" s="2" t="n">
        <v>1</v>
      </c>
      <c r="AQ40" s="2" t="n">
        <v>-0.08588999999999999</v>
      </c>
      <c r="AR40" s="2" t="n">
        <v>0.53</v>
      </c>
      <c r="AS40" s="2" t="n">
        <v>0.64</v>
      </c>
      <c r="AT40" s="2" t="n">
        <v>0.58</v>
      </c>
      <c r="AU40" s="2" t="n">
        <v>0.15</v>
      </c>
      <c r="AV40" s="2" t="n">
        <v>0.23</v>
      </c>
      <c r="AW40" s="2" t="n">
        <v>-0.1687</v>
      </c>
      <c r="AX40" s="2" t="n">
        <v>0.47</v>
      </c>
      <c r="AY40" s="2" t="n">
        <v>0.59</v>
      </c>
      <c r="AZ40" s="2" t="n">
        <v>0.72</v>
      </c>
      <c r="BA40" s="2" t="n">
        <v>0.47</v>
      </c>
      <c r="BB40" s="2" t="n">
        <v>0.6</v>
      </c>
    </row>
    <row r="41">
      <c r="A41" s="2" t="inlineStr">
        <is>
          <t>Alternatives</t>
        </is>
      </c>
      <c r="B41" s="2" t="inlineStr">
        <is>
          <t>Hedge Funds – Managed Futures</t>
        </is>
      </c>
      <c r="C41" s="2" t="inlineStr">
        <is>
          <t>SG CTA Index</t>
        </is>
      </c>
      <c r="D41" s="12" t="n">
        <v>0.0419</v>
      </c>
      <c r="E41" s="12" t="n">
        <v>0.08450000000000001</v>
      </c>
      <c r="F41" s="2" t="n">
        <v>-0.09347999999999999</v>
      </c>
      <c r="G41" s="2" t="n">
        <v>-0.08217000000000001</v>
      </c>
      <c r="H41" s="2" t="n">
        <v>-0.07699</v>
      </c>
      <c r="I41" s="2" t="n">
        <v>-0.103</v>
      </c>
      <c r="J41" s="2" t="n">
        <v>-0.105</v>
      </c>
      <c r="K41" s="2" t="n">
        <v>-0.07463</v>
      </c>
      <c r="L41" s="2" t="n">
        <v>-0.06168</v>
      </c>
      <c r="M41" s="2" t="n">
        <v>-0.06390999999999999</v>
      </c>
      <c r="N41" s="2" t="n">
        <v>-0.04135</v>
      </c>
      <c r="O41" s="2" t="n">
        <v>0.29</v>
      </c>
      <c r="P41" s="2" t="n">
        <v>0.36</v>
      </c>
      <c r="Q41" s="2" t="n">
        <v>0.062</v>
      </c>
      <c r="R41" s="2" t="n">
        <v>0.3</v>
      </c>
      <c r="S41" s="2" t="n">
        <v>0.36</v>
      </c>
      <c r="T41" s="2" t="n">
        <v>0.17</v>
      </c>
      <c r="U41" s="2" t="n">
        <v>0.15</v>
      </c>
      <c r="V41" s="2" t="n">
        <v>0.19</v>
      </c>
      <c r="W41" s="2" t="n">
        <v>0.22</v>
      </c>
      <c r="X41" s="2" t="n">
        <v>0.26</v>
      </c>
      <c r="Y41" s="2" t="n">
        <v>0.18</v>
      </c>
      <c r="Z41" s="2" t="n">
        <v>0.029</v>
      </c>
      <c r="AA41" s="2" t="n">
        <v>0.2</v>
      </c>
      <c r="AB41" s="2" t="n">
        <v>0.17</v>
      </c>
      <c r="AC41" s="2" t="n">
        <v>-0.1459</v>
      </c>
      <c r="AD41" s="2" t="n">
        <v>-0.1562</v>
      </c>
      <c r="AE41" s="2" t="n">
        <v>0.12</v>
      </c>
      <c r="AF41" s="2" t="n">
        <v>0.17</v>
      </c>
      <c r="AG41" s="2" t="n">
        <v>0</v>
      </c>
      <c r="AH41" s="2" t="n">
        <v>0</v>
      </c>
      <c r="AI41" s="2" t="n">
        <v>-0.06365</v>
      </c>
      <c r="AJ41" s="2" t="n">
        <v>-0.01978</v>
      </c>
      <c r="AK41" s="2" t="n">
        <v>0.15</v>
      </c>
      <c r="AL41" s="2" t="n">
        <v>0.07099999999999999</v>
      </c>
      <c r="AM41" s="2" t="n">
        <v>-0.04005</v>
      </c>
      <c r="AN41" s="2" t="n">
        <v>-0.08548</v>
      </c>
      <c r="AO41" s="2" t="n">
        <v>0.75</v>
      </c>
      <c r="AP41" s="2" t="n">
        <v>-0.08588999999999999</v>
      </c>
      <c r="AQ41" s="2" t="n">
        <v>1</v>
      </c>
      <c r="AR41" s="2" t="n">
        <v>-0.009339999999999999</v>
      </c>
      <c r="AS41" s="2" t="n">
        <v>-0.01911</v>
      </c>
      <c r="AT41" s="2" t="n">
        <v>-0.1496</v>
      </c>
      <c r="AU41" s="2" t="n">
        <v>-0.1077</v>
      </c>
      <c r="AV41" s="2" t="n">
        <v>-0.02739</v>
      </c>
      <c r="AW41" s="2" t="n">
        <v>-0.06321</v>
      </c>
      <c r="AX41" s="2" t="n">
        <v>0.018</v>
      </c>
      <c r="AY41" s="2" t="n">
        <v>0.011</v>
      </c>
      <c r="AZ41" s="2" t="n">
        <v>-0.07607999999999999</v>
      </c>
      <c r="BA41" s="2" t="n">
        <v>-0.05897</v>
      </c>
      <c r="BB41" s="2" t="n">
        <v>-0.07113</v>
      </c>
    </row>
    <row r="42">
      <c r="A42" s="2" t="inlineStr">
        <is>
          <t>Alternatives</t>
        </is>
      </c>
      <c r="B42" s="2" t="inlineStr">
        <is>
          <t>Commodities</t>
        </is>
      </c>
      <c r="C42" s="2" t="inlineStr">
        <is>
          <t>Dow Jones UBS Commodities</t>
        </is>
      </c>
      <c r="D42" s="12" t="n">
        <v>0.0219</v>
      </c>
      <c r="E42" s="12" t="n">
        <v>0.1785</v>
      </c>
      <c r="F42" s="2" t="n">
        <v>0.39</v>
      </c>
      <c r="G42" s="2" t="n">
        <v>0.39</v>
      </c>
      <c r="H42" s="2" t="n">
        <v>0.44</v>
      </c>
      <c r="I42" s="2" t="n">
        <v>0.37</v>
      </c>
      <c r="J42" s="2" t="n">
        <v>0.34</v>
      </c>
      <c r="K42" s="2" t="n">
        <v>0.5</v>
      </c>
      <c r="L42" s="2" t="n">
        <v>0.5</v>
      </c>
      <c r="M42" s="2" t="n">
        <v>0.5</v>
      </c>
      <c r="N42" s="2" t="n">
        <v>0.5</v>
      </c>
      <c r="O42" s="2" t="n">
        <v>0.056</v>
      </c>
      <c r="P42" s="2" t="n">
        <v>-0.1276</v>
      </c>
      <c r="Q42" s="2" t="n">
        <v>0.079</v>
      </c>
      <c r="R42" s="2" t="n">
        <v>-0.07403999999999999</v>
      </c>
      <c r="S42" s="2" t="n">
        <v>-0.2088</v>
      </c>
      <c r="T42" s="2" t="n">
        <v>0.21</v>
      </c>
      <c r="U42" s="2" t="n">
        <v>0.27</v>
      </c>
      <c r="V42" s="2" t="n">
        <v>0.14</v>
      </c>
      <c r="W42" s="2" t="n">
        <v>0.28</v>
      </c>
      <c r="X42" s="2" t="n">
        <v>0.049</v>
      </c>
      <c r="Y42" s="2" t="n">
        <v>0</v>
      </c>
      <c r="Z42" s="2" t="n">
        <v>0.23</v>
      </c>
      <c r="AA42" s="2" t="n">
        <v>-0.0365</v>
      </c>
      <c r="AB42" s="2" t="n">
        <v>-0.03119</v>
      </c>
      <c r="AC42" s="2" t="n">
        <v>0.47</v>
      </c>
      <c r="AD42" s="2" t="n">
        <v>0.39</v>
      </c>
      <c r="AE42" s="2" t="n">
        <v>0.48</v>
      </c>
      <c r="AF42" s="2" t="n">
        <v>0.43</v>
      </c>
      <c r="AG42" s="2" t="n">
        <v>0.6</v>
      </c>
      <c r="AH42" s="2" t="n">
        <v>0.4</v>
      </c>
      <c r="AI42" s="2" t="n">
        <v>0.44</v>
      </c>
      <c r="AJ42" s="2" t="n">
        <v>0.5</v>
      </c>
      <c r="AK42" s="2" t="n">
        <v>0.51</v>
      </c>
      <c r="AL42" s="2" t="n">
        <v>0.58</v>
      </c>
      <c r="AM42" s="2" t="n">
        <v>0.58</v>
      </c>
      <c r="AN42" s="2" t="n">
        <v>0.49</v>
      </c>
      <c r="AO42" s="2" t="n">
        <v>0.31</v>
      </c>
      <c r="AP42" s="2" t="n">
        <v>0.53</v>
      </c>
      <c r="AQ42" s="2" t="n">
        <v>-0.009339999999999999</v>
      </c>
      <c r="AR42" s="2" t="n">
        <v>1</v>
      </c>
      <c r="AS42" s="2" t="n">
        <v>0.63</v>
      </c>
      <c r="AT42" s="2" t="n">
        <v>0.39</v>
      </c>
      <c r="AU42" s="2" t="n">
        <v>0.1</v>
      </c>
      <c r="AV42" s="2" t="n">
        <v>0.46</v>
      </c>
      <c r="AW42" s="2" t="n">
        <v>0.011</v>
      </c>
      <c r="AX42" s="2" t="n">
        <v>0.27</v>
      </c>
      <c r="AY42" s="2" t="n">
        <v>0.4</v>
      </c>
      <c r="AZ42" s="2" t="n">
        <v>0.42</v>
      </c>
      <c r="BA42" s="2" t="n">
        <v>0.2</v>
      </c>
      <c r="BB42" s="2" t="n">
        <v>0.45</v>
      </c>
    </row>
    <row r="43">
      <c r="A43" s="2" t="inlineStr">
        <is>
          <t>Alternatives</t>
        </is>
      </c>
      <c r="B43" s="2" t="inlineStr">
        <is>
          <t>Global Natural Resources Equity</t>
        </is>
      </c>
      <c r="C43" s="2" t="inlineStr">
        <is>
          <t>S&amp;P Global Natural Resources Index</t>
        </is>
      </c>
      <c r="D43" s="12" t="n">
        <v>0.0689</v>
      </c>
      <c r="E43" s="12" t="n">
        <v>0.2296</v>
      </c>
      <c r="F43" s="2" t="n">
        <v>0.66</v>
      </c>
      <c r="G43" s="2" t="n">
        <v>0.7</v>
      </c>
      <c r="H43" s="2" t="n">
        <v>0.68</v>
      </c>
      <c r="I43" s="2" t="n">
        <v>0.59</v>
      </c>
      <c r="J43" s="2" t="n">
        <v>0.57</v>
      </c>
      <c r="K43" s="2" t="n">
        <v>0.86</v>
      </c>
      <c r="L43" s="2" t="n">
        <v>0.84</v>
      </c>
      <c r="M43" s="2" t="n">
        <v>0.83</v>
      </c>
      <c r="N43" s="2" t="n">
        <v>0.8</v>
      </c>
      <c r="O43" s="2" t="n">
        <v>-0.01083</v>
      </c>
      <c r="P43" s="2" t="n">
        <v>-0.2687</v>
      </c>
      <c r="Q43" s="2" t="n">
        <v>0</v>
      </c>
      <c r="R43" s="2" t="n">
        <v>-0.2278</v>
      </c>
      <c r="S43" s="2" t="n">
        <v>-0.308</v>
      </c>
      <c r="T43" s="2" t="n">
        <v>0.27</v>
      </c>
      <c r="U43" s="2" t="n">
        <v>0.26</v>
      </c>
      <c r="V43" s="2" t="n">
        <v>0.22</v>
      </c>
      <c r="W43" s="2" t="n">
        <v>0.22</v>
      </c>
      <c r="X43" s="2" t="n">
        <v>-0.04068</v>
      </c>
      <c r="Y43" s="2" t="n">
        <v>-0.07550999999999999</v>
      </c>
      <c r="Z43" s="2" t="n">
        <v>0.22</v>
      </c>
      <c r="AA43" s="2" t="n">
        <v>-0.04153</v>
      </c>
      <c r="AB43" s="2" t="n">
        <v>-0.04063</v>
      </c>
      <c r="AC43" s="2" t="n">
        <v>0.57</v>
      </c>
      <c r="AD43" s="2" t="n">
        <v>0.42</v>
      </c>
      <c r="AE43" s="2" t="n">
        <v>0.45</v>
      </c>
      <c r="AF43" s="2" t="n">
        <v>0.36</v>
      </c>
      <c r="AG43" s="2" t="n">
        <v>0.5600000000000001</v>
      </c>
      <c r="AH43" s="2" t="n">
        <v>0.59</v>
      </c>
      <c r="AI43" s="2" t="n">
        <v>0.63</v>
      </c>
      <c r="AJ43" s="2" t="n">
        <v>0.76</v>
      </c>
      <c r="AK43" s="2" t="n">
        <v>0.65</v>
      </c>
      <c r="AL43" s="2" t="n">
        <v>0.73</v>
      </c>
      <c r="AM43" s="2" t="n">
        <v>0.9</v>
      </c>
      <c r="AN43" s="2" t="n">
        <v>0.8</v>
      </c>
      <c r="AO43" s="2" t="n">
        <v>0.4</v>
      </c>
      <c r="AP43" s="2" t="n">
        <v>0.64</v>
      </c>
      <c r="AQ43" s="2" t="n">
        <v>-0.01911</v>
      </c>
      <c r="AR43" s="2" t="n">
        <v>0.63</v>
      </c>
      <c r="AS43" s="2" t="n">
        <v>1</v>
      </c>
      <c r="AT43" s="2" t="n">
        <v>0.3</v>
      </c>
      <c r="AU43" s="2" t="n">
        <v>0.021</v>
      </c>
      <c r="AV43" s="2" t="n">
        <v>0.4</v>
      </c>
      <c r="AW43" s="2" t="n">
        <v>0.19</v>
      </c>
      <c r="AX43" s="2" t="n">
        <v>0.4</v>
      </c>
      <c r="AY43" s="2" t="n">
        <v>0.57</v>
      </c>
      <c r="AZ43" s="2" t="n">
        <v>0.63</v>
      </c>
      <c r="BA43" s="2" t="n">
        <v>0.5600000000000001</v>
      </c>
      <c r="BB43" s="2" t="n">
        <v>0.5600000000000001</v>
      </c>
    </row>
    <row r="44">
      <c r="A44" s="2" t="inlineStr">
        <is>
          <t>Alternatives</t>
        </is>
      </c>
      <c r="B44" s="2" t="inlineStr">
        <is>
          <t>U.S. Core Real Estate</t>
        </is>
      </c>
      <c r="C44" s="2" t="inlineStr">
        <is>
          <t>NCREIF Property Index</t>
        </is>
      </c>
      <c r="D44" s="12" t="n">
        <v>0.0424</v>
      </c>
      <c r="E44" s="12" t="n">
        <v>0.0513</v>
      </c>
      <c r="F44" s="2" t="n">
        <v>0.46</v>
      </c>
      <c r="G44" s="2" t="n">
        <v>0.48</v>
      </c>
      <c r="H44" s="2" t="n">
        <v>0.5</v>
      </c>
      <c r="I44" s="2" t="n">
        <v>0.44</v>
      </c>
      <c r="J44" s="2" t="n">
        <v>0.44</v>
      </c>
      <c r="K44" s="2" t="n">
        <v>0.43</v>
      </c>
      <c r="L44" s="2" t="n">
        <v>0.45</v>
      </c>
      <c r="M44" s="2" t="n">
        <v>0.44</v>
      </c>
      <c r="N44" s="2" t="n">
        <v>0.34</v>
      </c>
      <c r="O44" s="2" t="n">
        <v>-0.03922</v>
      </c>
      <c r="P44" s="2" t="n">
        <v>-0.1747</v>
      </c>
      <c r="Q44" s="2" t="n">
        <v>-0.01945</v>
      </c>
      <c r="R44" s="2" t="n">
        <v>-0.1789</v>
      </c>
      <c r="S44" s="2" t="n">
        <v>-0.2281</v>
      </c>
      <c r="T44" s="2" t="n">
        <v>0.049</v>
      </c>
      <c r="U44" s="2" t="n">
        <v>0.09</v>
      </c>
      <c r="V44" s="2" t="n">
        <v>-0.01022</v>
      </c>
      <c r="W44" s="2" t="n">
        <v>0.2</v>
      </c>
      <c r="X44" s="2" t="n">
        <v>-0.09950000000000001</v>
      </c>
      <c r="Y44" s="2" t="n">
        <v>-0.08411</v>
      </c>
      <c r="Z44" s="2" t="n">
        <v>0.45</v>
      </c>
      <c r="AA44" s="2" t="n">
        <v>0.009299999999999999</v>
      </c>
      <c r="AB44" s="2" t="n">
        <v>-0.07985</v>
      </c>
      <c r="AC44" s="2" t="n">
        <v>0.5</v>
      </c>
      <c r="AD44" s="2" t="n">
        <v>0.73</v>
      </c>
      <c r="AE44" s="2" t="n">
        <v>0.12</v>
      </c>
      <c r="AF44" s="2" t="n">
        <v>0.043</v>
      </c>
      <c r="AG44" s="2" t="n">
        <v>0.26</v>
      </c>
      <c r="AH44" s="2" t="n">
        <v>0.27</v>
      </c>
      <c r="AI44" s="2" t="n">
        <v>0.37</v>
      </c>
      <c r="AJ44" s="2" t="n">
        <v>0.25</v>
      </c>
      <c r="AK44" s="2" t="n">
        <v>0.52</v>
      </c>
      <c r="AL44" s="2" t="n">
        <v>0.46</v>
      </c>
      <c r="AM44" s="2" t="n">
        <v>0.45</v>
      </c>
      <c r="AN44" s="2" t="n">
        <v>0.54</v>
      </c>
      <c r="AO44" s="2" t="n">
        <v>-0.01081</v>
      </c>
      <c r="AP44" s="2" t="n">
        <v>0.58</v>
      </c>
      <c r="AQ44" s="2" t="n">
        <v>-0.1496</v>
      </c>
      <c r="AR44" s="2" t="n">
        <v>0.39</v>
      </c>
      <c r="AS44" s="2" t="n">
        <v>0.3</v>
      </c>
      <c r="AT44" s="2" t="n">
        <v>1</v>
      </c>
      <c r="AU44" s="2" t="n">
        <v>0.2</v>
      </c>
      <c r="AV44" s="2" t="n">
        <v>0.36</v>
      </c>
      <c r="AW44" s="2" t="n">
        <v>0.11</v>
      </c>
      <c r="AX44" s="2" t="n">
        <v>0.46</v>
      </c>
      <c r="AY44" s="2" t="n">
        <v>0.46</v>
      </c>
      <c r="AZ44" s="2" t="n">
        <v>0.5</v>
      </c>
      <c r="BA44" s="2" t="n">
        <v>0.28</v>
      </c>
      <c r="BB44" s="2" t="n">
        <v>0.32</v>
      </c>
    </row>
    <row r="45">
      <c r="A45" s="2" t="inlineStr">
        <is>
          <t>Alternatives</t>
        </is>
      </c>
      <c r="B45" s="2" t="inlineStr">
        <is>
          <t>U.S. Residential Real Estate</t>
        </is>
      </c>
      <c r="C45" s="2" t="inlineStr">
        <is>
          <t>S&amp;P/Case-Shiller U.S. Home Price Index</t>
        </is>
      </c>
      <c r="D45" s="12" t="n">
        <v>0.037</v>
      </c>
      <c r="E45" s="12" t="n">
        <v>0.0319</v>
      </c>
      <c r="F45" s="2" t="n">
        <v>0.1</v>
      </c>
      <c r="G45" s="2" t="n">
        <v>0.1</v>
      </c>
      <c r="H45" s="2" t="n">
        <v>0.1</v>
      </c>
      <c r="I45" s="2" t="n">
        <v>0.08699999999999999</v>
      </c>
      <c r="J45" s="2" t="n">
        <v>0.13</v>
      </c>
      <c r="K45" s="2" t="n">
        <v>0.12</v>
      </c>
      <c r="L45" s="2" t="n">
        <v>0.12</v>
      </c>
      <c r="M45" s="2" t="n">
        <v>0.13</v>
      </c>
      <c r="N45" s="2" t="n">
        <v>0.065</v>
      </c>
      <c r="O45" s="2" t="n">
        <v>-0.08366999999999999</v>
      </c>
      <c r="P45" s="2" t="n">
        <v>-0.0958</v>
      </c>
      <c r="Q45" s="2" t="n">
        <v>-0.02751</v>
      </c>
      <c r="R45" s="2" t="n">
        <v>-0.1459</v>
      </c>
      <c r="S45" s="2" t="n">
        <v>-0.06963999999999999</v>
      </c>
      <c r="T45" s="2" t="n">
        <v>0</v>
      </c>
      <c r="U45" s="2" t="n">
        <v>-0.009351999999999999</v>
      </c>
      <c r="V45" s="2" t="n">
        <v>0</v>
      </c>
      <c r="W45" s="2" t="n">
        <v>-0.0528</v>
      </c>
      <c r="X45" s="2" t="n">
        <v>-0.109</v>
      </c>
      <c r="Y45" s="2" t="n">
        <v>-0.1437</v>
      </c>
      <c r="Z45" s="2" t="n">
        <v>0.038</v>
      </c>
      <c r="AA45" s="2" t="n">
        <v>-0.0917</v>
      </c>
      <c r="AB45" s="2" t="n">
        <v>-0.1595</v>
      </c>
      <c r="AC45" s="2" t="n">
        <v>0.07000000000000001</v>
      </c>
      <c r="AD45" s="2" t="n">
        <v>0.18</v>
      </c>
      <c r="AE45" s="2" t="n">
        <v>0</v>
      </c>
      <c r="AF45" s="2" t="n">
        <v>-0.0191</v>
      </c>
      <c r="AG45" s="2" t="n">
        <v>0.061</v>
      </c>
      <c r="AH45" s="2" t="n">
        <v>0.032</v>
      </c>
      <c r="AI45" s="2" t="n">
        <v>0.037</v>
      </c>
      <c r="AJ45" s="2" t="n">
        <v>0.036</v>
      </c>
      <c r="AK45" s="2" t="n">
        <v>0.17</v>
      </c>
      <c r="AL45" s="2" t="n">
        <v>0.1</v>
      </c>
      <c r="AM45" s="2" t="n">
        <v>0.13</v>
      </c>
      <c r="AN45" s="2" t="n">
        <v>0.18</v>
      </c>
      <c r="AO45" s="2" t="n">
        <v>-0.107</v>
      </c>
      <c r="AP45" s="2" t="n">
        <v>0.15</v>
      </c>
      <c r="AQ45" s="2" t="n">
        <v>-0.1077</v>
      </c>
      <c r="AR45" s="2" t="n">
        <v>0.1</v>
      </c>
      <c r="AS45" s="2" t="n">
        <v>0.021</v>
      </c>
      <c r="AT45" s="2" t="n">
        <v>0.2</v>
      </c>
      <c r="AU45" s="2" t="n">
        <v>1</v>
      </c>
      <c r="AV45" s="2" t="n">
        <v>0.03</v>
      </c>
      <c r="AW45" s="2" t="n">
        <v>0.02</v>
      </c>
      <c r="AX45" s="2" t="n">
        <v>0.13</v>
      </c>
      <c r="AY45" s="2" t="n">
        <v>0.17</v>
      </c>
      <c r="AZ45" s="2" t="n">
        <v>0.097</v>
      </c>
      <c r="BA45" s="2" t="n">
        <v>0.01</v>
      </c>
      <c r="BB45" s="2" t="n">
        <v>0.08500000000000001</v>
      </c>
    </row>
    <row r="46">
      <c r="A46" s="2" t="inlineStr">
        <is>
          <t>Alternatives</t>
        </is>
      </c>
      <c r="B46" s="2" t="inlineStr">
        <is>
          <t>Timberland</t>
        </is>
      </c>
      <c r="C46" s="2" t="inlineStr">
        <is>
          <t>NCREIF Total Return Timberland</t>
        </is>
      </c>
      <c r="D46" s="12" t="n">
        <v>0.044</v>
      </c>
      <c r="E46" s="12" t="n">
        <v>0.0548</v>
      </c>
      <c r="F46" s="2" t="n">
        <v>0.42</v>
      </c>
      <c r="G46" s="2" t="n">
        <v>0.38</v>
      </c>
      <c r="H46" s="2" t="n">
        <v>0.4</v>
      </c>
      <c r="I46" s="2" t="n">
        <v>0.35</v>
      </c>
      <c r="J46" s="2" t="n">
        <v>0.3</v>
      </c>
      <c r="K46" s="2" t="n">
        <v>0.47</v>
      </c>
      <c r="L46" s="2" t="n">
        <v>0.5</v>
      </c>
      <c r="M46" s="2" t="n">
        <v>0.44</v>
      </c>
      <c r="N46" s="2" t="n">
        <v>0.28</v>
      </c>
      <c r="O46" s="2" t="n">
        <v>0.13</v>
      </c>
      <c r="P46" s="2" t="n">
        <v>0.13</v>
      </c>
      <c r="Q46" s="2" t="n">
        <v>0.3</v>
      </c>
      <c r="R46" s="2" t="n">
        <v>0.17</v>
      </c>
      <c r="S46" s="2" t="n">
        <v>-0.009967</v>
      </c>
      <c r="T46" s="2" t="n">
        <v>0.09</v>
      </c>
      <c r="U46" s="2" t="n">
        <v>0.13</v>
      </c>
      <c r="V46" s="2" t="n">
        <v>0.064</v>
      </c>
      <c r="W46" s="2" t="n">
        <v>0.23</v>
      </c>
      <c r="X46" s="2" t="n">
        <v>0.23</v>
      </c>
      <c r="Y46" s="2" t="n">
        <v>0.09</v>
      </c>
      <c r="Z46" s="2" t="n">
        <v>0.29</v>
      </c>
      <c r="AA46" s="2" t="n">
        <v>-0.0219</v>
      </c>
      <c r="AB46" s="2" t="n">
        <v>0.055</v>
      </c>
      <c r="AC46" s="2" t="n">
        <v>0.29</v>
      </c>
      <c r="AD46" s="2" t="n">
        <v>0.049</v>
      </c>
      <c r="AE46" s="2" t="n">
        <v>0.43</v>
      </c>
      <c r="AF46" s="2" t="n">
        <v>0.4</v>
      </c>
      <c r="AG46" s="2" t="n">
        <v>0.44</v>
      </c>
      <c r="AH46" s="2" t="n">
        <v>0.31</v>
      </c>
      <c r="AI46" s="2" t="n">
        <v>0.26</v>
      </c>
      <c r="AJ46" s="2" t="n">
        <v>0.42</v>
      </c>
      <c r="AK46" s="2" t="n">
        <v>0.35</v>
      </c>
      <c r="AL46" s="2" t="n">
        <v>0.34</v>
      </c>
      <c r="AM46" s="2" t="n">
        <v>0.36</v>
      </c>
      <c r="AN46" s="2" t="n">
        <v>0.35</v>
      </c>
      <c r="AO46" s="2" t="n">
        <v>0.22</v>
      </c>
      <c r="AP46" s="2" t="n">
        <v>0.23</v>
      </c>
      <c r="AQ46" s="2" t="n">
        <v>-0.02739</v>
      </c>
      <c r="AR46" s="2" t="n">
        <v>0.46</v>
      </c>
      <c r="AS46" s="2" t="n">
        <v>0.4</v>
      </c>
      <c r="AT46" s="2" t="n">
        <v>0.36</v>
      </c>
      <c r="AU46" s="2" t="n">
        <v>0.03</v>
      </c>
      <c r="AV46" s="2" t="n">
        <v>1</v>
      </c>
      <c r="AW46" s="2" t="n">
        <v>0.43</v>
      </c>
      <c r="AX46" s="2" t="n">
        <v>0.29</v>
      </c>
      <c r="AY46" s="2" t="n">
        <v>0.36</v>
      </c>
      <c r="AZ46" s="2" t="n">
        <v>0.38</v>
      </c>
      <c r="BA46" s="2" t="n">
        <v>0.22</v>
      </c>
      <c r="BB46" s="2" t="n">
        <v>0.25</v>
      </c>
    </row>
    <row r="47">
      <c r="A47" s="2" t="inlineStr">
        <is>
          <t>Alternatives</t>
        </is>
      </c>
      <c r="B47" s="2" t="inlineStr">
        <is>
          <t>Farmland</t>
        </is>
      </c>
      <c r="C47" s="2" t="inlineStr">
        <is>
          <t>NCREIF Total Return Farmland</t>
        </is>
      </c>
      <c r="D47" s="12" t="n">
        <v>0.0508</v>
      </c>
      <c r="E47" s="12" t="n">
        <v>0.07480000000000001</v>
      </c>
      <c r="F47" s="2" t="n">
        <v>0.35</v>
      </c>
      <c r="G47" s="2" t="n">
        <v>0.31</v>
      </c>
      <c r="H47" s="2" t="n">
        <v>0.25</v>
      </c>
      <c r="I47" s="2" t="n">
        <v>0.31</v>
      </c>
      <c r="J47" s="2" t="n">
        <v>0.2</v>
      </c>
      <c r="K47" s="2" t="n">
        <v>0.32</v>
      </c>
      <c r="L47" s="2" t="n">
        <v>0.36</v>
      </c>
      <c r="M47" s="2" t="n">
        <v>0.26</v>
      </c>
      <c r="N47" s="2" t="n">
        <v>0.12</v>
      </c>
      <c r="O47" s="2" t="n">
        <v>-0.3712</v>
      </c>
      <c r="P47" s="2" t="n">
        <v>-0.1992</v>
      </c>
      <c r="Q47" s="2" t="n">
        <v>-0.31</v>
      </c>
      <c r="R47" s="2" t="n">
        <v>-0.1887</v>
      </c>
      <c r="S47" s="2" t="n">
        <v>-0.2084</v>
      </c>
      <c r="T47" s="2" t="n">
        <v>-0.436</v>
      </c>
      <c r="U47" s="2" t="n">
        <v>-0.363</v>
      </c>
      <c r="V47" s="2" t="n">
        <v>-0.3371</v>
      </c>
      <c r="W47" s="2" t="n">
        <v>-0.2395</v>
      </c>
      <c r="X47" s="2" t="n">
        <v>-0.2597</v>
      </c>
      <c r="Y47" s="2" t="n">
        <v>-0.2724</v>
      </c>
      <c r="Z47" s="2" t="n">
        <v>-0.1104</v>
      </c>
      <c r="AA47" s="2" t="n">
        <v>-0.3291</v>
      </c>
      <c r="AB47" s="2" t="n">
        <v>-0.3275</v>
      </c>
      <c r="AC47" s="2" t="n">
        <v>-0.128</v>
      </c>
      <c r="AD47" s="2" t="n">
        <v>-0.2556</v>
      </c>
      <c r="AE47" s="2" t="n">
        <v>0.21</v>
      </c>
      <c r="AF47" s="2" t="n">
        <v>0.19</v>
      </c>
      <c r="AG47" s="2" t="n">
        <v>0.19</v>
      </c>
      <c r="AH47" s="2" t="n">
        <v>0.049</v>
      </c>
      <c r="AI47" s="2" t="n">
        <v>-0.02918</v>
      </c>
      <c r="AJ47" s="2" t="n">
        <v>0.14</v>
      </c>
      <c r="AK47" s="2" t="n">
        <v>-0.03811</v>
      </c>
      <c r="AL47" s="2" t="n">
        <v>0.08400000000000001</v>
      </c>
      <c r="AM47" s="2" t="n">
        <v>0.14</v>
      </c>
      <c r="AN47" s="2" t="n">
        <v>0.055</v>
      </c>
      <c r="AO47" s="2" t="n">
        <v>-0.04914</v>
      </c>
      <c r="AP47" s="2" t="n">
        <v>-0.1687</v>
      </c>
      <c r="AQ47" s="2" t="n">
        <v>-0.06321</v>
      </c>
      <c r="AR47" s="2" t="n">
        <v>0.011</v>
      </c>
      <c r="AS47" s="2" t="n">
        <v>0.19</v>
      </c>
      <c r="AT47" s="2" t="n">
        <v>0.11</v>
      </c>
      <c r="AU47" s="2" t="n">
        <v>0.02</v>
      </c>
      <c r="AV47" s="2" t="n">
        <v>0.43</v>
      </c>
      <c r="AW47" s="2" t="n">
        <v>1</v>
      </c>
      <c r="AX47" s="2" t="n">
        <v>0.1</v>
      </c>
      <c r="AY47" s="2" t="n">
        <v>0.15</v>
      </c>
      <c r="AZ47" s="2" t="n">
        <v>0.26</v>
      </c>
      <c r="BA47" s="2" t="n">
        <v>0.25</v>
      </c>
      <c r="BB47" s="2" t="n">
        <v>-0.08587</v>
      </c>
    </row>
    <row r="48">
      <c r="A48" s="2" t="inlineStr">
        <is>
          <t>Alternatives</t>
        </is>
      </c>
      <c r="B48" s="2" t="inlineStr">
        <is>
          <t>U.S. REIT</t>
        </is>
      </c>
      <c r="C48" s="2" t="inlineStr">
        <is>
          <t>FTSE NAREIT Equity</t>
        </is>
      </c>
      <c r="D48" s="12" t="n">
        <v>0.06560000000000001</v>
      </c>
      <c r="E48" s="12" t="n">
        <v>0.2534</v>
      </c>
      <c r="F48" s="2" t="n">
        <v>0.6899999999999999</v>
      </c>
      <c r="G48" s="2" t="n">
        <v>0.64</v>
      </c>
      <c r="H48" s="2" t="n">
        <v>0.67</v>
      </c>
      <c r="I48" s="2" t="n">
        <v>0.64</v>
      </c>
      <c r="J48" s="2" t="n">
        <v>0.62</v>
      </c>
      <c r="K48" s="2" t="n">
        <v>0.7</v>
      </c>
      <c r="L48" s="2" t="n">
        <v>0.61</v>
      </c>
      <c r="M48" s="2" t="n">
        <v>0.58</v>
      </c>
      <c r="N48" s="2" t="n">
        <v>0.57</v>
      </c>
      <c r="O48" s="2" t="n">
        <v>0.25</v>
      </c>
      <c r="P48" s="2" t="n">
        <v>-0.0211</v>
      </c>
      <c r="Q48" s="2" t="n">
        <v>-0.05741</v>
      </c>
      <c r="R48" s="2" t="n">
        <v>-0.03858</v>
      </c>
      <c r="S48" s="2" t="n">
        <v>0.02</v>
      </c>
      <c r="T48" s="2" t="n">
        <v>0.43</v>
      </c>
      <c r="U48" s="2" t="n">
        <v>0.4</v>
      </c>
      <c r="V48" s="2" t="n">
        <v>0.42</v>
      </c>
      <c r="W48" s="2" t="n">
        <v>0.28</v>
      </c>
      <c r="X48" s="2" t="n">
        <v>0.12</v>
      </c>
      <c r="Y48" s="2" t="n">
        <v>0.09</v>
      </c>
      <c r="Z48" s="2" t="n">
        <v>0.59</v>
      </c>
      <c r="AA48" s="2" t="n">
        <v>0.2</v>
      </c>
      <c r="AB48" s="2" t="n">
        <v>0.041</v>
      </c>
      <c r="AC48" s="2" t="n">
        <v>0.67</v>
      </c>
      <c r="AD48" s="2" t="n">
        <v>0.5</v>
      </c>
      <c r="AE48" s="2" t="n">
        <v>0.36</v>
      </c>
      <c r="AF48" s="2" t="n">
        <v>0.3</v>
      </c>
      <c r="AG48" s="2" t="n">
        <v>0.44</v>
      </c>
      <c r="AH48" s="2" t="n">
        <v>0.49</v>
      </c>
      <c r="AI48" s="2" t="n">
        <v>0.48</v>
      </c>
      <c r="AJ48" s="2" t="n">
        <v>0.7</v>
      </c>
      <c r="AK48" s="2" t="n">
        <v>0.43</v>
      </c>
      <c r="AL48" s="2" t="n">
        <v>0.5</v>
      </c>
      <c r="AM48" s="2" t="n">
        <v>0.55</v>
      </c>
      <c r="AN48" s="2" t="n">
        <v>0.44</v>
      </c>
      <c r="AO48" s="2" t="n">
        <v>0.17</v>
      </c>
      <c r="AP48" s="2" t="n">
        <v>0.47</v>
      </c>
      <c r="AQ48" s="2" t="n">
        <v>0.018</v>
      </c>
      <c r="AR48" s="2" t="n">
        <v>0.27</v>
      </c>
      <c r="AS48" s="2" t="n">
        <v>0.4</v>
      </c>
      <c r="AT48" s="2" t="n">
        <v>0.46</v>
      </c>
      <c r="AU48" s="2" t="n">
        <v>0.13</v>
      </c>
      <c r="AV48" s="2" t="n">
        <v>0.29</v>
      </c>
      <c r="AW48" s="2" t="n">
        <v>0.1</v>
      </c>
      <c r="AX48" s="2" t="n">
        <v>1</v>
      </c>
      <c r="AY48" s="2" t="n">
        <v>1</v>
      </c>
      <c r="AZ48" s="2" t="n">
        <v>0.57</v>
      </c>
      <c r="BA48" s="2" t="n">
        <v>0.44</v>
      </c>
      <c r="BB48" s="2" t="n">
        <v>0.29</v>
      </c>
    </row>
    <row r="49">
      <c r="A49" s="2" t="inlineStr">
        <is>
          <t>Alternatives</t>
        </is>
      </c>
      <c r="B49" s="2" t="inlineStr">
        <is>
          <t>Global REIT</t>
        </is>
      </c>
      <c r="C49" s="2" t="inlineStr">
        <is>
          <t>FTSE EPRA/NAREIT Developed Index</t>
        </is>
      </c>
      <c r="D49" s="12" t="n">
        <v>0.0655</v>
      </c>
      <c r="E49" s="12" t="n">
        <v>0.1876</v>
      </c>
      <c r="F49" s="2" t="n">
        <v>0.73</v>
      </c>
      <c r="G49" s="2" t="n">
        <v>0.78</v>
      </c>
      <c r="H49" s="2" t="n">
        <v>0.7</v>
      </c>
      <c r="I49" s="2" t="n">
        <v>0.77</v>
      </c>
      <c r="J49" s="2" t="n">
        <v>0.65</v>
      </c>
      <c r="K49" s="2" t="n">
        <v>0.77</v>
      </c>
      <c r="L49" s="2" t="n">
        <v>0.8</v>
      </c>
      <c r="M49" s="2" t="n">
        <v>0.71</v>
      </c>
      <c r="N49" s="2" t="n">
        <v>0.7</v>
      </c>
      <c r="O49" s="2" t="n">
        <v>0.23</v>
      </c>
      <c r="P49" s="2" t="n">
        <v>-0.06510000000000001</v>
      </c>
      <c r="Q49" s="2" t="n">
        <v>-0.06362</v>
      </c>
      <c r="R49" s="2" t="n">
        <v>-0.07663</v>
      </c>
      <c r="S49" s="2" t="n">
        <v>-0.03612</v>
      </c>
      <c r="T49" s="2" t="n">
        <v>0.5</v>
      </c>
      <c r="U49" s="2" t="n">
        <v>0.46</v>
      </c>
      <c r="V49" s="2" t="n">
        <v>0.47</v>
      </c>
      <c r="W49" s="2" t="n">
        <v>0.35</v>
      </c>
      <c r="X49" s="2" t="n">
        <v>0.11</v>
      </c>
      <c r="Y49" s="2" t="n">
        <v>0.1</v>
      </c>
      <c r="Z49" s="2" t="n">
        <v>0.5600000000000001</v>
      </c>
      <c r="AA49" s="2" t="n">
        <v>0.18</v>
      </c>
      <c r="AB49" s="2" t="n">
        <v>0.037</v>
      </c>
      <c r="AC49" s="2" t="n">
        <v>0.79</v>
      </c>
      <c r="AD49" s="2" t="n">
        <v>0.54</v>
      </c>
      <c r="AE49" s="2" t="n">
        <v>0.48</v>
      </c>
      <c r="AF49" s="2" t="n">
        <v>0.4</v>
      </c>
      <c r="AG49" s="2" t="n">
        <v>0.57</v>
      </c>
      <c r="AH49" s="2" t="n">
        <v>0.68</v>
      </c>
      <c r="AI49" s="2" t="n">
        <v>0.6899999999999999</v>
      </c>
      <c r="AJ49" s="2" t="n">
        <v>0.67</v>
      </c>
      <c r="AK49" s="2" t="n">
        <v>0.52</v>
      </c>
      <c r="AL49" s="2" t="n">
        <v>0.74</v>
      </c>
      <c r="AM49" s="2" t="n">
        <v>0.72</v>
      </c>
      <c r="AN49" s="2" t="n">
        <v>0.63</v>
      </c>
      <c r="AO49" s="2" t="n">
        <v>0.27</v>
      </c>
      <c r="AP49" s="2" t="n">
        <v>0.59</v>
      </c>
      <c r="AQ49" s="2" t="n">
        <v>0.011</v>
      </c>
      <c r="AR49" s="2" t="n">
        <v>0.4</v>
      </c>
      <c r="AS49" s="2" t="n">
        <v>0.57</v>
      </c>
      <c r="AT49" s="2" t="n">
        <v>0.46</v>
      </c>
      <c r="AU49" s="2" t="n">
        <v>0.17</v>
      </c>
      <c r="AV49" s="2" t="n">
        <v>0.36</v>
      </c>
      <c r="AW49" s="2" t="n">
        <v>0.15</v>
      </c>
      <c r="AX49" s="2" t="n">
        <v>1</v>
      </c>
      <c r="AY49" s="2" t="n">
        <v>1</v>
      </c>
      <c r="AZ49" s="2" t="n">
        <v>0.67</v>
      </c>
      <c r="BA49" s="2" t="n">
        <v>0.5</v>
      </c>
      <c r="BB49" s="2" t="n">
        <v>0.41</v>
      </c>
    </row>
    <row r="50">
      <c r="A50" s="2" t="inlineStr">
        <is>
          <t>Alternatives</t>
        </is>
      </c>
      <c r="B50" s="2" t="inlineStr">
        <is>
          <t>U.S. Private Equity</t>
        </is>
      </c>
      <c r="C50" s="2" t="inlineStr">
        <is>
          <t>Cambridge Associates LLC U.S. Private Equity</t>
        </is>
      </c>
      <c r="D50" s="12" t="n">
        <v>0.074</v>
      </c>
      <c r="E50" s="12" t="n">
        <v>0.1857</v>
      </c>
      <c r="F50" s="2" t="n">
        <v>0.9399999999999999</v>
      </c>
      <c r="G50" s="2" t="n">
        <v>0.93</v>
      </c>
      <c r="H50" s="2" t="n">
        <v>0.8</v>
      </c>
      <c r="I50" s="2" t="n">
        <v>0.9</v>
      </c>
      <c r="J50" s="2" t="n">
        <v>0.84</v>
      </c>
      <c r="K50" s="2" t="n">
        <v>0.83</v>
      </c>
      <c r="L50" s="2" t="n">
        <v>0.8100000000000001</v>
      </c>
      <c r="M50" s="2" t="n">
        <v>0.83</v>
      </c>
      <c r="N50" s="2" t="n">
        <v>0.75</v>
      </c>
      <c r="O50" s="2" t="n">
        <v>-0.06594</v>
      </c>
      <c r="P50" s="2" t="n">
        <v>-0.3026</v>
      </c>
      <c r="Q50" s="2" t="n">
        <v>-0.06444</v>
      </c>
      <c r="R50" s="2" t="n">
        <v>-0.2948</v>
      </c>
      <c r="S50" s="2" t="n">
        <v>-0.3105</v>
      </c>
      <c r="T50" s="2" t="n">
        <v>0.2</v>
      </c>
      <c r="U50" s="2" t="n">
        <v>0.23</v>
      </c>
      <c r="V50" s="2" t="n">
        <v>0.17</v>
      </c>
      <c r="W50" s="2" t="n">
        <v>0.1</v>
      </c>
      <c r="X50" s="2" t="n">
        <v>-0.1619</v>
      </c>
      <c r="Y50" s="2" t="n">
        <v>-0.1211</v>
      </c>
      <c r="Z50" s="2" t="n">
        <v>0.38</v>
      </c>
      <c r="AA50" s="2" t="n">
        <v>-0.03109</v>
      </c>
      <c r="AB50" s="2" t="n">
        <v>-0.0917</v>
      </c>
      <c r="AC50" s="2" t="n">
        <v>0.65</v>
      </c>
      <c r="AD50" s="2" t="n">
        <v>0.5600000000000001</v>
      </c>
      <c r="AE50" s="2" t="n">
        <v>0.2</v>
      </c>
      <c r="AF50" s="2" t="n">
        <v>0.11</v>
      </c>
      <c r="AG50" s="2" t="n">
        <v>0.4</v>
      </c>
      <c r="AH50" s="2" t="n">
        <v>0.5</v>
      </c>
      <c r="AI50" s="2" t="n">
        <v>0.57</v>
      </c>
      <c r="AJ50" s="2" t="n">
        <v>0.5600000000000001</v>
      </c>
      <c r="AK50" s="2" t="n">
        <v>0.7</v>
      </c>
      <c r="AL50" s="2" t="n">
        <v>0.85</v>
      </c>
      <c r="AM50" s="2" t="n">
        <v>0.8100000000000001</v>
      </c>
      <c r="AN50" s="2" t="n">
        <v>0.78</v>
      </c>
      <c r="AO50" s="2" t="n">
        <v>0.25</v>
      </c>
      <c r="AP50" s="2" t="n">
        <v>0.72</v>
      </c>
      <c r="AQ50" s="2" t="n">
        <v>-0.07607999999999999</v>
      </c>
      <c r="AR50" s="2" t="n">
        <v>0.42</v>
      </c>
      <c r="AS50" s="2" t="n">
        <v>0.63</v>
      </c>
      <c r="AT50" s="2" t="n">
        <v>0.5</v>
      </c>
      <c r="AU50" s="2" t="n">
        <v>0.097</v>
      </c>
      <c r="AV50" s="2" t="n">
        <v>0.38</v>
      </c>
      <c r="AW50" s="2" t="n">
        <v>0.26</v>
      </c>
      <c r="AX50" s="2" t="n">
        <v>0.57</v>
      </c>
      <c r="AY50" s="2" t="n">
        <v>0.67</v>
      </c>
      <c r="AZ50" s="2" t="n">
        <v>1</v>
      </c>
      <c r="BA50" s="2" t="n">
        <v>0.77</v>
      </c>
      <c r="BB50" s="2" t="n">
        <v>0.51</v>
      </c>
    </row>
    <row r="51">
      <c r="A51" s="2" t="inlineStr">
        <is>
          <t>Alternatives</t>
        </is>
      </c>
      <c r="B51" s="2" t="inlineStr">
        <is>
          <t>U.S. Venture Capital</t>
        </is>
      </c>
      <c r="C51" s="2" t="inlineStr">
        <is>
          <t>Cambridge Associates LLC U.S. Venture Capital</t>
        </is>
      </c>
      <c r="D51" s="12" t="n">
        <v>0.08450000000000001</v>
      </c>
      <c r="E51" s="12" t="n">
        <v>0.255</v>
      </c>
      <c r="F51" s="2" t="n">
        <v>0.65</v>
      </c>
      <c r="G51" s="2" t="n">
        <v>0.7</v>
      </c>
      <c r="H51" s="2" t="n">
        <v>0.77</v>
      </c>
      <c r="I51" s="2" t="n">
        <v>0.6899999999999999</v>
      </c>
      <c r="J51" s="2" t="n">
        <v>0.76</v>
      </c>
      <c r="K51" s="2" t="n">
        <v>0.62</v>
      </c>
      <c r="L51" s="2" t="n">
        <v>0.65</v>
      </c>
      <c r="M51" s="2" t="n">
        <v>0.55</v>
      </c>
      <c r="N51" s="2" t="n">
        <v>0.59</v>
      </c>
      <c r="O51" s="2" t="n">
        <v>-0.09034</v>
      </c>
      <c r="P51" s="2" t="n">
        <v>-0.2711</v>
      </c>
      <c r="Q51" s="2" t="n">
        <v>-0.1315</v>
      </c>
      <c r="R51" s="2" t="n">
        <v>-0.2796</v>
      </c>
      <c r="S51" s="2" t="n">
        <v>-0.2418</v>
      </c>
      <c r="T51" s="2" t="n">
        <v>0.12</v>
      </c>
      <c r="U51" s="2" t="n">
        <v>0.11</v>
      </c>
      <c r="V51" s="2" t="n">
        <v>0.1</v>
      </c>
      <c r="W51" s="2" t="n">
        <v>0.02</v>
      </c>
      <c r="X51" s="2" t="n">
        <v>-0.1613</v>
      </c>
      <c r="Y51" s="2" t="n">
        <v>-0.1399</v>
      </c>
      <c r="Z51" s="2" t="n">
        <v>0.21</v>
      </c>
      <c r="AA51" s="2" t="n">
        <v>-0.06641</v>
      </c>
      <c r="AB51" s="2" t="n">
        <v>-0.1195</v>
      </c>
      <c r="AC51" s="2" t="n">
        <v>0.5</v>
      </c>
      <c r="AD51" s="2" t="n">
        <v>0.36</v>
      </c>
      <c r="AE51" s="2" t="n">
        <v>0.1</v>
      </c>
      <c r="AF51" s="2" t="n">
        <v>0.048</v>
      </c>
      <c r="AG51" s="2" t="n">
        <v>0.25</v>
      </c>
      <c r="AH51" s="2" t="n">
        <v>0.36</v>
      </c>
      <c r="AI51" s="2" t="n">
        <v>0.41</v>
      </c>
      <c r="AJ51" s="2" t="n">
        <v>0.45</v>
      </c>
      <c r="AK51" s="2" t="n">
        <v>0.5600000000000001</v>
      </c>
      <c r="AL51" s="2" t="n">
        <v>0.67</v>
      </c>
      <c r="AM51" s="2" t="n">
        <v>0.7</v>
      </c>
      <c r="AN51" s="2" t="n">
        <v>0.55</v>
      </c>
      <c r="AO51" s="2" t="n">
        <v>0.25</v>
      </c>
      <c r="AP51" s="2" t="n">
        <v>0.47</v>
      </c>
      <c r="AQ51" s="2" t="n">
        <v>-0.05897</v>
      </c>
      <c r="AR51" s="2" t="n">
        <v>0.2</v>
      </c>
      <c r="AS51" s="2" t="n">
        <v>0.5600000000000001</v>
      </c>
      <c r="AT51" s="2" t="n">
        <v>0.28</v>
      </c>
      <c r="AU51" s="2" t="n">
        <v>0.01</v>
      </c>
      <c r="AV51" s="2" t="n">
        <v>0.22</v>
      </c>
      <c r="AW51" s="2" t="n">
        <v>0.25</v>
      </c>
      <c r="AX51" s="2" t="n">
        <v>0.44</v>
      </c>
      <c r="AY51" s="2" t="n">
        <v>0.5</v>
      </c>
      <c r="AZ51" s="2" t="n">
        <v>0.77</v>
      </c>
      <c r="BA51" s="2" t="n">
        <v>1</v>
      </c>
      <c r="BB51" s="2" t="n">
        <v>0.29</v>
      </c>
    </row>
    <row r="52">
      <c r="A52" s="2" t="inlineStr">
        <is>
          <t>Alternatives</t>
        </is>
      </c>
      <c r="B52" s="2" t="inlineStr">
        <is>
          <t>Energy Infrastructure</t>
        </is>
      </c>
      <c r="C52" s="2" t="inlineStr">
        <is>
          <t>Alerian MLP Infrastructure</t>
        </is>
      </c>
      <c r="D52" s="12" t="n">
        <v>0.0648</v>
      </c>
      <c r="E52" s="12" t="n">
        <v>0.2017</v>
      </c>
      <c r="F52" s="2" t="n">
        <v>0.51</v>
      </c>
      <c r="G52" s="2" t="n">
        <v>0.49</v>
      </c>
      <c r="H52" s="2" t="n">
        <v>0.47</v>
      </c>
      <c r="I52" s="2" t="n">
        <v>0.47</v>
      </c>
      <c r="J52" s="2" t="n">
        <v>0.47</v>
      </c>
      <c r="K52" s="2" t="n">
        <v>0.51</v>
      </c>
      <c r="L52" s="2" t="n">
        <v>0.5</v>
      </c>
      <c r="M52" s="2" t="n">
        <v>0.5</v>
      </c>
      <c r="N52" s="2" t="n">
        <v>0.5</v>
      </c>
      <c r="O52" s="2" t="n">
        <v>0.011</v>
      </c>
      <c r="P52" s="2" t="n">
        <v>-0.2439</v>
      </c>
      <c r="Q52" s="2" t="n">
        <v>0.021</v>
      </c>
      <c r="R52" s="2" t="n">
        <v>-0.2119</v>
      </c>
      <c r="S52" s="2" t="n">
        <v>-0.266</v>
      </c>
      <c r="T52" s="2" t="n">
        <v>0.25</v>
      </c>
      <c r="U52" s="2" t="n">
        <v>0.26</v>
      </c>
      <c r="V52" s="2" t="n">
        <v>0.17</v>
      </c>
      <c r="W52" s="2" t="n">
        <v>0.13</v>
      </c>
      <c r="X52" s="2" t="n">
        <v>-0.02109</v>
      </c>
      <c r="Y52" s="2" t="n">
        <v>-0.06537</v>
      </c>
      <c r="Z52" s="2" t="n">
        <v>0.27</v>
      </c>
      <c r="AA52" s="2" t="n">
        <v>0.14</v>
      </c>
      <c r="AB52" s="2" t="n">
        <v>0.1</v>
      </c>
      <c r="AC52" s="2" t="n">
        <v>0.63</v>
      </c>
      <c r="AD52" s="2" t="n">
        <v>0.51</v>
      </c>
      <c r="AE52" s="2" t="n">
        <v>0.22</v>
      </c>
      <c r="AF52" s="2" t="n">
        <v>0.18</v>
      </c>
      <c r="AG52" s="2" t="n">
        <v>0.35</v>
      </c>
      <c r="AH52" s="2" t="n">
        <v>0.33</v>
      </c>
      <c r="AI52" s="2" t="n">
        <v>0.39</v>
      </c>
      <c r="AJ52" s="2" t="n">
        <v>0.49</v>
      </c>
      <c r="AK52" s="2" t="n">
        <v>0.54</v>
      </c>
      <c r="AL52" s="2" t="n">
        <v>0.55</v>
      </c>
      <c r="AM52" s="2" t="n">
        <v>0.5</v>
      </c>
      <c r="AN52" s="2" t="n">
        <v>0.6</v>
      </c>
      <c r="AO52" s="2" t="n">
        <v>0.2</v>
      </c>
      <c r="AP52" s="2" t="n">
        <v>0.6</v>
      </c>
      <c r="AQ52" s="2" t="n">
        <v>-0.07113</v>
      </c>
      <c r="AR52" s="2" t="n">
        <v>0.45</v>
      </c>
      <c r="AS52" s="2" t="n">
        <v>0.5600000000000001</v>
      </c>
      <c r="AT52" s="2" t="n">
        <v>0.32</v>
      </c>
      <c r="AU52" s="2" t="n">
        <v>0.08500000000000001</v>
      </c>
      <c r="AV52" s="2" t="n">
        <v>0.25</v>
      </c>
      <c r="AW52" s="2" t="n">
        <v>-0.08587</v>
      </c>
      <c r="AX52" s="2" t="n">
        <v>0.29</v>
      </c>
      <c r="AY52" s="2" t="n">
        <v>0.41</v>
      </c>
      <c r="AZ52" s="2" t="n">
        <v>0.51</v>
      </c>
      <c r="BA52" s="2" t="n">
        <v>0.29</v>
      </c>
      <c r="BB52" s="2" t="n">
        <v>1</v>
      </c>
    </row>
    <row r="53">
      <c r="D53" s="3" t="n"/>
      <c r="E53" s="3" t="n"/>
      <c r="J53" s="2" t="n"/>
      <c r="K53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tabColor rgb="FF06005A"/>
    <outlinePr summaryBelow="1" summaryRight="1"/>
    <pageSetUpPr/>
  </sheetPr>
  <dimension ref="A1:G285"/>
  <sheetViews>
    <sheetView zoomScaleNormal="100" workbookViewId="0">
      <pane xSplit="1" ySplit="1" topLeftCell="B2" activePane="bottomRight" state="frozen"/>
      <selection pane="topRight" activeCell="B2" sqref="B2"/>
      <selection pane="bottomLeft" activeCell="B2" sqref="B2"/>
      <selection pane="bottomRight" activeCell="A1" sqref="A1"/>
    </sheetView>
  </sheetViews>
  <sheetFormatPr baseColWidth="8" defaultColWidth="8.7265625" defaultRowHeight="17.5"/>
  <cols>
    <col width="14.7265625" bestFit="1" customWidth="1" style="13" min="1" max="1"/>
    <col width="17.81640625" bestFit="1" customWidth="1" style="2" min="2" max="2"/>
    <col width="14.1796875" bestFit="1" customWidth="1" style="2" min="3" max="5"/>
    <col width="17.54296875" bestFit="1" customWidth="1" style="2" min="6" max="6"/>
    <col width="14.1796875" bestFit="1" customWidth="1" style="2" min="7" max="7"/>
    <col width="8.7265625" customWidth="1" style="2" min="8" max="8"/>
    <col width="10.453125" bestFit="1" customWidth="1" style="2" min="9" max="9"/>
    <col width="10.54296875" bestFit="1" customWidth="1" style="2" min="10" max="10"/>
    <col width="9" bestFit="1" customWidth="1" style="2" min="11" max="11"/>
    <col width="3.54296875" bestFit="1" customWidth="1" style="2" min="12" max="12"/>
    <col width="4" bestFit="1" customWidth="1" style="2" min="13" max="13"/>
    <col width="11.54296875" bestFit="1" customWidth="1" style="2" min="14" max="14"/>
    <col width="5.26953125" bestFit="1" customWidth="1" style="2" min="15" max="15"/>
    <col width="8.7265625" customWidth="1" style="2" min="16" max="16"/>
    <col width="13.7265625" bestFit="1" customWidth="1" style="2" min="17" max="17"/>
    <col width="8.7265625" customWidth="1" style="2" min="18" max="16384"/>
  </cols>
  <sheetData>
    <row r="1">
      <c r="A1" s="14" t="inlineStr">
        <is>
          <t>Index</t>
        </is>
      </c>
      <c r="B1" s="8" t="inlineStr">
        <is>
          <t>US Large Cap</t>
        </is>
      </c>
      <c r="C1" s="8" t="inlineStr">
        <is>
          <t>Dev ex US</t>
        </is>
      </c>
      <c r="D1" s="8" t="inlineStr">
        <is>
          <t>EM</t>
        </is>
      </c>
      <c r="E1" s="8" t="inlineStr">
        <is>
          <t>UST</t>
        </is>
      </c>
      <c r="F1" s="8" t="inlineStr">
        <is>
          <t>IG Corp Bond</t>
        </is>
      </c>
      <c r="G1" s="8" t="inlineStr">
        <is>
          <t>REITs</t>
        </is>
      </c>
    </row>
    <row r="2" ht="18" customHeight="1">
      <c r="A2" s="15" t="n">
        <v>36585</v>
      </c>
      <c r="B2" s="10" t="n">
        <v>-0.009630085785047895</v>
      </c>
      <c r="C2" s="10" t="n">
        <v>0.002358392982746531</v>
      </c>
      <c r="D2" s="10" t="n">
        <v>0.002358392982746531</v>
      </c>
      <c r="E2" s="10" t="n">
        <v>-0.02124305659810875</v>
      </c>
      <c r="F2" s="10" t="n">
        <v>0.005658165055827381</v>
      </c>
      <c r="G2" s="10" t="n">
        <v>-0.02866024383253589</v>
      </c>
    </row>
    <row r="3" ht="18" customHeight="1">
      <c r="A3" s="15" t="n">
        <v>36616</v>
      </c>
      <c r="B3" s="10" t="n">
        <v>0.04582384237326782</v>
      </c>
      <c r="C3" s="10" t="n">
        <v>0.02320719026270711</v>
      </c>
      <c r="D3" s="10" t="n">
        <v>0.02320719026270711</v>
      </c>
      <c r="E3" s="10" t="n">
        <v>-0.04033718243263498</v>
      </c>
      <c r="F3" s="10" t="n">
        <v>0.007736571641985964</v>
      </c>
      <c r="G3" s="10" t="n">
        <v>-0.003364312872955813</v>
      </c>
    </row>
    <row r="4" ht="18" customHeight="1">
      <c r="A4" s="15" t="n">
        <v>36644</v>
      </c>
      <c r="B4" s="10" t="n">
        <v>-0.007299936108042793</v>
      </c>
      <c r="C4" s="10" t="n">
        <v>-0.02748351688828318</v>
      </c>
      <c r="D4" s="10" t="n">
        <v>-0.02748351688828318</v>
      </c>
      <c r="E4" s="10" t="n">
        <v>-0.04251490435609532</v>
      </c>
      <c r="F4" s="10" t="n">
        <v>0.006436327952293253</v>
      </c>
      <c r="G4" s="10" t="n">
        <v>0.05538568703182879</v>
      </c>
    </row>
    <row r="5" ht="18" customHeight="1">
      <c r="A5" s="15" t="n">
        <v>36677</v>
      </c>
      <c r="B5" s="10" t="n">
        <v>-0.02871476909532651</v>
      </c>
      <c r="C5" s="10" t="n">
        <v>-0.04036874807075715</v>
      </c>
      <c r="D5" s="10" t="n">
        <v>-0.04036874807075715</v>
      </c>
      <c r="E5" s="10" t="n">
        <v>0.07510662768965351</v>
      </c>
      <c r="F5" s="10" t="n">
        <v>-0.02223532747182943</v>
      </c>
      <c r="G5" s="10" t="n">
        <v>0.0378592650384979</v>
      </c>
    </row>
    <row r="6" ht="18" customHeight="1">
      <c r="A6" s="15" t="n">
        <v>36707</v>
      </c>
      <c r="B6" s="10" t="n">
        <v>0.0352177470697</v>
      </c>
      <c r="C6" s="10" t="n">
        <v>0.04273125540442071</v>
      </c>
      <c r="D6" s="10" t="n">
        <v>0.04273125540442071</v>
      </c>
      <c r="E6" s="10" t="n">
        <v>-0.05328534123791383</v>
      </c>
      <c r="F6" s="10" t="n">
        <v>0.02765717397543247</v>
      </c>
      <c r="G6" s="10" t="n">
        <v>0.03229655988872362</v>
      </c>
    </row>
    <row r="7" ht="18" customHeight="1">
      <c r="A7" s="15" t="n">
        <v>36738</v>
      </c>
      <c r="B7" s="10" t="n">
        <v>0.006699122999701975</v>
      </c>
      <c r="C7" s="10" t="n">
        <v>-0.008884642852431759</v>
      </c>
      <c r="D7" s="10" t="n">
        <v>-0.008884642852431759</v>
      </c>
      <c r="E7" s="10" t="n">
        <v>-0.00709706277023977</v>
      </c>
      <c r="F7" s="10" t="n">
        <v>0.01351359070389701</v>
      </c>
      <c r="G7" s="10" t="n">
        <v>0.04688391169214026</v>
      </c>
    </row>
    <row r="8" ht="18" customHeight="1">
      <c r="A8" s="15" t="n">
        <v>36769</v>
      </c>
      <c r="B8" s="10" t="n">
        <v>0.007363475327951716</v>
      </c>
      <c r="C8" s="10" t="n">
        <v>-0.0284496366506391</v>
      </c>
      <c r="D8" s="10" t="n">
        <v>-0.0284496366506391</v>
      </c>
      <c r="E8" s="10" t="n">
        <v>-0.03764668706281167</v>
      </c>
      <c r="F8" s="10" t="n">
        <v>0.01296460097449992</v>
      </c>
      <c r="G8" s="10" t="n">
        <v>0.01723057735828048</v>
      </c>
    </row>
    <row r="9" ht="18" customHeight="1">
      <c r="A9" s="15" t="n">
        <v>36798</v>
      </c>
      <c r="B9" s="10" t="n">
        <v>-6.719463434462499e-06</v>
      </c>
      <c r="C9" s="10" t="n">
        <v>-0.031463387241689</v>
      </c>
      <c r="D9" s="10" t="n">
        <v>-0.031463387241689</v>
      </c>
      <c r="E9" s="10" t="n">
        <v>-0.004649253731343238</v>
      </c>
      <c r="F9" s="10" t="n">
        <v>0.005636475325916034</v>
      </c>
      <c r="G9" s="10" t="n">
        <v>-0.009940961089084018</v>
      </c>
    </row>
    <row r="10" ht="18" customHeight="1">
      <c r="A10" s="15" t="n">
        <v>36830</v>
      </c>
      <c r="B10" s="10" t="n">
        <v>-0.0575504267189454</v>
      </c>
      <c r="C10" s="10" t="n">
        <v>-0.04430893816145196</v>
      </c>
      <c r="D10" s="10" t="n">
        <v>-0.04430893816145196</v>
      </c>
      <c r="E10" s="10" t="n">
        <v>-0.01042051585248697</v>
      </c>
      <c r="F10" s="10" t="n">
        <v>0.003979715354004662</v>
      </c>
      <c r="G10" s="10" t="n">
        <v>-0.02784007877277022</v>
      </c>
    </row>
    <row r="11" ht="18" customHeight="1">
      <c r="A11" s="15" t="n">
        <v>36860</v>
      </c>
      <c r="B11" s="10" t="n">
        <v>-0.01456119251815895</v>
      </c>
      <c r="C11" s="10" t="n">
        <v>-0.005105665068371555</v>
      </c>
      <c r="D11" s="10" t="n">
        <v>-0.005105665068371555</v>
      </c>
      <c r="E11" s="10" t="n">
        <v>-0.003734129947722168</v>
      </c>
      <c r="F11" s="10" t="n">
        <v>0.003809436130318293</v>
      </c>
      <c r="G11" s="10" t="n">
        <v>-0.000754954093164195</v>
      </c>
    </row>
    <row r="12" ht="18" customHeight="1">
      <c r="A12" s="15" t="n">
        <v>36889</v>
      </c>
      <c r="B12" s="10" t="n">
        <v>-0.03393681401659421</v>
      </c>
      <c r="C12" s="10" t="n">
        <v>-0.008434111294569323</v>
      </c>
      <c r="D12" s="10" t="n">
        <v>-0.008434111294569323</v>
      </c>
      <c r="E12" s="10" t="n">
        <v>-0.08337081459270365</v>
      </c>
      <c r="F12" s="10" t="n">
        <v>0.02187873837256337</v>
      </c>
      <c r="G12" s="10" t="n">
        <v>0.06246093607717679</v>
      </c>
    </row>
    <row r="13" ht="18" customHeight="1">
      <c r="A13" s="15" t="n">
        <v>36922</v>
      </c>
      <c r="B13" s="10" t="n">
        <v>0.003531883979514078</v>
      </c>
      <c r="C13" s="10" t="n">
        <v>-0.003659061558329539</v>
      </c>
      <c r="D13" s="10" t="n">
        <v>-0.003659061558329539</v>
      </c>
      <c r="E13" s="10" t="n">
        <v>-0.01517939491415291</v>
      </c>
      <c r="F13" s="10" t="n">
        <v>0.02043128584103262</v>
      </c>
      <c r="G13" s="10" t="n">
        <v>0.02545653823590681</v>
      </c>
    </row>
    <row r="14" ht="18" customHeight="1">
      <c r="A14" s="15" t="n">
        <v>36950</v>
      </c>
      <c r="B14" s="10" t="n">
        <v>-0.02115517078139306</v>
      </c>
      <c r="C14" s="10" t="n">
        <v>-0.03861093108662794</v>
      </c>
      <c r="D14" s="10" t="n">
        <v>-0.03861093108662794</v>
      </c>
      <c r="E14" s="10" t="n">
        <v>-0.01201425782577881</v>
      </c>
      <c r="F14" s="10" t="n">
        <v>0.01089963513908245</v>
      </c>
      <c r="G14" s="10" t="n">
        <v>-0.0100980949555876</v>
      </c>
    </row>
    <row r="15" ht="18" customHeight="1">
      <c r="A15" s="15" t="n">
        <v>36980</v>
      </c>
      <c r="B15" s="10" t="n">
        <v>-0.0924461174020174</v>
      </c>
      <c r="C15" s="10" t="n">
        <v>-0.07390092981079585</v>
      </c>
      <c r="D15" s="10" t="n">
        <v>-0.07390092981079585</v>
      </c>
      <c r="E15" s="10" t="n">
        <v>-0.04186997973125154</v>
      </c>
      <c r="F15" s="10" t="n">
        <v>0.01604345038467116</v>
      </c>
      <c r="G15" s="10" t="n">
        <v>0.001138686042459402</v>
      </c>
    </row>
    <row r="16" ht="18" customHeight="1">
      <c r="A16" s="15" t="n">
        <v>37011</v>
      </c>
      <c r="B16" s="10" t="n">
        <v>0.0006649520871804397</v>
      </c>
      <c r="C16" s="10" t="n">
        <v>0.01041477927480629</v>
      </c>
      <c r="D16" s="10" t="n">
        <v>0.01041477927480629</v>
      </c>
      <c r="E16" s="10" t="n">
        <v>0.05230740602902879</v>
      </c>
      <c r="F16" s="10" t="n">
        <v>-0.003880873095076595</v>
      </c>
      <c r="G16" s="10" t="n">
        <v>-0.001796000205304566</v>
      </c>
    </row>
    <row r="17" ht="18" customHeight="1">
      <c r="A17" s="15" t="n">
        <v>37042</v>
      </c>
      <c r="B17" s="10" t="n">
        <v>0.07314752609452994</v>
      </c>
      <c r="C17" s="10" t="n">
        <v>0.0276361740228206</v>
      </c>
      <c r="D17" s="10" t="n">
        <v>0.0276361740228206</v>
      </c>
      <c r="E17" s="10" t="n">
        <v>0.04869940407773501</v>
      </c>
      <c r="F17" s="10" t="n">
        <v>0.006170231269361411</v>
      </c>
      <c r="G17" s="10" t="n">
        <v>0.0373466629515082</v>
      </c>
    </row>
    <row r="18" ht="18" customHeight="1">
      <c r="A18" s="15" t="n">
        <v>37071</v>
      </c>
      <c r="B18" s="10" t="n">
        <v>-0.02249727370542073</v>
      </c>
      <c r="C18" s="10" t="n">
        <v>-0.05438012004353137</v>
      </c>
      <c r="D18" s="10" t="n">
        <v>-0.05438012004353137</v>
      </c>
      <c r="E18" s="10" t="n">
        <v>-0.01986100906933886</v>
      </c>
      <c r="F18" s="10" t="n">
        <v>0.01419047284446045</v>
      </c>
      <c r="G18" s="10" t="n">
        <v>0.04162867000004978</v>
      </c>
    </row>
    <row r="19" ht="18" customHeight="1">
      <c r="A19" s="15" t="n">
        <v>37103</v>
      </c>
      <c r="B19" s="10" t="n">
        <v>-0.02959003082366361</v>
      </c>
      <c r="C19" s="10" t="n">
        <v>-0.04483450943340483</v>
      </c>
      <c r="D19" s="10" t="n">
        <v>-0.04483450943340483</v>
      </c>
      <c r="E19" s="10" t="n">
        <v>-0.009101558979904582</v>
      </c>
      <c r="F19" s="10" t="n">
        <v>0.008587515058687614</v>
      </c>
      <c r="G19" s="10" t="n">
        <v>0.01341627682967567</v>
      </c>
    </row>
    <row r="20" ht="18" customHeight="1">
      <c r="A20" s="15" t="n">
        <v>37134</v>
      </c>
      <c r="B20" s="10" t="n">
        <v>-0.02123687997035027</v>
      </c>
      <c r="C20" s="10" t="n">
        <v>0.0110071546505224</v>
      </c>
      <c r="D20" s="10" t="n">
        <v>0.0110071546505224</v>
      </c>
      <c r="E20" s="10" t="n">
        <v>-0.05058756543881567</v>
      </c>
      <c r="F20" s="10" t="n">
        <v>0.01698302057699577</v>
      </c>
      <c r="G20" s="10" t="n">
        <v>0.03637894372893076</v>
      </c>
    </row>
    <row r="21" ht="18" customHeight="1">
      <c r="A21" s="15" t="n">
        <v>37162</v>
      </c>
      <c r="B21" s="10" t="n">
        <v>-0.1153671686354107</v>
      </c>
      <c r="C21" s="10" t="n">
        <v>-0.1102640872101945</v>
      </c>
      <c r="D21" s="10" t="n">
        <v>-0.1102640872101945</v>
      </c>
      <c r="E21" s="10" t="n">
        <v>-0.04818446532014929</v>
      </c>
      <c r="F21" s="10" t="n">
        <v>0.004652533861172083</v>
      </c>
      <c r="G21" s="10" t="n">
        <v>-0.0425690925037708</v>
      </c>
    </row>
    <row r="22" ht="18" customHeight="1">
      <c r="A22" s="15" t="n">
        <v>37195</v>
      </c>
      <c r="B22" s="10" t="n">
        <v>0.02808162468966792</v>
      </c>
      <c r="C22" s="10" t="n">
        <v>0.01452151479330777</v>
      </c>
      <c r="D22" s="10" t="n">
        <v>0.01452151479330777</v>
      </c>
      <c r="E22" s="10" t="n">
        <v>-0.03485940961077711</v>
      </c>
      <c r="F22" s="10" t="n">
        <v>0.01202278128361445</v>
      </c>
      <c r="G22" s="10" t="n">
        <v>-0.006546835236351168</v>
      </c>
    </row>
    <row r="23" ht="18" customHeight="1">
      <c r="A23" s="15" t="n">
        <v>37225</v>
      </c>
      <c r="B23" s="10" t="n">
        <v>0.05043897415705932</v>
      </c>
      <c r="C23" s="10" t="n">
        <v>0.02470787136546582</v>
      </c>
      <c r="D23" s="10" t="n">
        <v>0.02470787136546582</v>
      </c>
      <c r="E23" s="10" t="n">
        <v>0.018542848611526</v>
      </c>
      <c r="F23" s="10" t="n">
        <v>0.006543874032115198</v>
      </c>
      <c r="G23" s="10" t="n">
        <v>0.0202730264577029</v>
      </c>
    </row>
    <row r="24" ht="18" customHeight="1">
      <c r="A24" s="15" t="n">
        <v>37256</v>
      </c>
      <c r="B24" s="10" t="n">
        <v>0.01924154953788732</v>
      </c>
      <c r="C24" s="10" t="n">
        <v>-0.007043553234332309</v>
      </c>
      <c r="D24" s="10" t="n">
        <v>-0.007043553234332309</v>
      </c>
      <c r="E24" s="10" t="n">
        <v>0.09373320434268513</v>
      </c>
      <c r="F24" s="10" t="n">
        <v>-0.01347587057029735</v>
      </c>
      <c r="G24" s="10" t="n">
        <v>0.02574688442818377</v>
      </c>
    </row>
    <row r="25" ht="18" customHeight="1">
      <c r="A25" s="15" t="n">
        <v>37287</v>
      </c>
      <c r="B25" s="10" t="n">
        <v>-0.0014718673139183</v>
      </c>
      <c r="C25" s="10" t="n">
        <v>-0.02660705045707229</v>
      </c>
      <c r="D25" s="10" t="n">
        <v>-0.02660705045707229</v>
      </c>
      <c r="E25" s="10" t="n">
        <v>-0.01017901017901045</v>
      </c>
      <c r="F25" s="10" t="n">
        <v>0.01397004371114493</v>
      </c>
      <c r="G25" s="10" t="n">
        <v>0.01240490529370409</v>
      </c>
    </row>
    <row r="26" ht="18" customHeight="1">
      <c r="A26" s="15" t="n">
        <v>37315</v>
      </c>
      <c r="B26" s="10" t="n">
        <v>-0.03383880970503323</v>
      </c>
      <c r="C26" s="10" t="n">
        <v>-0.03427123883673026</v>
      </c>
      <c r="D26" s="10" t="n">
        <v>-0.03427123883673026</v>
      </c>
      <c r="E26" s="10" t="n">
        <v>-0.02465098917506522</v>
      </c>
      <c r="F26" s="10" t="n">
        <v>0.002027222803553622</v>
      </c>
      <c r="G26" s="10" t="n">
        <v>0.005873634916993437</v>
      </c>
    </row>
    <row r="27" ht="18" customHeight="1">
      <c r="A27" s="15" t="n">
        <v>37344</v>
      </c>
      <c r="B27" s="10" t="n">
        <v>0.05067841234023207</v>
      </c>
      <c r="C27" s="10" t="n">
        <v>0.06911562770857921</v>
      </c>
      <c r="D27" s="10" t="n">
        <v>0.06911562770857921</v>
      </c>
      <c r="E27" s="10" t="n">
        <v>0.07582511787398205</v>
      </c>
      <c r="F27" s="10" t="n">
        <v>-0.009789964966952686</v>
      </c>
      <c r="G27" s="10" t="n">
        <v>0.05247214622735014</v>
      </c>
    </row>
    <row r="28" ht="18" customHeight="1">
      <c r="A28" s="15" t="n">
        <v>37376</v>
      </c>
      <c r="B28" s="10" t="n">
        <v>-0.03008774163973901</v>
      </c>
      <c r="C28" s="10" t="n">
        <v>0.001730734195663743</v>
      </c>
      <c r="D28" s="10" t="n">
        <v>0.001730734195663743</v>
      </c>
      <c r="E28" s="10" t="n">
        <v>-0.0138324960429428</v>
      </c>
      <c r="F28" s="10" t="n">
        <v>0.007334023187357182</v>
      </c>
      <c r="G28" s="10" t="n">
        <v>0.03072382327517131</v>
      </c>
    </row>
    <row r="29" ht="18" customHeight="1">
      <c r="A29" s="15" t="n">
        <v>37407</v>
      </c>
      <c r="B29" s="10" t="n">
        <v>-0.02741144709374176</v>
      </c>
      <c r="C29" s="10" t="n">
        <v>0.01779536711593295</v>
      </c>
      <c r="D29" s="10" t="n">
        <v>0.01779536711593295</v>
      </c>
      <c r="E29" s="10" t="n">
        <v>-0.008897418004187111</v>
      </c>
      <c r="F29" s="10" t="n">
        <v>0.002747927524408282</v>
      </c>
      <c r="G29" s="10" t="n">
        <v>0.005124048076858907</v>
      </c>
    </row>
    <row r="30" ht="18" customHeight="1">
      <c r="A30" s="15" t="n">
        <v>37435</v>
      </c>
      <c r="B30" s="10" t="n">
        <v>-0.06245441212665873</v>
      </c>
      <c r="C30" s="10" t="n">
        <v>-0.04656569501849034</v>
      </c>
      <c r="D30" s="10" t="n">
        <v>-0.04656569501849034</v>
      </c>
      <c r="E30" s="10" t="n">
        <v>-0.04609223728216841</v>
      </c>
      <c r="F30" s="10" t="n">
        <v>0.01680967287531061</v>
      </c>
      <c r="G30" s="10" t="n">
        <v>0.02479099710483681</v>
      </c>
    </row>
    <row r="31" ht="18" customHeight="1">
      <c r="A31" s="15" t="n">
        <v>37468</v>
      </c>
      <c r="B31" s="10" t="n">
        <v>-0.1104342372663162</v>
      </c>
      <c r="C31" s="10" t="n">
        <v>-0.05457241861194699</v>
      </c>
      <c r="D31" s="10" t="n">
        <v>-0.05457241861194699</v>
      </c>
      <c r="E31" s="10" t="n">
        <v>-0.05547918031425569</v>
      </c>
      <c r="F31" s="10" t="n">
        <v>-0.001596426099948362</v>
      </c>
      <c r="G31" s="10" t="n">
        <v>-0.04973727466424506</v>
      </c>
    </row>
    <row r="32" ht="18" customHeight="1">
      <c r="A32" s="15" t="n">
        <v>37498</v>
      </c>
      <c r="B32" s="10" t="n">
        <v>0.008868834658883655</v>
      </c>
      <c r="C32" s="10" t="n">
        <v>-0.03723570547099941</v>
      </c>
      <c r="D32" s="10" t="n">
        <v>-0.03723570547099941</v>
      </c>
      <c r="E32" s="10" t="n">
        <v>-0.08508352056266513</v>
      </c>
      <c r="F32" s="10" t="n">
        <v>0.005828534001511928</v>
      </c>
      <c r="G32" s="10" t="n">
        <v>-0.004471579111802116</v>
      </c>
    </row>
    <row r="33" ht="18" customHeight="1">
      <c r="A33" s="15" t="n">
        <v>37529</v>
      </c>
      <c r="B33" s="10" t="n">
        <v>-0.04818331900617303</v>
      </c>
      <c r="C33" s="10" t="n">
        <v>-0.06487096935210146</v>
      </c>
      <c r="D33" s="10" t="n">
        <v>-0.06487096935210146</v>
      </c>
      <c r="E33" s="10" t="n">
        <v>-0.09096732863549006</v>
      </c>
      <c r="F33" s="10" t="n">
        <v>0.02495669961696381</v>
      </c>
      <c r="G33" s="10" t="n">
        <v>0.009671457555452711</v>
      </c>
    </row>
    <row r="34" ht="18" customHeight="1">
      <c r="A34" s="15" t="n">
        <v>37560</v>
      </c>
      <c r="B34" s="10" t="n">
        <v>-0.02107322018180839</v>
      </c>
      <c r="C34" s="10" t="n">
        <v>-0.03026406063023533</v>
      </c>
      <c r="D34" s="10" t="n">
        <v>-0.03026406063023533</v>
      </c>
      <c r="E34" s="10" t="n">
        <v>0.01832276250880911</v>
      </c>
      <c r="F34" s="10" t="n">
        <v>-0.0128000311787303</v>
      </c>
      <c r="G34" s="10" t="n">
        <v>-0.05342074544729453</v>
      </c>
    </row>
    <row r="35" ht="18" customHeight="1">
      <c r="A35" s="15" t="n">
        <v>37589</v>
      </c>
      <c r="B35" s="10" t="n">
        <v>0.06561083755630433</v>
      </c>
      <c r="C35" s="10" t="n">
        <v>0.05444386309564941</v>
      </c>
      <c r="D35" s="10" t="n">
        <v>0.05444386309564941</v>
      </c>
      <c r="E35" s="10" t="n">
        <v>0.02728100528136962</v>
      </c>
      <c r="F35" s="10" t="n">
        <v>0.01875655814630001</v>
      </c>
      <c r="G35" s="10" t="n">
        <v>0.03443819352372756</v>
      </c>
    </row>
    <row r="36" ht="18" customHeight="1">
      <c r="A36" s="15" t="n">
        <v>37621</v>
      </c>
      <c r="B36" s="10" t="n">
        <v>-0.009266433178412397</v>
      </c>
      <c r="C36" s="10" t="n">
        <v>-0.01791167488841906</v>
      </c>
      <c r="D36" s="10" t="n">
        <v>-0.01791167488841906</v>
      </c>
      <c r="E36" s="10" t="n">
        <v>-0.003962063244434802</v>
      </c>
      <c r="F36" s="10" t="n">
        <v>0.01912585006937005</v>
      </c>
      <c r="G36" s="10" t="n">
        <v>0.01659970931495865</v>
      </c>
    </row>
    <row r="37" ht="18" customHeight="1">
      <c r="A37" s="15" t="n">
        <v>37652</v>
      </c>
      <c r="B37" s="10" t="n">
        <v>-0.003349758544976937</v>
      </c>
      <c r="C37" s="10" t="n">
        <v>-0.01465048137295943</v>
      </c>
      <c r="D37" s="10" t="n">
        <v>-0.01465048137295943</v>
      </c>
      <c r="E37" s="10" t="n">
        <v>0.00401511572980658</v>
      </c>
      <c r="F37" s="10" t="n">
        <v>0.01273849581148304</v>
      </c>
      <c r="G37" s="10" t="n">
        <v>0.0003384239418908543</v>
      </c>
    </row>
    <row r="38" ht="18" customHeight="1">
      <c r="A38" s="15" t="n">
        <v>37680</v>
      </c>
      <c r="B38" s="10" t="n">
        <v>-0.06390250134853943</v>
      </c>
      <c r="C38" s="10" t="n">
        <v>-0.04992211838006217</v>
      </c>
      <c r="D38" s="10" t="n">
        <v>-0.04992211838006217</v>
      </c>
      <c r="E38" s="10" t="n">
        <v>-0.0360472458492741</v>
      </c>
      <c r="F38" s="10" t="n">
        <v>0.01411976693595748</v>
      </c>
      <c r="G38" s="10" t="n">
        <v>-0.006490911939830706</v>
      </c>
    </row>
    <row r="39" ht="18" customHeight="1">
      <c r="A39" s="15" t="n">
        <v>37711</v>
      </c>
      <c r="B39" s="10" t="n">
        <v>0.01004740278113701</v>
      </c>
      <c r="C39" s="10" t="n">
        <v>-0.02575933234183917</v>
      </c>
      <c r="D39" s="10" t="n">
        <v>-0.02575933234183917</v>
      </c>
      <c r="E39" s="10" t="n">
        <v>-0.02446777767074441</v>
      </c>
      <c r="F39" s="10" t="n">
        <v>0.009014577134617861</v>
      </c>
      <c r="G39" s="10" t="n">
        <v>0.0225751269741759</v>
      </c>
    </row>
    <row r="40" ht="18" customHeight="1">
      <c r="A40" s="15" t="n">
        <v>37741</v>
      </c>
      <c r="B40" s="10" t="n">
        <v>0.05061880759327856</v>
      </c>
      <c r="C40" s="10" t="n">
        <v>0.05039010993013702</v>
      </c>
      <c r="D40" s="10" t="n">
        <v>0.05039010993013702</v>
      </c>
      <c r="E40" s="10" t="n">
        <v>0.03977485928705424</v>
      </c>
      <c r="F40" s="10" t="n">
        <v>0.007113373126736448</v>
      </c>
      <c r="G40" s="10" t="n">
        <v>0.0501801716989219</v>
      </c>
    </row>
    <row r="41" ht="18" customHeight="1">
      <c r="A41" s="15" t="n">
        <v>37771</v>
      </c>
      <c r="B41" s="10" t="n">
        <v>0.05665840344697061</v>
      </c>
      <c r="C41" s="10" t="n">
        <v>0.07515292746868667</v>
      </c>
      <c r="D41" s="10" t="n">
        <v>0.07515292746868667</v>
      </c>
      <c r="E41" s="10" t="n">
        <v>-0.09840009623481269</v>
      </c>
      <c r="F41" s="10" t="n">
        <v>0.03696541152107337</v>
      </c>
      <c r="G41" s="10" t="n">
        <v>0.06205961969165464</v>
      </c>
    </row>
    <row r="42" ht="18" customHeight="1">
      <c r="A42" s="15" t="n">
        <v>37802</v>
      </c>
      <c r="B42" s="10" t="n">
        <v>0.05891579328937205</v>
      </c>
      <c r="C42" s="10" t="n">
        <v>0.06606804195533517</v>
      </c>
      <c r="D42" s="10" t="n">
        <v>0.06606804195533517</v>
      </c>
      <c r="E42" s="10" t="n">
        <v>-0.06577718478985989</v>
      </c>
      <c r="F42" s="10" t="n">
        <v>0.01870762327501136</v>
      </c>
      <c r="G42" s="10" t="n">
        <v>0.03022194446240319</v>
      </c>
    </row>
    <row r="43" ht="18" customHeight="1">
      <c r="A43" s="15" t="n">
        <v>37833</v>
      </c>
      <c r="B43" s="10" t="n">
        <v>0.008973153741050658</v>
      </c>
      <c r="C43" s="10" t="n">
        <v>0.005052785109042876</v>
      </c>
      <c r="D43" s="10" t="n">
        <v>0.005052785109042876</v>
      </c>
      <c r="E43" s="10" t="n">
        <v>0.1922957077198719</v>
      </c>
      <c r="F43" s="10" t="n">
        <v>-0.02393696005282311</v>
      </c>
      <c r="G43" s="10" t="n">
        <v>0.0245842506284662</v>
      </c>
    </row>
    <row r="44" ht="18" customHeight="1">
      <c r="A44" s="15" t="n">
        <v>37862</v>
      </c>
      <c r="B44" s="10" t="n">
        <v>-0.001646827664429411</v>
      </c>
      <c r="C44" s="10" t="n">
        <v>0.01470783016314522</v>
      </c>
      <c r="D44" s="10" t="n">
        <v>0.01470783016314522</v>
      </c>
      <c r="E44" s="10" t="n">
        <v>0.1181710278440214</v>
      </c>
      <c r="F44" s="10" t="n">
        <v>-0.02334274564864004</v>
      </c>
      <c r="G44" s="10" t="n">
        <v>0.007827157018064275</v>
      </c>
    </row>
    <row r="45" ht="18" customHeight="1">
      <c r="A45" s="15" t="n">
        <v>37894</v>
      </c>
      <c r="B45" s="10" t="n">
        <v>0.0346414672136245</v>
      </c>
      <c r="C45" s="10" t="n">
        <v>0.05004983920921755</v>
      </c>
      <c r="D45" s="10" t="n">
        <v>0.05004983920921755</v>
      </c>
      <c r="E45" s="10" t="n">
        <v>-0.03845741831815738</v>
      </c>
      <c r="F45" s="10" t="n">
        <v>0.01747458723031203</v>
      </c>
      <c r="G45" s="10" t="n">
        <v>0.02711347950740112</v>
      </c>
    </row>
    <row r="46" ht="18" customHeight="1">
      <c r="A46" s="15" t="n">
        <v>37925</v>
      </c>
      <c r="B46" s="10" t="n">
        <v>0.02023425445152773</v>
      </c>
      <c r="C46" s="10" t="n">
        <v>0.05254278823210807</v>
      </c>
      <c r="D46" s="10" t="n">
        <v>0.05254278823210807</v>
      </c>
      <c r="E46" s="10" t="n">
        <v>0.003782814778803848</v>
      </c>
      <c r="F46" s="10" t="n">
        <v>0.008301370838388618</v>
      </c>
      <c r="G46" s="10" t="n">
        <v>0.04541310688098393</v>
      </c>
    </row>
    <row r="47" ht="18" customHeight="1">
      <c r="A47" s="15" t="n">
        <v>37953</v>
      </c>
      <c r="B47" s="10" t="n">
        <v>0.01506751343834065</v>
      </c>
      <c r="C47" s="10" t="n">
        <v>0.00949749285598747</v>
      </c>
      <c r="D47" s="10" t="n">
        <v>0.00949749285598747</v>
      </c>
      <c r="E47" s="10" t="n">
        <v>0.00222481195041873</v>
      </c>
      <c r="F47" s="10" t="n">
        <v>0.005819228264686128</v>
      </c>
      <c r="G47" s="10" t="n">
        <v>0.02051060044633431</v>
      </c>
    </row>
    <row r="48" ht="18" customHeight="1">
      <c r="A48" s="15" t="n">
        <v>37986</v>
      </c>
      <c r="B48" s="10" t="n">
        <v>0.02728600619776867</v>
      </c>
      <c r="C48" s="10" t="n">
        <v>0.05110518262151389</v>
      </c>
      <c r="D48" s="10" t="n">
        <v>0.05110518262151389</v>
      </c>
      <c r="E48" s="10" t="n">
        <v>-0.007505285412262352</v>
      </c>
      <c r="F48" s="10" t="n">
        <v>0.009817274957405576</v>
      </c>
      <c r="G48" s="10" t="n">
        <v>0.04289132665442094</v>
      </c>
    </row>
    <row r="49" ht="18" customHeight="1">
      <c r="A49" s="15" t="n">
        <v>38016</v>
      </c>
      <c r="B49" s="10" t="n">
        <v>0.04872122594280572</v>
      </c>
      <c r="C49" s="10" t="n">
        <v>0.0511917960088691</v>
      </c>
      <c r="D49" s="10" t="n">
        <v>0.0511917960088691</v>
      </c>
      <c r="E49" s="10" t="n">
        <v>-0.02746831398445005</v>
      </c>
      <c r="F49" s="10" t="n">
        <v>0.01363700323364864</v>
      </c>
      <c r="G49" s="10" t="n">
        <v>0.03078390292479968</v>
      </c>
    </row>
    <row r="50" ht="18" customHeight="1">
      <c r="A50" s="15" t="n">
        <v>38044</v>
      </c>
      <c r="B50" s="10" t="n">
        <v>0.007891494696706665</v>
      </c>
      <c r="C50" s="10" t="n">
        <v>0.0115019203557713</v>
      </c>
      <c r="D50" s="10" t="n">
        <v>0.0115019203557713</v>
      </c>
      <c r="E50" s="10" t="n">
        <v>-0.01597144288259495</v>
      </c>
      <c r="F50" s="10" t="n">
        <v>0.006272022506817502</v>
      </c>
      <c r="G50" s="10" t="n">
        <v>0.03973566403751842</v>
      </c>
    </row>
    <row r="51" ht="18" customHeight="1">
      <c r="A51" s="15" t="n">
        <v>38077</v>
      </c>
      <c r="B51" s="10" t="n">
        <v>-0.01459334010835639</v>
      </c>
      <c r="C51" s="10" t="n">
        <v>-0.009481300237988086</v>
      </c>
      <c r="D51" s="10" t="n">
        <v>-0.009481300237988086</v>
      </c>
      <c r="E51" s="10" t="n">
        <v>-0.06309390407888817</v>
      </c>
      <c r="F51" s="10" t="n">
        <v>0.01597674469193002</v>
      </c>
      <c r="G51" s="10" t="n">
        <v>0.03073091329842558</v>
      </c>
    </row>
    <row r="52" ht="18" customHeight="1">
      <c r="A52" s="15" t="n">
        <v>38107</v>
      </c>
      <c r="B52" s="10" t="n">
        <v>0.007807210902679152</v>
      </c>
      <c r="C52" s="10" t="n">
        <v>0.01574582121694582</v>
      </c>
      <c r="D52" s="10" t="n">
        <v>0.01574582121694582</v>
      </c>
      <c r="E52" s="10" t="n">
        <v>0.1361804123990237</v>
      </c>
      <c r="F52" s="10" t="n">
        <v>-0.02238890891296321</v>
      </c>
      <c r="G52" s="10" t="n">
        <v>-0.06577607259654891</v>
      </c>
    </row>
    <row r="53" ht="18" customHeight="1">
      <c r="A53" s="15" t="n">
        <v>38138</v>
      </c>
      <c r="B53" s="10" t="n">
        <v>-0.03054470464356775</v>
      </c>
      <c r="C53" s="10" t="n">
        <v>-0.0446159594039229</v>
      </c>
      <c r="D53" s="10" t="n">
        <v>-0.0446159594039229</v>
      </c>
      <c r="E53" s="10" t="n">
        <v>0.08461664841182932</v>
      </c>
      <c r="F53" s="10" t="n">
        <v>-0.02052998775381459</v>
      </c>
      <c r="G53" s="10" t="n">
        <v>-0.03568935564967766</v>
      </c>
    </row>
    <row r="54" ht="18" customHeight="1">
      <c r="A54" s="15" t="n">
        <v>38168</v>
      </c>
      <c r="B54" s="10" t="n">
        <v>0.02760261745938695</v>
      </c>
      <c r="C54" s="10" t="n">
        <v>0.03848724104645718</v>
      </c>
      <c r="D54" s="10" t="n">
        <v>0.03848724104645718</v>
      </c>
      <c r="E54" s="10" t="n">
        <v>0.003882838258832384</v>
      </c>
      <c r="F54" s="10" t="n">
        <v>0.001856230587607871</v>
      </c>
      <c r="G54" s="10" t="n">
        <v>0.06133195748969725</v>
      </c>
    </row>
    <row r="55" ht="18" customHeight="1">
      <c r="A55" s="15" t="n">
        <v>38198</v>
      </c>
      <c r="B55" s="10" t="n">
        <v>-0.02523928565889165</v>
      </c>
      <c r="C55" s="10" t="n">
        <v>-0.008358358358358384</v>
      </c>
      <c r="D55" s="10" t="n">
        <v>-0.008358358358358384</v>
      </c>
      <c r="E55" s="10" t="n">
        <v>-0.04979378332159743</v>
      </c>
      <c r="F55" s="10" t="n">
        <v>0.01632247922576112</v>
      </c>
      <c r="G55" s="10" t="n">
        <v>0.03589304289298165</v>
      </c>
    </row>
    <row r="56" ht="18" customHeight="1">
      <c r="A56" s="15" t="n">
        <v>38230</v>
      </c>
      <c r="B56" s="10" t="n">
        <v>-0.01813973446452105</v>
      </c>
      <c r="C56" s="10" t="n">
        <v>-0.02165245041134592</v>
      </c>
      <c r="D56" s="10" t="n">
        <v>-0.02165245041134592</v>
      </c>
      <c r="E56" s="10" t="n">
        <v>-0.04818297307181509</v>
      </c>
      <c r="F56" s="10" t="n">
        <v>0.0160458378675469</v>
      </c>
      <c r="G56" s="10" t="n">
        <v>0.02237501181362839</v>
      </c>
    </row>
    <row r="57" ht="18" customHeight="1">
      <c r="A57" s="15" t="n">
        <v>38260</v>
      </c>
      <c r="B57" s="10" t="n">
        <v>0.03067706208412233</v>
      </c>
      <c r="C57" s="10" t="n">
        <v>0.0274969046636401</v>
      </c>
      <c r="D57" s="10" t="n">
        <v>0.0274969046636401</v>
      </c>
      <c r="E57" s="10" t="n">
        <v>-0.03635508774058518</v>
      </c>
      <c r="F57" s="10" t="n">
        <v>0.0140526772232854</v>
      </c>
      <c r="G57" s="10" t="n">
        <v>0.03606572531256499</v>
      </c>
    </row>
    <row r="58" ht="18" customHeight="1">
      <c r="A58" s="15" t="n">
        <v>38289</v>
      </c>
      <c r="B58" s="10" t="n">
        <v>0.003041742934999278</v>
      </c>
      <c r="C58" s="10" t="n">
        <v>0.02910411541229417</v>
      </c>
      <c r="D58" s="10" t="n">
        <v>0.02910411541229417</v>
      </c>
      <c r="E58" s="10" t="n">
        <v>-0.0069598337950139</v>
      </c>
      <c r="F58" s="10" t="n">
        <v>0.00695461779577824</v>
      </c>
      <c r="G58" s="10" t="n">
        <v>0.03933046375876882</v>
      </c>
    </row>
    <row r="59" ht="18" customHeight="1">
      <c r="A59" s="15" t="n">
        <v>38321</v>
      </c>
      <c r="B59" s="10" t="n">
        <v>0.04784009504653603</v>
      </c>
      <c r="C59" s="10" t="n">
        <v>0.06031875101642549</v>
      </c>
      <c r="D59" s="10" t="n">
        <v>0.06031875101642549</v>
      </c>
      <c r="E59" s="10" t="n">
        <v>0.02367586038564836</v>
      </c>
      <c r="F59" s="10" t="n">
        <v>0.0007597512695501249</v>
      </c>
      <c r="G59" s="10" t="n">
        <v>0.05360790964216548</v>
      </c>
    </row>
    <row r="60" ht="18" customHeight="1">
      <c r="A60" s="15" t="n">
        <v>38352</v>
      </c>
      <c r="B60" s="10" t="n">
        <v>0.02988883292648143</v>
      </c>
      <c r="C60" s="10" t="n">
        <v>0.03640426600301293</v>
      </c>
      <c r="D60" s="10" t="n">
        <v>0.03640426600301293</v>
      </c>
      <c r="E60" s="10" t="n">
        <v>0.0088004508605364</v>
      </c>
      <c r="F60" s="10" t="n">
        <v>0.005595159170884254</v>
      </c>
      <c r="G60" s="10" t="n">
        <v>0.04746326846965016</v>
      </c>
    </row>
    <row r="61" ht="18" customHeight="1">
      <c r="A61" s="15" t="n">
        <v>38383</v>
      </c>
      <c r="B61" s="10" t="n">
        <v>-0.0171949056928179</v>
      </c>
      <c r="C61" s="10" t="n">
        <v>-0.01522523396992567</v>
      </c>
      <c r="D61" s="10" t="n">
        <v>-0.01522523396992567</v>
      </c>
      <c r="E61" s="10" t="n">
        <v>-0.002223893425010484</v>
      </c>
      <c r="F61" s="10" t="n">
        <v>0.004748884927485935</v>
      </c>
      <c r="G61" s="10" t="n">
        <v>-0.0254658207939631</v>
      </c>
    </row>
    <row r="62" ht="18" customHeight="1">
      <c r="A62" s="15" t="n">
        <v>38411</v>
      </c>
      <c r="B62" s="10" t="n">
        <v>0.01762858751072033</v>
      </c>
      <c r="C62" s="10" t="n">
        <v>0.02495631228451316</v>
      </c>
      <c r="D62" s="10" t="n">
        <v>0.02495631228451316</v>
      </c>
      <c r="E62" s="10" t="n">
        <v>-0.01332153076045574</v>
      </c>
      <c r="F62" s="10" t="n">
        <v>0.007744450917207344</v>
      </c>
      <c r="G62" s="10" t="n">
        <v>0.01105582894676321</v>
      </c>
    </row>
    <row r="63" ht="18" customHeight="1">
      <c r="A63" s="15" t="n">
        <v>38442</v>
      </c>
      <c r="B63" s="10" t="n">
        <v>-0.002949158015609793</v>
      </c>
      <c r="C63" s="10" t="n">
        <v>0.01585311466581421</v>
      </c>
      <c r="D63" s="10" t="n">
        <v>0.01585311466581421</v>
      </c>
      <c r="E63" s="10" t="n">
        <v>0.07981827371516496</v>
      </c>
      <c r="F63" s="10" t="n">
        <v>-0.01535881715632123</v>
      </c>
      <c r="G63" s="10" t="n">
        <v>-0.010086391677764</v>
      </c>
    </row>
    <row r="64" ht="18" customHeight="1">
      <c r="A64" s="15" t="n">
        <v>38471</v>
      </c>
      <c r="B64" s="10" t="n">
        <v>-0.02583263334286579</v>
      </c>
      <c r="C64" s="10" t="n">
        <v>-0.02782593260953181</v>
      </c>
      <c r="D64" s="10" t="n">
        <v>-0.02782593260953181</v>
      </c>
      <c r="E64" s="10" t="n">
        <v>-0.03485646911619605</v>
      </c>
      <c r="F64" s="10" t="n">
        <v>0.001508782212934607</v>
      </c>
      <c r="G64" s="10" t="n">
        <v>-0.0007235110017355292</v>
      </c>
    </row>
    <row r="65" ht="18" customHeight="1">
      <c r="A65" s="15" t="n">
        <v>38503</v>
      </c>
      <c r="B65" s="10" t="n">
        <v>0.01301019147717847</v>
      </c>
      <c r="C65" s="10" t="n">
        <v>-0.009645729410567265</v>
      </c>
      <c r="D65" s="10" t="n">
        <v>-0.009645729410567265</v>
      </c>
      <c r="E65" s="10" t="n">
        <v>-0.04530495831505039</v>
      </c>
      <c r="F65" s="10" t="n">
        <v>0.008642173856789254</v>
      </c>
      <c r="G65" s="10" t="n">
        <v>0.04324461036165028</v>
      </c>
    </row>
    <row r="66" ht="18" customHeight="1">
      <c r="A66" s="15" t="n">
        <v>38533</v>
      </c>
      <c r="B66" s="10" t="n">
        <v>0.0256135281873637</v>
      </c>
      <c r="C66" s="10" t="n">
        <v>0.00831984169814714</v>
      </c>
      <c r="D66" s="10" t="n">
        <v>0.00831984169814714</v>
      </c>
      <c r="E66" s="10" t="n">
        <v>-0.0352543010247249</v>
      </c>
      <c r="F66" s="10" t="n">
        <v>0.01402196039504276</v>
      </c>
      <c r="G66" s="10" t="n">
        <v>0.04559415843970085</v>
      </c>
    </row>
    <row r="67" ht="18" customHeight="1">
      <c r="A67" s="15" t="n">
        <v>38562</v>
      </c>
      <c r="B67" s="10" t="n">
        <v>0.02204171492614073</v>
      </c>
      <c r="C67" s="10" t="n">
        <v>0.01136052297909518</v>
      </c>
      <c r="D67" s="10" t="n">
        <v>0.01136052297909518</v>
      </c>
      <c r="E67" s="10" t="n">
        <v>0.04484993178717596</v>
      </c>
      <c r="F67" s="10" t="n">
        <v>-0.003170707330831174</v>
      </c>
      <c r="G67" s="10" t="n">
        <v>0.03917047600582319</v>
      </c>
    </row>
    <row r="68" ht="18" customHeight="1">
      <c r="A68" s="15" t="n">
        <v>38595</v>
      </c>
      <c r="B68" s="10" t="n">
        <v>0.001056570823657289</v>
      </c>
      <c r="C68" s="10" t="n">
        <v>0.04503299285907964</v>
      </c>
      <c r="D68" s="10" t="n">
        <v>0.04503299285907964</v>
      </c>
      <c r="E68" s="10" t="n">
        <v>0.02037311685270474</v>
      </c>
      <c r="F68" s="10" t="n">
        <v>0.0001937493823780976</v>
      </c>
      <c r="G68" s="10" t="n">
        <v>-0.002326943405423766</v>
      </c>
    </row>
    <row r="69" ht="18" customHeight="1">
      <c r="A69" s="15" t="n">
        <v>38625</v>
      </c>
      <c r="B69" s="10" t="n">
        <v>0.002948923994115242</v>
      </c>
      <c r="C69" s="10" t="n">
        <v>0.03275244574590656</v>
      </c>
      <c r="D69" s="10" t="n">
        <v>0.03275244574590656</v>
      </c>
      <c r="E69" s="10" t="n">
        <v>-0.01491130928095428</v>
      </c>
      <c r="F69" s="10" t="n">
        <v>0.004330860356775636</v>
      </c>
      <c r="G69" s="10" t="n">
        <v>0.01103013202407188</v>
      </c>
    </row>
    <row r="70" ht="18" customHeight="1">
      <c r="A70" s="15" t="n">
        <v>38656</v>
      </c>
      <c r="B70" s="10" t="n">
        <v>-0.02870960426586243</v>
      </c>
      <c r="C70" s="10" t="n">
        <v>-0.01770464243393579</v>
      </c>
      <c r="D70" s="10" t="n">
        <v>-0.01770464243393579</v>
      </c>
      <c r="E70" s="10" t="n">
        <v>0.06297913359038333</v>
      </c>
      <c r="F70" s="10" t="n">
        <v>-0.01325430971474273</v>
      </c>
      <c r="G70" s="10" t="n">
        <v>-0.04126218533635562</v>
      </c>
    </row>
    <row r="71" ht="18" customHeight="1">
      <c r="A71" s="15" t="n">
        <v>38686</v>
      </c>
      <c r="B71" s="10" t="n">
        <v>0.0388286067408479</v>
      </c>
      <c r="C71" s="10" t="n">
        <v>0.01856451823767813</v>
      </c>
      <c r="D71" s="10" t="n">
        <v>0.01856451823767813</v>
      </c>
      <c r="E71" s="10" t="n">
        <v>0.01601881931219862</v>
      </c>
      <c r="F71" s="10" t="n">
        <v>-0.003282440910437122</v>
      </c>
      <c r="G71" s="10" t="n">
        <v>0.02440542639421432</v>
      </c>
    </row>
    <row r="72" ht="18" customHeight="1">
      <c r="A72" s="15" t="n">
        <v>38716</v>
      </c>
      <c r="B72" s="10" t="n">
        <v>0.02088204599222874</v>
      </c>
      <c r="C72" s="10" t="n">
        <v>0.0425140896839008</v>
      </c>
      <c r="D72" s="10" t="n">
        <v>0.0425140896839008</v>
      </c>
      <c r="E72" s="10" t="n">
        <v>-0.01496298629705451</v>
      </c>
      <c r="F72" s="10" t="n">
        <v>0.007570239451139804</v>
      </c>
      <c r="G72" s="10" t="n">
        <v>0.0296950012615003</v>
      </c>
    </row>
    <row r="73" ht="18" customHeight="1">
      <c r="A73" s="15" t="n">
        <v>38748</v>
      </c>
      <c r="B73" s="10" t="n">
        <v>0.01650763148578249</v>
      </c>
      <c r="C73" s="10" t="n">
        <v>0.0291064363223257</v>
      </c>
      <c r="D73" s="10" t="n">
        <v>0.0291064363223257</v>
      </c>
      <c r="E73" s="10" t="n">
        <v>-0.0114486728493763</v>
      </c>
      <c r="F73" s="10" t="n">
        <v>0.007360854326154782</v>
      </c>
      <c r="G73" s="10" t="n">
        <v>0.04368502333767608</v>
      </c>
    </row>
    <row r="74" ht="18" customHeight="1">
      <c r="A74" s="15" t="n">
        <v>38776</v>
      </c>
      <c r="B74" s="10" t="n">
        <v>0.0008704229626791166</v>
      </c>
      <c r="C74" s="10" t="n">
        <v>0.007084126379901069</v>
      </c>
      <c r="D74" s="10" t="n">
        <v>0.007084126379901069</v>
      </c>
      <c r="E74" s="10" t="n">
        <v>0.03463482074752084</v>
      </c>
      <c r="F74" s="10" t="n">
        <v>-0.003187114107295227</v>
      </c>
      <c r="G74" s="10" t="n">
        <v>0.02668024574606668</v>
      </c>
    </row>
    <row r="75" ht="18" customHeight="1">
      <c r="A75" s="15" t="n">
        <v>38807</v>
      </c>
      <c r="B75" s="10" t="n">
        <v>0.01398576591039642</v>
      </c>
      <c r="C75" s="10" t="n">
        <v>0.02499579697490658</v>
      </c>
      <c r="D75" s="10" t="n">
        <v>0.02499579697490658</v>
      </c>
      <c r="E75" s="10" t="n">
        <v>0.03391715039842152</v>
      </c>
      <c r="F75" s="10" t="n">
        <v>-0.003805938883095209</v>
      </c>
      <c r="G75" s="10" t="n">
        <v>0.04128607964925091</v>
      </c>
    </row>
    <row r="76" ht="18" customHeight="1">
      <c r="A76" s="15" t="n">
        <v>38835</v>
      </c>
      <c r="B76" s="10" t="n">
        <v>0.009577961087825087</v>
      </c>
      <c r="C76" s="10" t="n">
        <v>0.04295061728395046</v>
      </c>
      <c r="D76" s="10" t="n">
        <v>0.04295061728395046</v>
      </c>
      <c r="E76" s="10" t="n">
        <v>0.05643907283164179</v>
      </c>
      <c r="F76" s="10" t="n">
        <v>-0.009906911844665313</v>
      </c>
      <c r="G76" s="10" t="n">
        <v>-0.01212138694121465</v>
      </c>
    </row>
    <row r="77" ht="18" customHeight="1">
      <c r="A77" s="15" t="n">
        <v>38868</v>
      </c>
      <c r="B77" s="10" t="n">
        <v>-0.01170015274339213</v>
      </c>
      <c r="C77" s="10" t="n">
        <v>0.01624579565843069</v>
      </c>
      <c r="D77" s="10" t="n">
        <v>0.01624579565843069</v>
      </c>
      <c r="E77" s="10" t="n">
        <v>0.02394009702594396</v>
      </c>
      <c r="F77" s="10" t="n">
        <v>-0.0003961520976659045</v>
      </c>
      <c r="G77" s="10" t="n">
        <v>-0.004740308736246723</v>
      </c>
    </row>
    <row r="78" ht="18" customHeight="1">
      <c r="A78" s="15" t="n">
        <v>38898</v>
      </c>
      <c r="B78" s="10" t="n">
        <v>-0.03191749683978832</v>
      </c>
      <c r="C78" s="10" t="n">
        <v>-0.06626518782069898</v>
      </c>
      <c r="D78" s="10" t="n">
        <v>-0.06626518782069898</v>
      </c>
      <c r="E78" s="10" t="n">
        <v>-0.0007116171499733624</v>
      </c>
      <c r="F78" s="10" t="n">
        <v>0.0004825374121507594</v>
      </c>
      <c r="G78" s="10" t="n">
        <v>-0.001270506041366501</v>
      </c>
    </row>
    <row r="79" ht="18" customHeight="1">
      <c r="A79" s="15" t="n">
        <v>38929</v>
      </c>
      <c r="B79" s="10" t="n">
        <v>0.002879468317681833</v>
      </c>
      <c r="C79" s="10" t="n">
        <v>0.02216733472089887</v>
      </c>
      <c r="D79" s="10" t="n">
        <v>0.02216733472089887</v>
      </c>
      <c r="E79" s="10" t="n">
        <v>-0.003694142780843812</v>
      </c>
      <c r="F79" s="10" t="n">
        <v>0.005501796609346989</v>
      </c>
      <c r="G79" s="10" t="n">
        <v>0.04442481547594697</v>
      </c>
    </row>
    <row r="80" ht="18" customHeight="1">
      <c r="A80" s="15" t="n">
        <v>38960</v>
      </c>
      <c r="B80" s="10" t="n">
        <v>0.01826963041499918</v>
      </c>
      <c r="C80" s="10" t="n">
        <v>0.03836248765057972</v>
      </c>
      <c r="D80" s="10" t="n">
        <v>0.03836248765057972</v>
      </c>
      <c r="E80" s="10" t="n">
        <v>-0.04146992842645011</v>
      </c>
      <c r="F80" s="10" t="n">
        <v>0.01744851885933315</v>
      </c>
      <c r="G80" s="10" t="n">
        <v>0.03468395087879247</v>
      </c>
    </row>
    <row r="81" ht="18" customHeight="1">
      <c r="A81" s="15" t="n">
        <v>38989</v>
      </c>
      <c r="B81" s="10" t="n">
        <v>0.0245102429926685</v>
      </c>
      <c r="C81" s="10" t="n">
        <v>0.007446922487723249</v>
      </c>
      <c r="D81" s="10" t="n">
        <v>0.007446922487723249</v>
      </c>
      <c r="E81" s="10" t="n">
        <v>-0.03230206847360919</v>
      </c>
      <c r="F81" s="10" t="n">
        <v>0.01411230142775095</v>
      </c>
      <c r="G81" s="10" t="n">
        <v>0.03382034933769641</v>
      </c>
    </row>
    <row r="82" ht="18" customHeight="1">
      <c r="A82" s="15" t="n">
        <v>39021</v>
      </c>
      <c r="B82" s="10" t="n">
        <v>0.035418110941816</v>
      </c>
      <c r="C82" s="10" t="n">
        <v>0.0303738317757008</v>
      </c>
      <c r="D82" s="10" t="n">
        <v>0.0303738317757008</v>
      </c>
      <c r="E82" s="10" t="n">
        <v>0.002129183947365867</v>
      </c>
      <c r="F82" s="10" t="n">
        <v>0.005029449821954992</v>
      </c>
      <c r="G82" s="10" t="n">
        <v>0.04416312282880473</v>
      </c>
    </row>
    <row r="83" ht="18" customHeight="1">
      <c r="A83" s="15" t="n">
        <v>39051</v>
      </c>
      <c r="B83" s="10" t="n">
        <v>0.02052778073985839</v>
      </c>
      <c r="C83" s="10" t="n">
        <v>0.02881493506493503</v>
      </c>
      <c r="D83" s="10" t="n">
        <v>0.02881493506493503</v>
      </c>
      <c r="E83" s="10" t="n">
        <v>-0.02829523713624029</v>
      </c>
      <c r="F83" s="10" t="n">
        <v>0.01513726965024454</v>
      </c>
      <c r="G83" s="10" t="n">
        <v>0.03038624430772642</v>
      </c>
    </row>
    <row r="84" ht="18" customHeight="1">
      <c r="A84" s="15" t="n">
        <v>39080</v>
      </c>
      <c r="B84" s="10" t="n">
        <v>0.02058478429924567</v>
      </c>
      <c r="C84" s="10" t="n">
        <v>0.03563445101906637</v>
      </c>
      <c r="D84" s="10" t="n">
        <v>0.03563445101906637</v>
      </c>
      <c r="E84" s="10" t="n">
        <v>-0.006689119170984431</v>
      </c>
      <c r="F84" s="10" t="n">
        <v>0.006624712705303899</v>
      </c>
      <c r="G84" s="10" t="n">
        <v>0.03782786902634288</v>
      </c>
    </row>
    <row r="85" ht="18" customHeight="1">
      <c r="A85" s="15" t="n">
        <v>39113</v>
      </c>
      <c r="B85" s="10" t="n">
        <v>0.006317480812259733</v>
      </c>
      <c r="C85" s="10" t="n">
        <v>-0.008319164440126156</v>
      </c>
      <c r="D85" s="10" t="n">
        <v>-0.008319164440126156</v>
      </c>
      <c r="E85" s="10" t="n">
        <v>0.0427262152533267</v>
      </c>
      <c r="F85" s="10" t="n">
        <v>-0.004723194922652604</v>
      </c>
      <c r="G85" s="10" t="n">
        <v>0.03783006806411587</v>
      </c>
    </row>
    <row r="86" ht="18" customHeight="1">
      <c r="A86" s="15" t="n">
        <v>39141</v>
      </c>
      <c r="B86" s="10" t="n">
        <v>0.01894520265082485</v>
      </c>
      <c r="C86" s="10" t="n">
        <v>0.030676321107097</v>
      </c>
      <c r="D86" s="10" t="n">
        <v>0.030676321107097</v>
      </c>
      <c r="E86" s="10" t="n">
        <v>-0.007751244043074049</v>
      </c>
      <c r="F86" s="10" t="n">
        <v>0.00843477466002108</v>
      </c>
      <c r="G86" s="10" t="n">
        <v>0.07552065152128715</v>
      </c>
    </row>
    <row r="87" ht="18" customHeight="1">
      <c r="A87" s="15" t="n">
        <v>39171</v>
      </c>
      <c r="B87" s="10" t="n">
        <v>-0.02653563388443415</v>
      </c>
      <c r="C87" s="10" t="n">
        <v>-0.01327006270127946</v>
      </c>
      <c r="D87" s="10" t="n">
        <v>-0.01327006270127946</v>
      </c>
      <c r="E87" s="10" t="n">
        <v>-0.03347415985329739</v>
      </c>
      <c r="F87" s="10" t="n">
        <v>0.009963783016646435</v>
      </c>
      <c r="G87" s="10" t="n">
        <v>-0.0462782463230367</v>
      </c>
    </row>
    <row r="88" ht="18" customHeight="1">
      <c r="A88" s="15" t="n">
        <v>39202</v>
      </c>
      <c r="B88" s="10" t="n">
        <v>0.0399658673028782</v>
      </c>
      <c r="C88" s="10" t="n">
        <v>0.05754361669761557</v>
      </c>
      <c r="D88" s="10" t="n">
        <v>0.05754361669761557</v>
      </c>
      <c r="E88" s="10" t="n">
        <v>0.02831915478798549</v>
      </c>
      <c r="F88" s="10" t="n">
        <v>-0.00333231587481103</v>
      </c>
      <c r="G88" s="10" t="n">
        <v>0.02793776843472989</v>
      </c>
    </row>
    <row r="89" ht="18" customHeight="1">
      <c r="A89" s="15" t="n">
        <v>39233</v>
      </c>
      <c r="B89" s="10" t="n">
        <v>0.02919026707883688</v>
      </c>
      <c r="C89" s="10" t="n">
        <v>0.01794355986563692</v>
      </c>
      <c r="D89" s="10" t="n">
        <v>0.01794355986563692</v>
      </c>
      <c r="E89" s="10" t="n">
        <v>0.01119647320316913</v>
      </c>
      <c r="F89" s="10" t="n">
        <v>0.001782467912218098</v>
      </c>
      <c r="G89" s="10" t="n">
        <v>-0.02043180773025903</v>
      </c>
    </row>
    <row r="90" ht="18" customHeight="1">
      <c r="A90" s="15" t="n">
        <v>39262</v>
      </c>
      <c r="B90" s="10" t="n">
        <v>0.002484179903242899</v>
      </c>
      <c r="C90" s="10" t="n">
        <v>0.004271984808353137</v>
      </c>
      <c r="D90" s="10" t="n">
        <v>0.004271984808353137</v>
      </c>
      <c r="E90" s="10" t="n">
        <v>0.0751087640572413</v>
      </c>
      <c r="F90" s="10" t="n">
        <v>-0.0160673706574285</v>
      </c>
      <c r="G90" s="10" t="n">
        <v>-0.03254266439098239</v>
      </c>
    </row>
    <row r="91" ht="18" customHeight="1">
      <c r="A91" s="15" t="n">
        <v>39294</v>
      </c>
      <c r="B91" s="10" t="n">
        <v>0.002614366581897548</v>
      </c>
      <c r="C91" s="10" t="n">
        <v>0.01920267051866068</v>
      </c>
      <c r="D91" s="10" t="n">
        <v>0.01920267051866068</v>
      </c>
      <c r="E91" s="10" t="n">
        <v>-0.01931690929451274</v>
      </c>
      <c r="F91" s="10" t="n">
        <v>0.005132739306859527</v>
      </c>
      <c r="G91" s="10" t="n">
        <v>-0.03299930526924046</v>
      </c>
    </row>
    <row r="92" ht="18" customHeight="1">
      <c r="A92" s="15" t="n">
        <v>39325</v>
      </c>
      <c r="B92" s="10" t="n">
        <v>-0.04714540071288925</v>
      </c>
      <c r="C92" s="10" t="n">
        <v>-0.05929734361610989</v>
      </c>
      <c r="D92" s="10" t="n">
        <v>-0.05929734361610989</v>
      </c>
      <c r="E92" s="10" t="n">
        <v>-0.0658441832466581</v>
      </c>
      <c r="F92" s="10" t="n">
        <v>0.006139143130750925</v>
      </c>
      <c r="G92" s="10" t="n">
        <v>-0.05059634374600595</v>
      </c>
    </row>
    <row r="93" ht="18" customHeight="1">
      <c r="A93" s="15" t="n">
        <v>39353</v>
      </c>
      <c r="B93" s="10" t="n">
        <v>0.02923346641294983</v>
      </c>
      <c r="C93" s="10" t="n">
        <v>0.03116232464929872</v>
      </c>
      <c r="D93" s="10" t="n">
        <v>0.03116232464929872</v>
      </c>
      <c r="E93" s="10" t="n">
        <v>-0.03277236058897273</v>
      </c>
      <c r="F93" s="10" t="n">
        <v>0.008830134034660214</v>
      </c>
      <c r="G93" s="10" t="n">
        <v>0.03927732482331391</v>
      </c>
    </row>
    <row r="94" ht="18" customHeight="1">
      <c r="A94" s="15" t="n">
        <v>39386</v>
      </c>
      <c r="B94" s="10" t="n">
        <v>0.031030457706936</v>
      </c>
      <c r="C94" s="10" t="n">
        <v>0.05726264260737177</v>
      </c>
      <c r="D94" s="10" t="n">
        <v>0.05726264260737177</v>
      </c>
      <c r="E94" s="10" t="n">
        <v>0.001359773970645962</v>
      </c>
      <c r="F94" s="10" t="n">
        <v>0.01230394887762717</v>
      </c>
      <c r="G94" s="10" t="n">
        <v>0.04185481926122817</v>
      </c>
    </row>
    <row r="95" ht="18" customHeight="1">
      <c r="A95" s="15" t="n">
        <v>39416</v>
      </c>
      <c r="B95" s="10" t="n">
        <v>-0.05104208283741885</v>
      </c>
      <c r="C95" s="10" t="n">
        <v>-0.02344959034358812</v>
      </c>
      <c r="D95" s="10" t="n">
        <v>-0.02344959034358812</v>
      </c>
      <c r="E95" s="10" t="n">
        <v>-0.08375665093866064</v>
      </c>
      <c r="F95" s="10" t="n">
        <v>0.009814068297181828</v>
      </c>
      <c r="G95" s="10" t="n">
        <v>-0.07668139993173843</v>
      </c>
    </row>
    <row r="96" ht="18" customHeight="1">
      <c r="A96" s="15" t="n">
        <v>39447</v>
      </c>
      <c r="B96" s="10" t="n">
        <v>0.009928404528597602</v>
      </c>
      <c r="C96" s="10" t="n">
        <v>-0.013481855109782</v>
      </c>
      <c r="D96" s="10" t="n">
        <v>-0.013481855109782</v>
      </c>
      <c r="E96" s="10" t="n">
        <v>-0.01229360009642043</v>
      </c>
      <c r="F96" s="10" t="n">
        <v>-0.006675581694156066</v>
      </c>
      <c r="G96" s="10" t="n">
        <v>-0.02989893975323741</v>
      </c>
    </row>
    <row r="97" ht="18" customHeight="1">
      <c r="A97" s="15" t="n">
        <v>39478</v>
      </c>
      <c r="B97" s="10" t="n">
        <v>-0.07075955465755357</v>
      </c>
      <c r="C97" s="10" t="n">
        <v>-0.08095584226785414</v>
      </c>
      <c r="D97" s="10" t="n">
        <v>-0.08095584226785414</v>
      </c>
      <c r="E97" s="10" t="n">
        <v>-0.08620238821581097</v>
      </c>
      <c r="F97" s="10" t="n">
        <v>0.01725043619271092</v>
      </c>
      <c r="G97" s="10" t="n">
        <v>-0.0802853935791864</v>
      </c>
    </row>
    <row r="98" ht="18" customHeight="1">
      <c r="A98" s="15" t="n">
        <v>39507</v>
      </c>
      <c r="B98" s="10" t="n">
        <v>-0.01234929063473948</v>
      </c>
      <c r="C98" s="10" t="n">
        <v>-0.03381117152743408</v>
      </c>
      <c r="D98" s="10" t="n">
        <v>-0.03381117152743408</v>
      </c>
      <c r="E98" s="10" t="n">
        <v>-0.00181228538725692</v>
      </c>
      <c r="F98" s="10" t="n">
        <v>-0.004159879959594169</v>
      </c>
      <c r="G98" s="10" t="n">
        <v>0.02135983942285843</v>
      </c>
    </row>
    <row r="99" ht="18" customHeight="1">
      <c r="A99" s="15" t="n">
        <v>39538</v>
      </c>
      <c r="B99" s="10" t="n">
        <v>-0.03082205867439809</v>
      </c>
      <c r="C99" s="10" t="n">
        <v>-0.007094375660834398</v>
      </c>
      <c r="D99" s="10" t="n">
        <v>-0.007094375660834398</v>
      </c>
      <c r="E99" s="10" t="n">
        <v>-0.0608695652173912</v>
      </c>
      <c r="F99" s="10" t="n">
        <v>-0.006740635891643946</v>
      </c>
      <c r="G99" s="10" t="n">
        <v>-0.006492714375461284</v>
      </c>
    </row>
    <row r="100" ht="18" customHeight="1">
      <c r="A100" s="15" t="n">
        <v>39568</v>
      </c>
      <c r="B100" s="10" t="n">
        <v>0.04238045212544718</v>
      </c>
      <c r="C100" s="10" t="n">
        <v>0.05714490929701671</v>
      </c>
      <c r="D100" s="10" t="n">
        <v>0.05714490929701671</v>
      </c>
      <c r="E100" s="10" t="n">
        <v>0.04700854700854689</v>
      </c>
      <c r="F100" s="10" t="n">
        <v>0.002105674721710813</v>
      </c>
      <c r="G100" s="10" t="n">
        <v>0.06440211332514964</v>
      </c>
    </row>
    <row r="101" ht="18" customHeight="1">
      <c r="A101" s="15" t="n">
        <v>39598</v>
      </c>
      <c r="B101" s="10" t="n">
        <v>0.02748286183277837</v>
      </c>
      <c r="C101" s="10" t="n">
        <v>0.0293424317617867</v>
      </c>
      <c r="D101" s="10" t="n">
        <v>0.0293424317617867</v>
      </c>
      <c r="E101" s="10" t="n">
        <v>0.05578231292517033</v>
      </c>
      <c r="F101" s="10" t="n">
        <v>0.004874608920214344</v>
      </c>
      <c r="G101" s="10" t="n">
        <v>0.004127783742120046</v>
      </c>
    </row>
    <row r="102" ht="18" customHeight="1">
      <c r="A102" s="15" t="n">
        <v>39629</v>
      </c>
      <c r="B102" s="10" t="n">
        <v>-0.03712631760904909</v>
      </c>
      <c r="C102" s="10" t="n">
        <v>-0.05573491977397266</v>
      </c>
      <c r="D102" s="10" t="n">
        <v>-0.05573491977397266</v>
      </c>
      <c r="E102" s="10" t="n">
        <v>0.05657830142366176</v>
      </c>
      <c r="F102" s="10" t="n">
        <v>-0.01128400404266139</v>
      </c>
      <c r="G102" s="10" t="n">
        <v>-0.06688339844620686</v>
      </c>
    </row>
    <row r="103" ht="18" customHeight="1">
      <c r="A103" s="15" t="n">
        <v>39660</v>
      </c>
      <c r="B103" s="10" t="n">
        <v>-0.06394808567989639</v>
      </c>
      <c r="C103" s="10" t="n">
        <v>-0.06326964894124192</v>
      </c>
      <c r="D103" s="10" t="n">
        <v>-0.06326964894124192</v>
      </c>
      <c r="E103" s="10" t="n">
        <v>-0.02239199991552154</v>
      </c>
      <c r="F103" s="10" t="n">
        <v>-0.007603015447792615</v>
      </c>
      <c r="G103" s="10" t="n">
        <v>-0.07419249984242737</v>
      </c>
    </row>
    <row r="104" ht="18" customHeight="1">
      <c r="A104" s="15" t="n">
        <v>39689</v>
      </c>
      <c r="B104" s="10" t="n">
        <v>0.02016077785849266</v>
      </c>
      <c r="C104" s="10" t="n">
        <v>-0.04002495158647423</v>
      </c>
      <c r="D104" s="10" t="n">
        <v>-0.04002495158647423</v>
      </c>
      <c r="E104" s="10" t="n">
        <v>-0.03044443364280035</v>
      </c>
      <c r="F104" s="10" t="n">
        <v>0.003002281103421353</v>
      </c>
      <c r="G104" s="10" t="n">
        <v>0.01597169132372483</v>
      </c>
    </row>
    <row r="105" ht="18" customHeight="1">
      <c r="A105" s="15" t="n">
        <v>39721</v>
      </c>
      <c r="B105" s="10" t="n">
        <v>-0.05108989029910675</v>
      </c>
      <c r="C105" s="10" t="n">
        <v>-0.07473181514002387</v>
      </c>
      <c r="D105" s="10" t="n">
        <v>-0.07473181514002387</v>
      </c>
      <c r="E105" s="10" t="n">
        <v>-0.05134803921568659</v>
      </c>
      <c r="F105" s="10" t="n">
        <v>-0.02168636509046097</v>
      </c>
      <c r="G105" s="10" t="n">
        <v>-0.01321521001903837</v>
      </c>
    </row>
    <row r="106" ht="18" customHeight="1">
      <c r="A106" s="15" t="n">
        <v>39752</v>
      </c>
      <c r="B106" s="10" t="n">
        <v>-0.2148156489117994</v>
      </c>
      <c r="C106" s="10" t="n">
        <v>-0.2273866518587442</v>
      </c>
      <c r="D106" s="10" t="n">
        <v>-0.2273866518587442</v>
      </c>
      <c r="E106" s="10" t="n">
        <v>0.03469718500076367</v>
      </c>
      <c r="F106" s="10" t="n">
        <v>-0.09237292183059277</v>
      </c>
      <c r="G106" s="10" t="n">
        <v>-0.2738090069017556</v>
      </c>
    </row>
    <row r="107" ht="18" customHeight="1">
      <c r="A107" s="15" t="n">
        <v>39780</v>
      </c>
      <c r="B107" s="10" t="n">
        <v>-0.0952747903975512</v>
      </c>
      <c r="C107" s="10" t="n">
        <v>-0.08922839506172865</v>
      </c>
      <c r="D107" s="10" t="n">
        <v>-0.08922839506172865</v>
      </c>
      <c r="E107" s="10" t="n">
        <v>-0.07535851904818647</v>
      </c>
      <c r="F107" s="10" t="n">
        <v>0.002178670711329036</v>
      </c>
      <c r="G107" s="10" t="n">
        <v>-0.2081962497003307</v>
      </c>
    </row>
    <row r="108" ht="18" customHeight="1">
      <c r="A108" s="15" t="n">
        <v>39813</v>
      </c>
      <c r="B108" s="10" t="n">
        <v>-0.004683632915563721</v>
      </c>
      <c r="C108" s="10" t="n">
        <v>0.00897509755824155</v>
      </c>
      <c r="D108" s="10" t="n">
        <v>0.00897509755824155</v>
      </c>
      <c r="E108" s="10" t="n">
        <v>-0.3148307269290254</v>
      </c>
      <c r="F108" s="10" t="n">
        <v>0.05023122521132269</v>
      </c>
      <c r="G108" s="10" t="n">
        <v>0.01233386068242624</v>
      </c>
    </row>
    <row r="109" ht="18" customHeight="1">
      <c r="A109" s="15" t="n">
        <v>39843</v>
      </c>
      <c r="B109" s="10" t="n">
        <v>-0.006442523367856972</v>
      </c>
      <c r="C109" s="10" t="n">
        <v>-0.03552185942513005</v>
      </c>
      <c r="D109" s="10" t="n">
        <v>-0.03552185942513005</v>
      </c>
      <c r="E109" s="10" t="n">
        <v>0.04185477802859215</v>
      </c>
      <c r="F109" s="10" t="n">
        <v>0.03540763044376346</v>
      </c>
      <c r="G109" s="10" t="n">
        <v>-0.01475352627991457</v>
      </c>
    </row>
    <row r="110" ht="18" customHeight="1">
      <c r="A110" s="15" t="n">
        <v>39871</v>
      </c>
      <c r="B110" s="10" t="n">
        <v>-0.068833161812102</v>
      </c>
      <c r="C110" s="10" t="n">
        <v>-0.08896045704043905</v>
      </c>
      <c r="D110" s="10" t="n">
        <v>-0.08896045704043905</v>
      </c>
      <c r="E110" s="10" t="n">
        <v>0.1400198609731883</v>
      </c>
      <c r="F110" s="10" t="n">
        <v>-0.003677256117891689</v>
      </c>
      <c r="G110" s="10" t="n">
        <v>-0.1460273481158498</v>
      </c>
    </row>
    <row r="111" ht="18" customHeight="1">
      <c r="A111" s="15" t="n">
        <v>39903</v>
      </c>
      <c r="B111" s="10" t="n">
        <v>-0.0606397358092229</v>
      </c>
      <c r="C111" s="10" t="n">
        <v>-0.053283904166436</v>
      </c>
      <c r="D111" s="10" t="n">
        <v>-0.053283904166436</v>
      </c>
      <c r="E111" s="10" t="n">
        <v>-0.01757998099461524</v>
      </c>
      <c r="F111" s="10" t="n">
        <v>-0.02707470573514605</v>
      </c>
      <c r="G111" s="10" t="n">
        <v>-0.0922275600113495</v>
      </c>
    </row>
    <row r="112" ht="18" customHeight="1">
      <c r="A112" s="15" t="n">
        <v>39933</v>
      </c>
      <c r="B112" s="10" t="n">
        <v>0.1273901654932736</v>
      </c>
      <c r="C112" s="10" t="n">
        <v>0.1336450418858365</v>
      </c>
      <c r="D112" s="10" t="n">
        <v>0.1336450418858365</v>
      </c>
      <c r="E112" s="10" t="n">
        <v>0.03816125837728276</v>
      </c>
      <c r="F112" s="10" t="n">
        <v>0.01981005697705713</v>
      </c>
      <c r="G112" s="10" t="n">
        <v>0.1952725072087146</v>
      </c>
    </row>
    <row r="113" ht="18" customHeight="1">
      <c r="A113" s="15" t="n">
        <v>39962</v>
      </c>
      <c r="B113" s="10" t="n">
        <v>0.06553763948383282</v>
      </c>
      <c r="C113" s="10" t="n">
        <v>0.1203528670447384</v>
      </c>
      <c r="D113" s="10" t="n">
        <v>0.1203528670447384</v>
      </c>
      <c r="E113" s="10" t="n">
        <v>0.1249877989263058</v>
      </c>
      <c r="F113" s="10" t="n">
        <v>0.03742153623859502</v>
      </c>
      <c r="G113" s="10" t="n">
        <v>0.07654866428290631</v>
      </c>
    </row>
    <row r="114" ht="18" customHeight="1">
      <c r="A114" s="15" t="n">
        <v>39994</v>
      </c>
      <c r="B114" s="10" t="n">
        <v>0.02828447910834388</v>
      </c>
      <c r="C114" s="10" t="n">
        <v>0.04386951631046106</v>
      </c>
      <c r="D114" s="10" t="n">
        <v>0.04386951631046106</v>
      </c>
      <c r="E114" s="10" t="n">
        <v>0.13022113022113</v>
      </c>
      <c r="F114" s="10" t="n">
        <v>0.03178608581770133</v>
      </c>
      <c r="G114" s="10" t="n">
        <v>0.05151438743150908</v>
      </c>
    </row>
    <row r="115" ht="18" customHeight="1">
      <c r="A115" s="15" t="n">
        <v>40025</v>
      </c>
      <c r="B115" s="10" t="n">
        <v>0.01066363558428616</v>
      </c>
      <c r="C115" s="10" t="n">
        <v>0.0134464017991008</v>
      </c>
      <c r="D115" s="10" t="n">
        <v>0.0134464017991008</v>
      </c>
      <c r="E115" s="10" t="n">
        <v>-0.04286761113825101</v>
      </c>
      <c r="F115" s="10" t="n">
        <v>0.03054563874808469</v>
      </c>
      <c r="G115" s="10" t="n">
        <v>0.01197723496027978</v>
      </c>
    </row>
    <row r="116" ht="18" customHeight="1">
      <c r="A116" s="15" t="n">
        <v>40056</v>
      </c>
      <c r="B116" s="10" t="n">
        <v>0.08227978652338788</v>
      </c>
      <c r="C116" s="10" t="n">
        <v>0.09999757843130767</v>
      </c>
      <c r="D116" s="10" t="n">
        <v>0.09999757843130767</v>
      </c>
      <c r="E116" s="10" t="n">
        <v>0.006981534479301436</v>
      </c>
      <c r="F116" s="10" t="n">
        <v>0.03227197142621004</v>
      </c>
      <c r="G116" s="10" t="n">
        <v>0.1780176712100524</v>
      </c>
    </row>
    <row r="117" ht="18" customHeight="1">
      <c r="A117" s="15" t="n">
        <v>40086</v>
      </c>
      <c r="B117" s="10" t="n">
        <v>0.0371569049287885</v>
      </c>
      <c r="C117" s="10" t="n">
        <v>0.05068103358091851</v>
      </c>
      <c r="D117" s="10" t="n">
        <v>0.05068103358091851</v>
      </c>
      <c r="E117" s="10" t="n">
        <v>-0.05163945307314482</v>
      </c>
      <c r="F117" s="10" t="n">
        <v>0.02380333773075544</v>
      </c>
      <c r="G117" s="10" t="n">
        <v>0.07971980437507775</v>
      </c>
    </row>
    <row r="118" ht="18" customHeight="1">
      <c r="A118" s="15" t="n">
        <v>40116</v>
      </c>
      <c r="B118" s="10" t="n">
        <v>0.02064112300475549</v>
      </c>
      <c r="C118" s="10" t="n">
        <v>0.02036549157362115</v>
      </c>
      <c r="D118" s="10" t="n">
        <v>0.02036549157362115</v>
      </c>
      <c r="E118" s="10" t="n">
        <v>-0.004199328107502785</v>
      </c>
      <c r="F118" s="10" t="n">
        <v>0.009745557139918657</v>
      </c>
      <c r="G118" s="10" t="n">
        <v>0.01928729401472438</v>
      </c>
    </row>
    <row r="119" ht="18" customHeight="1">
      <c r="A119" s="15" t="n">
        <v>40147</v>
      </c>
      <c r="B119" s="10" t="n">
        <v>0.01340801153352086</v>
      </c>
      <c r="C119" s="10" t="n">
        <v>0.008719750195159833</v>
      </c>
      <c r="D119" s="10" t="n">
        <v>0.008719750195159833</v>
      </c>
      <c r="E119" s="10" t="n">
        <v>0.004431587825340465</v>
      </c>
      <c r="F119" s="10" t="n">
        <v>0.009331511195758681</v>
      </c>
      <c r="G119" s="10" t="n">
        <v>0.008965944650867115</v>
      </c>
    </row>
    <row r="120" ht="18" customHeight="1">
      <c r="A120" s="15" t="n">
        <v>40178</v>
      </c>
      <c r="B120" s="10" t="n">
        <v>0.02434441873450202</v>
      </c>
      <c r="C120" s="10" t="n">
        <v>-0.004450720072839875</v>
      </c>
      <c r="D120" s="10" t="n">
        <v>-0.004450720072839875</v>
      </c>
      <c r="E120" s="10" t="n">
        <v>0.05506573859242062</v>
      </c>
      <c r="F120" s="10" t="n">
        <v>0.005369660077512175</v>
      </c>
      <c r="G120" s="10" t="n">
        <v>0.02452971976962642</v>
      </c>
    </row>
    <row r="121" ht="18" customHeight="1">
      <c r="A121" s="15" t="n">
        <v>40207</v>
      </c>
      <c r="B121" s="10" t="n">
        <v>0.01556272714871735</v>
      </c>
      <c r="C121" s="10" t="n">
        <v>-0.004507795232704467</v>
      </c>
      <c r="D121" s="10" t="n">
        <v>-0.004507795232704467</v>
      </c>
      <c r="E121" s="10" t="n">
        <v>0.03987685090162778</v>
      </c>
      <c r="F121" s="10" t="n">
        <v>0.009120598931250546</v>
      </c>
      <c r="G121" s="10" t="n">
        <v>0.01409625036029242</v>
      </c>
    </row>
    <row r="122" ht="18" customHeight="1">
      <c r="A122" s="15" t="n">
        <v>40235</v>
      </c>
      <c r="B122" s="10" t="n">
        <v>-0.02986447337995566</v>
      </c>
      <c r="C122" s="10" t="n">
        <v>-0.06355007730630491</v>
      </c>
      <c r="D122" s="10" t="n">
        <v>-0.06355007730630491</v>
      </c>
      <c r="E122" s="10" t="n">
        <v>-0.01127872550401832</v>
      </c>
      <c r="F122" s="10" t="n">
        <v>-0.0009206401670261224</v>
      </c>
      <c r="G122" s="10" t="n">
        <v>-0.03362746198305378</v>
      </c>
    </row>
    <row r="123" ht="18" customHeight="1">
      <c r="A123" s="15" t="n">
        <v>40268</v>
      </c>
      <c r="B123" s="10" t="n">
        <v>0.06257506559864806</v>
      </c>
      <c r="C123" s="10" t="n">
        <v>0.05192852865679308</v>
      </c>
      <c r="D123" s="10" t="n">
        <v>0.05192852865679308</v>
      </c>
      <c r="E123" s="10" t="n">
        <v>0.009845070335215931</v>
      </c>
      <c r="F123" s="10" t="n">
        <v>0.0109115853343577</v>
      </c>
      <c r="G123" s="10" t="n">
        <v>0.07884208690653441</v>
      </c>
    </row>
    <row r="124" ht="18" customHeight="1">
      <c r="A124" s="15" t="n">
        <v>40298</v>
      </c>
      <c r="B124" s="10" t="n">
        <v>0.04280675075788875</v>
      </c>
      <c r="C124" s="10" t="n">
        <v>0.02443808331312781</v>
      </c>
      <c r="D124" s="10" t="n">
        <v>0.02443808331312781</v>
      </c>
      <c r="E124" s="10" t="n">
        <v>0.03204033805923472</v>
      </c>
      <c r="F124" s="10" t="n">
        <v>0.007593774437737612</v>
      </c>
      <c r="G124" s="10" t="n">
        <v>0.04774629149905552</v>
      </c>
    </row>
    <row r="125" ht="18" customHeight="1">
      <c r="A125" s="15" t="n">
        <v>40329</v>
      </c>
      <c r="B125" s="10" t="n">
        <v>-0.05979756851096411</v>
      </c>
      <c r="C125" s="10" t="n">
        <v>-0.11512450283981</v>
      </c>
      <c r="D125" s="10" t="n">
        <v>-0.11512450283981</v>
      </c>
      <c r="E125" s="10" t="n">
        <v>-0.1109535625664659</v>
      </c>
      <c r="F125" s="10" t="n">
        <v>0.01121611969977089</v>
      </c>
      <c r="G125" s="10" t="n">
        <v>-0.0455569101328188</v>
      </c>
    </row>
    <row r="126" ht="18" customHeight="1">
      <c r="A126" s="15" t="n">
        <v>40359</v>
      </c>
      <c r="B126" s="10" t="n">
        <v>-0.03825639827005179</v>
      </c>
      <c r="C126" s="10" t="n">
        <v>-0.01758762111301552</v>
      </c>
      <c r="D126" s="10" t="n">
        <v>-0.01758762111301552</v>
      </c>
      <c r="E126" s="10" t="n">
        <v>-0.06313131313131286</v>
      </c>
      <c r="F126" s="10" t="n">
        <v>0.001419899222090309</v>
      </c>
      <c r="G126" s="10" t="n">
        <v>-0.01564392177366311</v>
      </c>
    </row>
    <row r="127" ht="18" customHeight="1">
      <c r="A127" s="15" t="n">
        <v>40389</v>
      </c>
      <c r="B127" s="10" t="n">
        <v>-0.006999526609732615</v>
      </c>
      <c r="C127" s="10" t="n">
        <v>0.04014206271321091</v>
      </c>
      <c r="D127" s="10" t="n">
        <v>0.04014206271321091</v>
      </c>
      <c r="E127" s="10" t="n">
        <v>-0.06013010964067861</v>
      </c>
      <c r="F127" s="10" t="n">
        <v>0.02184863511255521</v>
      </c>
      <c r="G127" s="10" t="n">
        <v>0.01564827086140945</v>
      </c>
    </row>
    <row r="128" ht="18" customHeight="1">
      <c r="A128" s="15" t="n">
        <v>40421</v>
      </c>
      <c r="B128" s="10" t="n">
        <v>0.005846310835984274</v>
      </c>
      <c r="C128" s="10" t="n">
        <v>0.02785515320334274</v>
      </c>
      <c r="D128" s="10" t="n">
        <v>0.02785515320334274</v>
      </c>
      <c r="E128" s="10" t="n">
        <v>-0.1038683801966535</v>
      </c>
      <c r="F128" s="10" t="n">
        <v>0.02496727705068901</v>
      </c>
      <c r="G128" s="10" t="n">
        <v>0.04666566338029206</v>
      </c>
    </row>
    <row r="129" ht="18" customHeight="1">
      <c r="A129" s="15" t="n">
        <v>40451</v>
      </c>
      <c r="B129" s="10" t="n">
        <v>0.0343360416835168</v>
      </c>
      <c r="C129" s="10" t="n">
        <v>0.04244252119940554</v>
      </c>
      <c r="D129" s="10" t="n">
        <v>0.04244252119940554</v>
      </c>
      <c r="E129" s="10" t="n">
        <v>-0.01890485013274307</v>
      </c>
      <c r="F129" s="10" t="n">
        <v>0.005092924994042547</v>
      </c>
      <c r="G129" s="10" t="n">
        <v>0.05343475310492852</v>
      </c>
    </row>
    <row r="130" ht="18" customHeight="1">
      <c r="A130" s="15" t="n">
        <v>40480</v>
      </c>
      <c r="B130" s="10" t="n">
        <v>0.04732442402119228</v>
      </c>
      <c r="C130" s="10" t="n">
        <v>0.05978687336396217</v>
      </c>
      <c r="D130" s="10" t="n">
        <v>0.05978687336396217</v>
      </c>
      <c r="E130" s="10" t="n">
        <v>-0.08633093525179843</v>
      </c>
      <c r="F130" s="10" t="n">
        <v>0.01199620049923903</v>
      </c>
      <c r="G130" s="10" t="n">
        <v>0.0509060607782762</v>
      </c>
    </row>
    <row r="131" ht="18" customHeight="1">
      <c r="A131" s="15" t="n">
        <v>40512</v>
      </c>
      <c r="B131" s="10" t="n">
        <v>0.02687308326385598</v>
      </c>
      <c r="C131" s="10" t="n">
        <v>0.005426058646650775</v>
      </c>
      <c r="D131" s="10" t="n">
        <v>0.005426058646650775</v>
      </c>
      <c r="E131" s="10" t="n">
        <v>0.1421850393700788</v>
      </c>
      <c r="F131" s="10" t="n">
        <v>-0.006799914795174049</v>
      </c>
      <c r="G131" s="10" t="n">
        <v>-0.005182763382218338</v>
      </c>
    </row>
    <row r="132" ht="18" customHeight="1">
      <c r="A132" s="15" t="n">
        <v>40543</v>
      </c>
      <c r="B132" s="10" t="n">
        <v>0.04005057130098823</v>
      </c>
      <c r="C132" s="10" t="n">
        <v>0.00120107583544928</v>
      </c>
      <c r="D132" s="10" t="n">
        <v>0.00120107583544928</v>
      </c>
      <c r="E132" s="10" t="n">
        <v>0.1910637317803439</v>
      </c>
      <c r="F132" s="10" t="n">
        <v>-0.0182765359915481</v>
      </c>
      <c r="G132" s="10" t="n">
        <v>0.006738186230342767</v>
      </c>
    </row>
    <row r="133" ht="18" customHeight="1">
      <c r="A133" s="15" t="n">
        <v>40574</v>
      </c>
      <c r="B133" s="10" t="n">
        <v>0.03204580878274657</v>
      </c>
      <c r="C133" s="10" t="n">
        <v>0.0149450659620215</v>
      </c>
      <c r="D133" s="10" t="n">
        <v>0.0149450659620215</v>
      </c>
      <c r="E133" s="10" t="n">
        <v>0.03132596685082902</v>
      </c>
      <c r="F133" s="10" t="n">
        <v>0.007027737181169037</v>
      </c>
      <c r="G133" s="10" t="n">
        <v>0.02913234418902565</v>
      </c>
    </row>
    <row r="134" ht="18" customHeight="1">
      <c r="A134" s="15" t="n">
        <v>40602</v>
      </c>
      <c r="B134" s="10" t="n">
        <v>0.03107882008003586</v>
      </c>
      <c r="C134" s="10" t="n">
        <v>0.03466469227960547</v>
      </c>
      <c r="D134" s="10" t="n">
        <v>0.03466469227960547</v>
      </c>
      <c r="E134" s="10" t="n">
        <v>0.05371708587910514</v>
      </c>
      <c r="F134" s="10" t="n">
        <v>-0.00179562840114872</v>
      </c>
      <c r="G134" s="10" t="n">
        <v>0.03486602528808916</v>
      </c>
    </row>
    <row r="135" ht="18" customHeight="1">
      <c r="A135" s="15" t="n">
        <v>40633</v>
      </c>
      <c r="B135" s="10" t="n">
        <v>-0.01115406896509786</v>
      </c>
      <c r="C135" s="10" t="n">
        <v>-0.0246076681697028</v>
      </c>
      <c r="D135" s="10" t="n">
        <v>-0.0246076681697028</v>
      </c>
      <c r="E135" s="10" t="n">
        <v>-0.04528905525162358</v>
      </c>
      <c r="F135" s="10" t="n">
        <v>0.01177374364019909</v>
      </c>
      <c r="G135" s="10" t="n">
        <v>-0.002824198925530402</v>
      </c>
    </row>
    <row r="136" ht="18" customHeight="1">
      <c r="A136" s="15" t="n">
        <v>40662</v>
      </c>
      <c r="B136" s="10" t="n">
        <v>0.0236849242175629</v>
      </c>
      <c r="C136" s="10" t="n">
        <v>0.03196392522874469</v>
      </c>
      <c r="D136" s="10" t="n">
        <v>0.03196392522874469</v>
      </c>
      <c r="E136" s="10" t="n">
        <v>0.01190627785559664</v>
      </c>
      <c r="F136" s="10" t="n">
        <v>0.005139464731401954</v>
      </c>
      <c r="G136" s="10" t="n">
        <v>0.03677200142276803</v>
      </c>
    </row>
    <row r="137" ht="18" customHeight="1">
      <c r="A137" s="15" t="n">
        <v>40694</v>
      </c>
      <c r="B137" s="10" t="n">
        <v>0.004100847984272962</v>
      </c>
      <c r="C137" s="10" t="n">
        <v>-0.001986677573916361</v>
      </c>
      <c r="D137" s="10" t="n">
        <v>-0.001986677573916361</v>
      </c>
      <c r="E137" s="10" t="n">
        <v>-0.08290262559437644</v>
      </c>
      <c r="F137" s="10" t="n">
        <v>0.01949081259389545</v>
      </c>
      <c r="G137" s="10" t="n">
        <v>0.02595089821587942</v>
      </c>
    </row>
    <row r="138" ht="18" customHeight="1">
      <c r="A138" s="15" t="n">
        <v>40724</v>
      </c>
      <c r="B138" s="10" t="n">
        <v>-0.03846552003894327</v>
      </c>
      <c r="C138" s="10" t="n">
        <v>-0.02667660208643806</v>
      </c>
      <c r="D138" s="10" t="n">
        <v>-0.02667660208643806</v>
      </c>
      <c r="E138" s="10" t="n">
        <v>-0.05248381014837305</v>
      </c>
      <c r="F138" s="10" t="n">
        <v>0.004492575680119356</v>
      </c>
      <c r="G138" s="10" t="n">
        <v>-0.01213514417833677</v>
      </c>
    </row>
    <row r="139" ht="18" customHeight="1">
      <c r="A139" s="15" t="n">
        <v>40753</v>
      </c>
      <c r="B139" s="10" t="n">
        <v>0.03014299122400792</v>
      </c>
      <c r="C139" s="10" t="n">
        <v>0.0130513084118963</v>
      </c>
      <c r="D139" s="10" t="n">
        <v>0.0130513084118963</v>
      </c>
      <c r="E139" s="10" t="n">
        <v>0.0002422407267223149</v>
      </c>
      <c r="F139" s="10" t="n">
        <v>0.004475020420965813</v>
      </c>
      <c r="G139" s="10" t="n">
        <v>0.02621000981168825</v>
      </c>
    </row>
    <row r="140" ht="18" customHeight="1">
      <c r="A140" s="15" t="n">
        <v>40786</v>
      </c>
      <c r="B140" s="10" t="n">
        <v>-0.1134648494241154</v>
      </c>
      <c r="C140" s="10" t="n">
        <v>-0.108859156044652</v>
      </c>
      <c r="D140" s="10" t="n">
        <v>-0.108859156044652</v>
      </c>
      <c r="E140" s="10" t="n">
        <v>-0.2330857548248855</v>
      </c>
      <c r="F140" s="10" t="n">
        <v>0.01857935004238923</v>
      </c>
      <c r="G140" s="10" t="n">
        <v>-0.09517548629754265</v>
      </c>
    </row>
    <row r="141" ht="18" customHeight="1">
      <c r="A141" s="15" t="n">
        <v>40816</v>
      </c>
      <c r="B141" s="10" t="n">
        <v>-0.01222934726847287</v>
      </c>
      <c r="C141" s="10" t="n">
        <v>-0.06177917232021724</v>
      </c>
      <c r="D141" s="10" t="n">
        <v>-0.06177917232021724</v>
      </c>
      <c r="E141" s="10" t="n">
        <v>-0.1423357336138152</v>
      </c>
      <c r="F141" s="10" t="n">
        <v>0.001697766874144391</v>
      </c>
      <c r="G141" s="10" t="n">
        <v>-0.02532566028235213</v>
      </c>
    </row>
    <row r="142" ht="18" customHeight="1">
      <c r="A142" s="15" t="n">
        <v>40847</v>
      </c>
      <c r="B142" s="10" t="n">
        <v>0.0258649356361977</v>
      </c>
      <c r="C142" s="10" t="n">
        <v>0.03185291832645734</v>
      </c>
      <c r="D142" s="10" t="n">
        <v>0.03185291832645734</v>
      </c>
      <c r="E142" s="10" t="n">
        <v>0.08948891031822537</v>
      </c>
      <c r="F142" s="10" t="n">
        <v>-0.004614226661394136</v>
      </c>
      <c r="G142" s="10" t="n">
        <v>-0.01193704959418939</v>
      </c>
    </row>
    <row r="143" ht="18" customHeight="1">
      <c r="A143" s="15" t="n">
        <v>40877</v>
      </c>
      <c r="B143" s="10" t="n">
        <v>0.01860951629098112</v>
      </c>
      <c r="C143" s="10" t="n">
        <v>-0.02333628104482442</v>
      </c>
      <c r="D143" s="10" t="n">
        <v>-0.02333628104482442</v>
      </c>
      <c r="E143" s="10" t="n">
        <v>-0.06435873605947959</v>
      </c>
      <c r="F143" s="10" t="n">
        <v>0.0118105311288588</v>
      </c>
      <c r="G143" s="10" t="n">
        <v>0.01458213212986589</v>
      </c>
    </row>
    <row r="144" ht="18" customHeight="1">
      <c r="A144" s="15" t="n">
        <v>40907</v>
      </c>
      <c r="B144" s="10" t="n">
        <v>0.01285701479854227</v>
      </c>
      <c r="C144" s="10" t="n">
        <v>-0.01802771424727574</v>
      </c>
      <c r="D144" s="10" t="n">
        <v>-0.01802771424727574</v>
      </c>
      <c r="E144" s="10" t="n">
        <v>-0.01758369103787498</v>
      </c>
      <c r="F144" s="10" t="n">
        <v>-0.0009104105424963794</v>
      </c>
      <c r="G144" s="10" t="n">
        <v>0.01151235117513465</v>
      </c>
    </row>
    <row r="145" ht="18" customHeight="1">
      <c r="A145" s="15" t="n">
        <v>40939</v>
      </c>
      <c r="B145" s="10" t="n">
        <v>0.04797175385082594</v>
      </c>
      <c r="C145" s="10" t="n">
        <v>0.01402018541352707</v>
      </c>
      <c r="D145" s="10" t="n">
        <v>0.01402018541352707</v>
      </c>
      <c r="E145" s="10" t="n">
        <v>-0.005861819932595485</v>
      </c>
      <c r="F145" s="10" t="n">
        <v>0.01407398668798756</v>
      </c>
      <c r="G145" s="10" t="n">
        <v>0.0470757560782762</v>
      </c>
    </row>
    <row r="146" ht="18" customHeight="1">
      <c r="A146" s="15" t="n">
        <v>40968</v>
      </c>
      <c r="B146" s="10" t="n">
        <v>0.04497314247140839</v>
      </c>
      <c r="C146" s="10" t="n">
        <v>0.06668039220732414</v>
      </c>
      <c r="D146" s="10" t="n">
        <v>0.06668039220732414</v>
      </c>
      <c r="E146" s="10" t="n">
        <v>0.0005085176709892368</v>
      </c>
      <c r="F146" s="10" t="n">
        <v>0.01736120335906456</v>
      </c>
      <c r="G146" s="10" t="n">
        <v>0.05052843099495479</v>
      </c>
    </row>
    <row r="147" ht="18" customHeight="1">
      <c r="A147" s="15" t="n">
        <v>40998</v>
      </c>
      <c r="B147" s="10" t="n">
        <v>0.02363213757458276</v>
      </c>
      <c r="C147" s="10" t="n">
        <v>0.01074237598919129</v>
      </c>
      <c r="D147" s="10" t="n">
        <v>0.01074237598919129</v>
      </c>
      <c r="E147" s="10" t="n">
        <v>0.104308651957953</v>
      </c>
      <c r="F147" s="10" t="n">
        <v>-0.0009469570264024356</v>
      </c>
      <c r="G147" s="10" t="n">
        <v>0.01333701648150875</v>
      </c>
    </row>
    <row r="148" ht="18" customHeight="1">
      <c r="A148" s="15" t="n">
        <v>41029</v>
      </c>
      <c r="B148" s="10" t="n">
        <v>-0.003735134102679584</v>
      </c>
      <c r="C148" s="10" t="n">
        <v>-0.02743282032308313</v>
      </c>
      <c r="D148" s="10" t="n">
        <v>-0.02743282032308313</v>
      </c>
      <c r="E148" s="10" t="n">
        <v>-0.05517035265989243</v>
      </c>
      <c r="F148" s="10" t="n">
        <v>0.006150958009067752</v>
      </c>
      <c r="G148" s="10" t="n">
        <v>0.0139319142804892</v>
      </c>
    </row>
    <row r="149" ht="18" customHeight="1">
      <c r="A149" s="15" t="n">
        <v>41060</v>
      </c>
      <c r="B149" s="10" t="n">
        <v>-0.0330436476218452</v>
      </c>
      <c r="C149" s="10" t="n">
        <v>-0.0613203117663629</v>
      </c>
      <c r="D149" s="10" t="n">
        <v>-0.0613203117663629</v>
      </c>
      <c r="E149" s="10" t="n">
        <v>-0.1216233314354395</v>
      </c>
      <c r="F149" s="10" t="n">
        <v>0.008586723218813951</v>
      </c>
      <c r="G149" s="10" t="n">
        <v>0.001428537820310049</v>
      </c>
    </row>
    <row r="150" ht="18" customHeight="1">
      <c r="A150" s="15" t="n">
        <v>41089</v>
      </c>
      <c r="B150" s="10" t="n">
        <v>-0.01635801605081964</v>
      </c>
      <c r="C150" s="10" t="n">
        <v>-0.02440976390556238</v>
      </c>
      <c r="D150" s="10" t="n">
        <v>-0.02440976390556238</v>
      </c>
      <c r="E150" s="10" t="n">
        <v>-0.1002676845883302</v>
      </c>
      <c r="F150" s="10" t="n">
        <v>0.005949922092006159</v>
      </c>
      <c r="G150" s="10" t="n">
        <v>-0.008849483273630323</v>
      </c>
    </row>
    <row r="151" ht="18" customHeight="1">
      <c r="A151" s="15" t="n">
        <v>41121</v>
      </c>
      <c r="B151" s="10" t="n">
        <v>0.02752209098745743</v>
      </c>
      <c r="C151" s="10" t="n">
        <v>0.03582627572898796</v>
      </c>
      <c r="D151" s="10" t="n">
        <v>0.03582627572898796</v>
      </c>
      <c r="E151" s="10" t="n">
        <v>-0.05899618432638708</v>
      </c>
      <c r="F151" s="10" t="n">
        <v>0.02156589973065626</v>
      </c>
      <c r="G151" s="10" t="n">
        <v>0.05904955119902519</v>
      </c>
    </row>
    <row r="152" ht="18" customHeight="1">
      <c r="A152" s="15" t="n">
        <v>41152</v>
      </c>
      <c r="B152" s="10" t="n">
        <v>0.02980833491439922</v>
      </c>
      <c r="C152" s="10" t="n">
        <v>0.04452953509661325</v>
      </c>
      <c r="D152" s="10" t="n">
        <v>0.04452953509661325</v>
      </c>
      <c r="E152" s="10" t="n">
        <v>0.09929751281564483</v>
      </c>
      <c r="F152" s="10" t="n">
        <v>0.004343355612640303</v>
      </c>
      <c r="G152" s="10" t="n">
        <v>0.01648012737397778</v>
      </c>
    </row>
    <row r="153" ht="18" customHeight="1">
      <c r="A153" s="15" t="n">
        <v>41180</v>
      </c>
      <c r="B153" s="10" t="n">
        <v>0.03171532108892062</v>
      </c>
      <c r="C153" s="10" t="n">
        <v>0.0310279056267361</v>
      </c>
      <c r="D153" s="10" t="n">
        <v>0.0310279056267361</v>
      </c>
      <c r="E153" s="10" t="n">
        <v>0.02675211344423236</v>
      </c>
      <c r="F153" s="10" t="n">
        <v>0.006872753906606733</v>
      </c>
      <c r="G153" s="10" t="n">
        <v>0.01732776451966835</v>
      </c>
    </row>
    <row r="154" ht="18" customHeight="1">
      <c r="A154" s="15" t="n">
        <v>41213</v>
      </c>
      <c r="B154" s="10" t="n">
        <v>-0.005294369563251769</v>
      </c>
      <c r="C154" s="10" t="n">
        <v>-0.01002602019682031</v>
      </c>
      <c r="D154" s="10" t="n">
        <v>-0.01002602019682031</v>
      </c>
      <c r="E154" s="10" t="n">
        <v>0.0133664950402883</v>
      </c>
      <c r="F154" s="10" t="n">
        <v>0.0149945882395335</v>
      </c>
      <c r="G154" s="10" t="n">
        <v>-0.005863868717731195</v>
      </c>
    </row>
    <row r="155" ht="18" customHeight="1">
      <c r="A155" s="15" t="n">
        <v>41243</v>
      </c>
      <c r="B155" s="10" t="n">
        <v>-0.02786064222021747</v>
      </c>
      <c r="C155" s="10" t="n">
        <v>-0.005977265341093893</v>
      </c>
      <c r="D155" s="10" t="n">
        <v>-0.005977265341093893</v>
      </c>
      <c r="E155" s="10" t="n">
        <v>-0.05279520043632383</v>
      </c>
      <c r="F155" s="10" t="n">
        <v>0.003973959079796479</v>
      </c>
      <c r="G155" s="10" t="n">
        <v>-0.007128093925914064</v>
      </c>
    </row>
    <row r="156" ht="18" customHeight="1">
      <c r="A156" s="15" t="n">
        <v>41274</v>
      </c>
      <c r="B156" s="10" t="n">
        <v>0.02271146555989459</v>
      </c>
      <c r="C156" s="10" t="n">
        <v>0.04833521530808411</v>
      </c>
      <c r="D156" s="10" t="n">
        <v>0.04833521530808411</v>
      </c>
      <c r="E156" s="10" t="n">
        <v>0.03929866989117289</v>
      </c>
      <c r="F156" s="10" t="n">
        <v>-0.0006654224228610722</v>
      </c>
      <c r="G156" s="10" t="n">
        <v>0.02846996022770818</v>
      </c>
    </row>
    <row r="157" ht="18" customHeight="1">
      <c r="A157" s="15" t="n">
        <v>41305</v>
      </c>
      <c r="B157" s="10" t="n">
        <v>0.04487171417012002</v>
      </c>
      <c r="C157" s="10" t="n">
        <v>0.03545313291861839</v>
      </c>
      <c r="D157" s="10" t="n">
        <v>0.03545313291861839</v>
      </c>
      <c r="E157" s="10" t="n">
        <v>0.1138812709493339</v>
      </c>
      <c r="F157" s="10" t="n">
        <v>-0.002699699461056318</v>
      </c>
      <c r="G157" s="10" t="n">
        <v>0.03515112082384577</v>
      </c>
    </row>
    <row r="158" ht="18" customHeight="1">
      <c r="A158" s="15" t="n">
        <v>41333</v>
      </c>
      <c r="B158" s="10" t="n">
        <v>0.02284893336572566</v>
      </c>
      <c r="C158" s="10" t="n">
        <v>0.007900681450246621</v>
      </c>
      <c r="D158" s="10" t="n">
        <v>0.007900681450246621</v>
      </c>
      <c r="E158" s="10" t="n">
        <v>0.03627010824749017</v>
      </c>
      <c r="F158" s="10" t="n">
        <v>-0.003550195682043472</v>
      </c>
      <c r="G158" s="10" t="n">
        <v>0.01633023408019002</v>
      </c>
    </row>
    <row r="159" ht="18" customHeight="1">
      <c r="A159" s="15" t="n">
        <v>41362</v>
      </c>
      <c r="B159" s="10" t="n">
        <v>0.02635909434634816</v>
      </c>
      <c r="C159" s="10" t="n">
        <v>0.01121182181365176</v>
      </c>
      <c r="D159" s="10" t="n">
        <v>0.01121182181365176</v>
      </c>
      <c r="E159" s="10" t="n">
        <v>-0.01346153846153854</v>
      </c>
      <c r="F159" s="10" t="n">
        <v>0.003128659926122856</v>
      </c>
      <c r="G159" s="10" t="n">
        <v>0.02177735986132796</v>
      </c>
    </row>
    <row r="160" ht="18" customHeight="1">
      <c r="A160" s="15" t="n">
        <v>41394</v>
      </c>
      <c r="B160" s="10" t="n">
        <v>0.009736097838729212</v>
      </c>
      <c r="C160" s="10" t="n">
        <v>0.008573414690662131</v>
      </c>
      <c r="D160" s="10" t="n">
        <v>0.008573414690662131</v>
      </c>
      <c r="E160" s="10" t="n">
        <v>-0.1013584117032392</v>
      </c>
      <c r="F160" s="10" t="n">
        <v>0.01543713848353704</v>
      </c>
      <c r="G160" s="10" t="n">
        <v>0.04569660942591493</v>
      </c>
    </row>
    <row r="161" ht="18" customHeight="1">
      <c r="A161" s="15" t="n">
        <v>41425</v>
      </c>
      <c r="B161" s="10" t="n">
        <v>0.04440830626388839</v>
      </c>
      <c r="C161" s="10" t="n">
        <v>0.04186006246379009</v>
      </c>
      <c r="D161" s="10" t="n">
        <v>0.04186006246379009</v>
      </c>
      <c r="E161" s="10" t="n">
        <v>0.09612403100775185</v>
      </c>
      <c r="F161" s="10" t="n">
        <v>-0.004436976902252978</v>
      </c>
      <c r="G161" s="10" t="n">
        <v>0.02093680852898088</v>
      </c>
    </row>
    <row r="162" ht="18" customHeight="1">
      <c r="A162" s="15" t="n">
        <v>41453</v>
      </c>
      <c r="B162" s="10" t="n">
        <v>-0.01293949559575646</v>
      </c>
      <c r="C162" s="10" t="n">
        <v>-0.04995429937425321</v>
      </c>
      <c r="D162" s="10" t="n">
        <v>-0.04995429937425321</v>
      </c>
      <c r="E162" s="10" t="n">
        <v>0.192833569071193</v>
      </c>
      <c r="F162" s="10" t="n">
        <v>-0.02918209650960676</v>
      </c>
      <c r="G162" s="10" t="n">
        <v>-0.08671792918815939</v>
      </c>
    </row>
    <row r="163" ht="18" customHeight="1">
      <c r="A163" s="15" t="n">
        <v>41486</v>
      </c>
      <c r="B163" s="10" t="n">
        <v>0.03448223841010244</v>
      </c>
      <c r="C163" s="10" t="n">
        <v>0.01228492136910302</v>
      </c>
      <c r="D163" s="10" t="n">
        <v>0.01228492136910302</v>
      </c>
      <c r="E163" s="10" t="n">
        <v>0.1227272727272727</v>
      </c>
      <c r="F163" s="10" t="n">
        <v>-0.006923095240924694</v>
      </c>
      <c r="G163" s="10" t="n">
        <v>0.02272202694499838</v>
      </c>
    </row>
    <row r="164" ht="18" customHeight="1">
      <c r="A164" s="15" t="n">
        <v>41516</v>
      </c>
      <c r="B164" s="10" t="n">
        <v>0.003530302036772353</v>
      </c>
      <c r="C164" s="10" t="n">
        <v>0.02489474191415168</v>
      </c>
      <c r="D164" s="10" t="n">
        <v>0.02489474191415168</v>
      </c>
      <c r="E164" s="10" t="n">
        <v>0.06002464354867093</v>
      </c>
      <c r="F164" s="10" t="n">
        <v>-0.005274594403468844</v>
      </c>
      <c r="G164" s="10" t="n">
        <v>-0.04247403891056994</v>
      </c>
    </row>
    <row r="165" ht="18" customHeight="1">
      <c r="A165" s="15" t="n">
        <v>41547</v>
      </c>
      <c r="B165" s="10" t="n">
        <v>0.01283485229399137</v>
      </c>
      <c r="C165" s="10" t="n">
        <v>0.03027526682398257</v>
      </c>
      <c r="D165" s="10" t="n">
        <v>0.03027526682398257</v>
      </c>
      <c r="E165" s="10" t="n">
        <v>0.02638658253072064</v>
      </c>
      <c r="F165" s="10" t="n">
        <v>-0.001119287190056242</v>
      </c>
      <c r="G165" s="10" t="n">
        <v>0.006863140478775624</v>
      </c>
    </row>
    <row r="166" ht="18" customHeight="1">
      <c r="A166" s="15" t="n">
        <v>41578</v>
      </c>
      <c r="B166" s="10" t="n">
        <v>0.02194339489383202</v>
      </c>
      <c r="C166" s="10" t="n">
        <v>0.03171316711312593</v>
      </c>
      <c r="D166" s="10" t="n">
        <v>0.03171316711312593</v>
      </c>
      <c r="E166" s="10" t="n">
        <v>-0.06890582277661815</v>
      </c>
      <c r="F166" s="10" t="n">
        <v>0.01706984720039368</v>
      </c>
      <c r="G166" s="10" t="n">
        <v>0.04244382435012473</v>
      </c>
    </row>
    <row r="167" ht="18" customHeight="1">
      <c r="A167" s="15" t="n">
        <v>41607</v>
      </c>
      <c r="B167" s="10" t="n">
        <v>0.03273197433908536</v>
      </c>
      <c r="C167" s="10" t="n">
        <v>0.01031056317436857</v>
      </c>
      <c r="D167" s="10" t="n">
        <v>0.01031056317436857</v>
      </c>
      <c r="E167" s="10" t="n">
        <v>0.03918789153596417</v>
      </c>
      <c r="F167" s="10" t="n">
        <v>0.001343471091517753</v>
      </c>
      <c r="G167" s="10" t="n">
        <v>-0.01641488032020533</v>
      </c>
    </row>
    <row r="168" ht="18" customHeight="1">
      <c r="A168" s="15" t="n">
        <v>41639</v>
      </c>
      <c r="B168" s="10" t="n">
        <v>0.01449351726276054</v>
      </c>
      <c r="C168" s="10" t="n">
        <v>-0.005456132693146943</v>
      </c>
      <c r="D168" s="10" t="n">
        <v>-0.005456132693146943</v>
      </c>
      <c r="E168" s="10" t="n">
        <v>0.06749642741898297</v>
      </c>
      <c r="F168" s="10" t="n">
        <v>0.001811317510206606</v>
      </c>
      <c r="G168" s="10" t="n">
        <v>-0.02730748452951527</v>
      </c>
    </row>
    <row r="169" ht="18" customHeight="1">
      <c r="A169" s="15" t="n">
        <v>41670</v>
      </c>
      <c r="B169" s="10" t="n">
        <v>0.01090358411994414</v>
      </c>
      <c r="C169" s="10" t="n">
        <v>0.0110749348827892</v>
      </c>
      <c r="D169" s="10" t="n">
        <v>0.01109171508715706</v>
      </c>
      <c r="E169" s="10" t="n">
        <v>-0.01523721693468999</v>
      </c>
      <c r="F169" s="10" t="n">
        <v>0.01030194871847106</v>
      </c>
      <c r="G169" s="10" t="n">
        <v>0.02020497014549852</v>
      </c>
    </row>
    <row r="170" ht="18" customHeight="1">
      <c r="A170" s="15" t="n">
        <v>41698</v>
      </c>
      <c r="B170" s="10" t="n">
        <v>-0.001547048703135765</v>
      </c>
      <c r="C170" s="10" t="n">
        <v>-0.002628328654932266</v>
      </c>
      <c r="D170" s="10" t="n">
        <v>-0.002606746144447142</v>
      </c>
      <c r="E170" s="10" t="n">
        <v>-0.0515322085620581</v>
      </c>
      <c r="F170" s="10" t="n">
        <v>0.01128818732274888</v>
      </c>
      <c r="G170" s="10" t="n">
        <v>0.03383474545495473</v>
      </c>
    </row>
    <row r="171" ht="18" customHeight="1">
      <c r="A171" s="15" t="n">
        <v>41729</v>
      </c>
      <c r="B171" s="10" t="n">
        <v>0.02655704632607892</v>
      </c>
      <c r="C171" s="10" t="n">
        <v>0.004135081649749177</v>
      </c>
      <c r="D171" s="10" t="n">
        <v>0.004147473263922833</v>
      </c>
      <c r="E171" s="10" t="n">
        <v>0.005090190365190078</v>
      </c>
      <c r="F171" s="10" t="n">
        <v>0.004383497603622292</v>
      </c>
      <c r="G171" s="10" t="n">
        <v>0.01897780664026583</v>
      </c>
    </row>
    <row r="172" ht="18" customHeight="1">
      <c r="A172" s="15" t="n">
        <v>41759</v>
      </c>
      <c r="B172" s="10" t="n">
        <v>-0.004865935697186807</v>
      </c>
      <c r="C172" s="10" t="n">
        <v>0.008407799618489722</v>
      </c>
      <c r="D172" s="10" t="n">
        <v>0.008461738990540979</v>
      </c>
      <c r="E172" s="10" t="n">
        <v>-0.006608637873753937</v>
      </c>
      <c r="F172" s="10" t="n">
        <v>0.01027148075242213</v>
      </c>
      <c r="G172" s="10" t="n">
        <v>0.02579324888191606</v>
      </c>
    </row>
    <row r="173" ht="18" customHeight="1">
      <c r="A173" s="15" t="n">
        <v>41789</v>
      </c>
      <c r="B173" s="10" t="n">
        <v>0.01017373597251652</v>
      </c>
      <c r="C173" s="10" t="n">
        <v>0.01739105702174235</v>
      </c>
      <c r="D173" s="10" t="n">
        <v>0.01735605086831694</v>
      </c>
      <c r="E173" s="10" t="n">
        <v>-0.05427755676817463</v>
      </c>
      <c r="F173" s="10" t="n">
        <v>0.01279914703592989</v>
      </c>
      <c r="G173" s="10" t="n">
        <v>0.03359320034219524</v>
      </c>
    </row>
    <row r="174" ht="18" customHeight="1">
      <c r="A174" s="15" t="n">
        <v>41820</v>
      </c>
      <c r="B174" s="10" t="n">
        <v>0.03203140984191068</v>
      </c>
      <c r="C174" s="10" t="n">
        <v>0.0167438113156831</v>
      </c>
      <c r="D174" s="10" t="n">
        <v>0.0165286338241785</v>
      </c>
      <c r="E174" s="10" t="n">
        <v>0.01551423520655014</v>
      </c>
      <c r="F174" s="10" t="n">
        <v>0.0009842568447129116</v>
      </c>
      <c r="G174" s="10" t="n">
        <v>0.01839598045695772</v>
      </c>
    </row>
    <row r="175" ht="18" customHeight="1">
      <c r="A175" s="15" t="n">
        <v>41851</v>
      </c>
      <c r="B175" s="10" t="n">
        <v>0.01053440971219985</v>
      </c>
      <c r="C175" s="10" t="n">
        <v>-0.009999332886784664</v>
      </c>
      <c r="D175" s="10" t="n">
        <v>-0.009900093775165127</v>
      </c>
      <c r="E175" s="10" t="n">
        <v>-0.02172374681393389</v>
      </c>
      <c r="F175" s="10" t="n">
        <v>0.005487019417971963</v>
      </c>
      <c r="G175" s="10" t="n">
        <v>0.01912703811670225</v>
      </c>
    </row>
    <row r="176" ht="18" customHeight="1">
      <c r="A176" s="15" t="n">
        <v>41880</v>
      </c>
      <c r="B176" s="10" t="n">
        <v>-0.005607807620410393</v>
      </c>
      <c r="C176" s="10" t="n">
        <v>-0.02432001362194833</v>
      </c>
      <c r="D176" s="10" t="n">
        <v>-0.0242128769980631</v>
      </c>
      <c r="E176" s="10" t="n">
        <v>-0.04765816198819947</v>
      </c>
      <c r="F176" s="10" t="n">
        <v>0.007220878771840986</v>
      </c>
      <c r="G176" s="10" t="n">
        <v>0.003242411609353289</v>
      </c>
    </row>
    <row r="177" ht="18" customHeight="1">
      <c r="A177" s="15" t="n">
        <v>41912</v>
      </c>
      <c r="B177" s="10" t="n">
        <v>0.01441095986132644</v>
      </c>
      <c r="C177" s="10" t="n">
        <v>-0.007693928750627226</v>
      </c>
      <c r="D177" s="10" t="n">
        <v>-0.007714090224878014</v>
      </c>
      <c r="E177" s="10" t="n">
        <v>0.04686186540732015</v>
      </c>
      <c r="F177" s="10" t="n">
        <v>-0.005100217497090774</v>
      </c>
      <c r="G177" s="10" t="n">
        <v>-0.01935803952679811</v>
      </c>
    </row>
    <row r="178" ht="18" customHeight="1">
      <c r="A178" s="15" t="n">
        <v>41943</v>
      </c>
      <c r="B178" s="10" t="n">
        <v>-0.03165551664466761</v>
      </c>
      <c r="C178" s="10" t="n">
        <v>-0.06489253296396912</v>
      </c>
      <c r="D178" s="10" t="n">
        <v>-0.06483363494090782</v>
      </c>
      <c r="E178" s="10" t="n">
        <v>-0.09036897868197202</v>
      </c>
      <c r="F178" s="10" t="n">
        <v>0.01118255026045841</v>
      </c>
      <c r="G178" s="10" t="n">
        <v>-0.004661560746436359</v>
      </c>
    </row>
    <row r="179" ht="18" customHeight="1">
      <c r="A179" s="15" t="n">
        <v>41971</v>
      </c>
      <c r="B179" s="10" t="n">
        <v>0.05648407054281606</v>
      </c>
      <c r="C179" s="10" t="n">
        <v>0.02463233290987382</v>
      </c>
      <c r="D179" s="10" t="n">
        <v>0.02452125414637605</v>
      </c>
      <c r="E179" s="10" t="n">
        <v>0.009355011946252894</v>
      </c>
      <c r="F179" s="10" t="n">
        <v>-0.004185727710095984</v>
      </c>
      <c r="G179" s="10" t="n">
        <v>0.0449484600543012</v>
      </c>
    </row>
    <row r="180" ht="18" customHeight="1">
      <c r="A180" s="15" t="n">
        <v>42004</v>
      </c>
      <c r="B180" s="10" t="n">
        <v>0.004081823971127795</v>
      </c>
      <c r="C180" s="10" t="n">
        <v>-0.01829704003443829</v>
      </c>
      <c r="D180" s="10" t="n">
        <v>-0.01807457253551448</v>
      </c>
      <c r="E180" s="10" t="n">
        <v>-0.05097916431394693</v>
      </c>
      <c r="F180" s="10" t="n">
        <v>0.004475189230365902</v>
      </c>
      <c r="G180" s="10" t="n">
        <v>0.0194386888637379</v>
      </c>
    </row>
    <row r="181" ht="18" customHeight="1">
      <c r="A181" s="15" t="n">
        <v>42034</v>
      </c>
      <c r="B181" s="10" t="n">
        <v>-0.009981132798285173</v>
      </c>
      <c r="C181" s="10" t="n">
        <v>-0.02032912037450429</v>
      </c>
      <c r="D181" s="10" t="n">
        <v>-0.02021362552138491</v>
      </c>
      <c r="E181" s="10" t="n">
        <v>-0.1461884987644154</v>
      </c>
      <c r="F181" s="10" t="n">
        <v>0.02060857752584459</v>
      </c>
      <c r="G181" s="10" t="n">
        <v>0.05327097999688031</v>
      </c>
    </row>
    <row r="182" ht="18" customHeight="1">
      <c r="A182" s="15" t="n">
        <v>42062</v>
      </c>
      <c r="B182" s="10" t="n">
        <v>0.02872894011332057</v>
      </c>
      <c r="C182" s="10" t="n">
        <v>0.04857617008534205</v>
      </c>
      <c r="D182" s="10" t="n">
        <v>0.04907204371911957</v>
      </c>
      <c r="E182" s="10" t="n">
        <v>0.05020303229506136</v>
      </c>
      <c r="F182" s="10" t="n">
        <v>0.0006624159167619119</v>
      </c>
      <c r="G182" s="10" t="n">
        <v>0.0003442801698121521</v>
      </c>
    </row>
    <row r="183" ht="18" customHeight="1">
      <c r="A183" s="15" t="n">
        <v>42094</v>
      </c>
      <c r="B183" s="10" t="n">
        <v>0.002426104281876037</v>
      </c>
      <c r="C183" s="10" t="n">
        <v>0.01058049031226373</v>
      </c>
      <c r="D183" s="10" t="n">
        <v>0.01061842454702536</v>
      </c>
      <c r="E183" s="10" t="n">
        <v>0.03406569290022551</v>
      </c>
      <c r="F183" s="10" t="n">
        <v>-0.0008513240184260855</v>
      </c>
      <c r="G183" s="10" t="n">
        <v>-0.01718153603473574</v>
      </c>
    </row>
    <row r="184" ht="18" customHeight="1">
      <c r="A184" s="15" t="n">
        <v>42124</v>
      </c>
      <c r="B184" s="10" t="n">
        <v>0.008534149551736821</v>
      </c>
      <c r="C184" s="10" t="n">
        <v>0.02828117273048376</v>
      </c>
      <c r="D184" s="10" t="n">
        <v>0.02812009890498041</v>
      </c>
      <c r="E184" s="10" t="n">
        <v>-0.0531799732977306</v>
      </c>
      <c r="F184" s="10" t="n">
        <v>0.009268986762030735</v>
      </c>
      <c r="G184" s="10" t="n">
        <v>0.0025670334215755</v>
      </c>
    </row>
    <row r="185" ht="18" customHeight="1">
      <c r="A185" s="15" t="n">
        <v>42153</v>
      </c>
      <c r="B185" s="10" t="n">
        <v>0.004893419091381484</v>
      </c>
      <c r="C185" s="10" t="n">
        <v>0.01519338077243985</v>
      </c>
      <c r="D185" s="10" t="n">
        <v>0.01526853478595182</v>
      </c>
      <c r="E185" s="10" t="n">
        <v>0.1347364341085275</v>
      </c>
      <c r="F185" s="10" t="n">
        <v>-0.02076221846477159</v>
      </c>
      <c r="G185" s="10" t="n">
        <v>-0.02311707643355889</v>
      </c>
    </row>
    <row r="186" ht="18" customHeight="1">
      <c r="A186" s="15" t="n">
        <v>42185</v>
      </c>
      <c r="B186" s="10" t="n">
        <v>-0.003027001632672074</v>
      </c>
      <c r="C186" s="10" t="n">
        <v>-0.0199201228962795</v>
      </c>
      <c r="D186" s="10" t="n">
        <v>-0.01974719826127887</v>
      </c>
      <c r="E186" s="10" t="n">
        <v>0.07507322370462297</v>
      </c>
      <c r="F186" s="10" t="n">
        <v>-0.01286562962080516</v>
      </c>
      <c r="G186" s="10" t="n">
        <v>-0.03031961486174297</v>
      </c>
    </row>
    <row r="187" ht="18" customHeight="1">
      <c r="A187" s="15" t="n">
        <v>42216</v>
      </c>
      <c r="B187" s="10" t="n">
        <v>-0.004973710885254789</v>
      </c>
      <c r="C187" s="10" t="n">
        <v>-0.02589067068695592</v>
      </c>
      <c r="D187" s="10" t="n">
        <v>-0.02592973718532674</v>
      </c>
      <c r="E187" s="10" t="n">
        <v>-0.01650373076923076</v>
      </c>
      <c r="F187" s="10" t="n">
        <v>0.0004930678499172876</v>
      </c>
      <c r="G187" s="10" t="n">
        <v>0.005228986343903593</v>
      </c>
    </row>
    <row r="188" ht="18" customHeight="1">
      <c r="A188" s="15" t="n">
        <v>42247</v>
      </c>
      <c r="B188" s="10" t="n">
        <v>-0.02751445390532494</v>
      </c>
      <c r="C188" s="10" t="n">
        <v>-0.02599536030298495</v>
      </c>
      <c r="D188" s="10" t="n">
        <v>-0.02598227099769644</v>
      </c>
      <c r="E188" s="10" t="n">
        <v>-0.06770650874350542</v>
      </c>
      <c r="F188" s="10" t="n">
        <v>0.003704966895283268</v>
      </c>
      <c r="G188" s="10" t="n">
        <v>-0.002635908118441188</v>
      </c>
    </row>
    <row r="189" ht="18" customHeight="1">
      <c r="A189" s="15" t="n">
        <v>42277</v>
      </c>
      <c r="B189" s="10" t="n">
        <v>-0.04563870806864691</v>
      </c>
      <c r="C189" s="10" t="n">
        <v>-0.06648781668440235</v>
      </c>
      <c r="D189" s="10" t="n">
        <v>-0.06523693192650191</v>
      </c>
      <c r="E189" s="10" t="n">
        <v>0.002618325642716325</v>
      </c>
      <c r="F189" s="10" t="n">
        <v>0.0001854308894054845</v>
      </c>
      <c r="G189" s="10" t="n">
        <v>-0.04481119311274123</v>
      </c>
    </row>
    <row r="190" ht="18" customHeight="1">
      <c r="A190" s="15" t="n">
        <v>42307</v>
      </c>
      <c r="B190" s="10" t="n">
        <v>0.03477301944941887</v>
      </c>
      <c r="C190" s="10" t="n">
        <v>0.03787718081583354</v>
      </c>
      <c r="D190" s="10" t="n">
        <v>0.03810913624498381</v>
      </c>
      <c r="E190" s="10" t="n">
        <v>-0.0474461538461544</v>
      </c>
      <c r="F190" s="10" t="n">
        <v>0.0084833248925385</v>
      </c>
      <c r="G190" s="10" t="n">
        <v>0.06867581177492448</v>
      </c>
    </row>
    <row r="191" ht="18" customHeight="1">
      <c r="A191" s="15" t="n">
        <v>42338</v>
      </c>
      <c r="B191" s="10" t="n">
        <v>0.02592369736254537</v>
      </c>
      <c r="C191" s="10" t="n">
        <v>0.001185776841232323</v>
      </c>
      <c r="D191" s="10" t="n">
        <v>0.00117502604990502</v>
      </c>
      <c r="E191" s="10" t="n">
        <v>0.0931730231375541</v>
      </c>
      <c r="F191" s="10" t="n">
        <v>-0.006765016414278742</v>
      </c>
      <c r="G191" s="10" t="n">
        <v>-0.01103656933086238</v>
      </c>
    </row>
    <row r="192" ht="18" customHeight="1">
      <c r="A192" s="15" t="n">
        <v>42369</v>
      </c>
      <c r="B192" s="10" t="n">
        <v>-0.01521987611451148</v>
      </c>
      <c r="C192" s="10" t="n">
        <v>-0.01994687701707231</v>
      </c>
      <c r="D192" s="10" t="n">
        <v>-0.01998052425951032</v>
      </c>
      <c r="E192" s="10" t="n">
        <v>-0.008991374207187566</v>
      </c>
      <c r="F192" s="10" t="n">
        <v>-0.001513737573842546</v>
      </c>
      <c r="G192" s="10" t="n">
        <v>0.004215118805549365</v>
      </c>
    </row>
    <row r="193" ht="18" customHeight="1">
      <c r="A193" s="15" t="n">
        <v>42398</v>
      </c>
      <c r="B193" s="10" t="n">
        <v>-0.07090070323282349</v>
      </c>
      <c r="C193" s="10" t="n">
        <v>-0.07103165138014214</v>
      </c>
      <c r="D193" s="10" t="n">
        <v>-0.07089781546421367</v>
      </c>
      <c r="E193" s="10" t="n">
        <v>-0.06995121498517291</v>
      </c>
      <c r="F193" s="10" t="n">
        <v>-0.0003655554076582199</v>
      </c>
      <c r="G193" s="10" t="n">
        <v>-0.02771929091911099</v>
      </c>
    </row>
    <row r="194" ht="18" customHeight="1">
      <c r="A194" s="15" t="n">
        <v>42429</v>
      </c>
      <c r="B194" s="10" t="n">
        <v>-0.01141850649364926</v>
      </c>
      <c r="C194" s="10" t="n">
        <v>-0.02561064655172428</v>
      </c>
      <c r="D194" s="10" t="n">
        <v>-0.02566706896551738</v>
      </c>
      <c r="E194" s="10" t="n">
        <v>-0.1457360436648159</v>
      </c>
      <c r="F194" s="10" t="n">
        <v>0.002690323693451669</v>
      </c>
      <c r="G194" s="10" t="n">
        <v>-0.003258850861418258</v>
      </c>
    </row>
    <row r="195" ht="18" customHeight="1">
      <c r="A195" s="15" t="n">
        <v>42460</v>
      </c>
      <c r="B195" s="10" t="n">
        <v>0.06633293982705438</v>
      </c>
      <c r="C195" s="10" t="n">
        <v>0.05870824269351673</v>
      </c>
      <c r="D195" s="10" t="n">
        <v>0.05853264475923902</v>
      </c>
      <c r="E195" s="10" t="n">
        <v>0.06103095864517612</v>
      </c>
      <c r="F195" s="10" t="n">
        <v>0.01766078009267699</v>
      </c>
      <c r="G195" s="10" t="n">
        <v>0.07926998222594059</v>
      </c>
    </row>
    <row r="196" ht="18" customHeight="1">
      <c r="A196" s="15" t="n">
        <v>42489</v>
      </c>
      <c r="B196" s="10" t="n">
        <v>0.02842550349383601</v>
      </c>
      <c r="C196" s="10" t="n">
        <v>0.02536078564978141</v>
      </c>
      <c r="D196" s="10" t="n">
        <v>0.02515755387055848</v>
      </c>
      <c r="E196" s="10" t="n">
        <v>-0.04469419542600473</v>
      </c>
      <c r="F196" s="10" t="n">
        <v>0.0226223255844275</v>
      </c>
      <c r="G196" s="10" t="n">
        <v>0.03408355950927353</v>
      </c>
    </row>
    <row r="197" ht="18" customHeight="1">
      <c r="A197" s="15" t="n">
        <v>42521</v>
      </c>
      <c r="B197" s="10" t="n">
        <v>-0.004533258722061409</v>
      </c>
      <c r="C197" s="10" t="n">
        <v>-0.004058116830186607</v>
      </c>
      <c r="D197" s="10" t="n">
        <v>-0.00398290693452309</v>
      </c>
      <c r="E197" s="10" t="n">
        <v>0.0005294117647060533</v>
      </c>
      <c r="F197" s="10" t="n">
        <v>0.005628532309142756</v>
      </c>
      <c r="G197" s="10" t="n">
        <v>0.00775241346192116</v>
      </c>
    </row>
    <row r="198" ht="18" customHeight="1">
      <c r="A198" s="15" t="n">
        <v>42551</v>
      </c>
      <c r="B198" s="10" t="n">
        <v>0.01108354318297852</v>
      </c>
      <c r="C198" s="10" t="n">
        <v>-0.01266561853052636</v>
      </c>
      <c r="D198" s="10" t="n">
        <v>-0.01273417054021348</v>
      </c>
      <c r="E198" s="10" t="n">
        <v>-0.09033001581861319</v>
      </c>
      <c r="F198" s="10" t="n">
        <v>0.01302427457997003</v>
      </c>
      <c r="G198" s="10" t="n">
        <v>0.01204039598436373</v>
      </c>
    </row>
    <row r="199" ht="18" customHeight="1">
      <c r="A199" s="15" t="n">
        <v>42580</v>
      </c>
      <c r="B199" s="10" t="n">
        <v>0.03142879659724235</v>
      </c>
      <c r="C199" s="10" t="n">
        <v>0.002023495278789115</v>
      </c>
      <c r="D199" s="10" t="n">
        <v>0.002032009284169714</v>
      </c>
      <c r="E199" s="10" t="n">
        <v>-0.0854132374896325</v>
      </c>
      <c r="F199" s="10" t="n">
        <v>0.0202631690216831</v>
      </c>
      <c r="G199" s="10" t="n">
        <v>0.04945414448461919</v>
      </c>
    </row>
    <row r="200" ht="18" customHeight="1">
      <c r="A200" s="15" t="n">
        <v>42613</v>
      </c>
      <c r="B200" s="10" t="n">
        <v>0.015170179566829</v>
      </c>
      <c r="C200" s="10" t="n">
        <v>0.03583985591171986</v>
      </c>
      <c r="D200" s="10" t="n">
        <v>0.03592564850516503</v>
      </c>
      <c r="E200" s="10" t="n">
        <v>0.03475374653098975</v>
      </c>
      <c r="F200" s="10" t="n">
        <v>0.002764378963794811</v>
      </c>
      <c r="G200" s="10" t="n">
        <v>0.005322286207457194</v>
      </c>
    </row>
    <row r="201" ht="18" customHeight="1">
      <c r="A201" s="15" t="n">
        <v>42643</v>
      </c>
      <c r="B201" s="10" t="n">
        <v>-0.00710903703395725</v>
      </c>
      <c r="C201" s="10" t="n">
        <v>0.003736847435153521</v>
      </c>
      <c r="D201" s="10" t="n">
        <v>0.003742848595342465</v>
      </c>
      <c r="E201" s="10" t="n">
        <v>0.04712303272146864</v>
      </c>
      <c r="F201" s="10" t="n">
        <v>-0.001914096171398119</v>
      </c>
      <c r="G201" s="10" t="n">
        <v>-0.02211571176380555</v>
      </c>
    </row>
    <row r="202" ht="18" customHeight="1">
      <c r="A202" s="15" t="n">
        <v>42674</v>
      </c>
      <c r="B202" s="10" t="n">
        <v>-0.008175017475881396</v>
      </c>
      <c r="C202" s="10" t="n">
        <v>-0.0120961893549338</v>
      </c>
      <c r="D202" s="10" t="n">
        <v>-0.01188651887780292</v>
      </c>
      <c r="E202" s="10" t="n">
        <v>0.08242112003504685</v>
      </c>
      <c r="F202" s="10" t="n">
        <v>-0.001135729978316055</v>
      </c>
      <c r="G202" s="10" t="n">
        <v>-0.04797757967912399</v>
      </c>
    </row>
    <row r="203" ht="18" customHeight="1">
      <c r="A203" s="15" t="n">
        <v>42704</v>
      </c>
      <c r="B203" s="10" t="n">
        <v>0.01309734449460605</v>
      </c>
      <c r="C203" s="10" t="n">
        <v>-0.0224528655052111</v>
      </c>
      <c r="D203" s="10" t="n">
        <v>-0.02244170824745657</v>
      </c>
      <c r="E203" s="10" t="n">
        <v>0.2137276848965709</v>
      </c>
      <c r="F203" s="10" t="n">
        <v>-0.02100860244214391</v>
      </c>
      <c r="G203" s="10" t="n">
        <v>-0.04476784015829496</v>
      </c>
    </row>
    <row r="204" ht="18" customHeight="1">
      <c r="A204" s="15" t="n">
        <v>42734</v>
      </c>
      <c r="B204" s="10" t="n">
        <v>0.04121249859750997</v>
      </c>
      <c r="C204" s="10" t="n">
        <v>0.0166249341458619</v>
      </c>
      <c r="D204" s="10" t="n">
        <v>0.01653158246510704</v>
      </c>
      <c r="E204" s="10" t="n">
        <v>0.1628478324663199</v>
      </c>
      <c r="F204" s="10" t="n">
        <v>-0.01093383955098489</v>
      </c>
      <c r="G204" s="10" t="n">
        <v>0.02218785447176134</v>
      </c>
    </row>
    <row r="205" ht="18" customHeight="1">
      <c r="A205" s="15" t="n">
        <v>42766</v>
      </c>
      <c r="B205" s="10" t="n">
        <v>0.01219926198714685</v>
      </c>
      <c r="C205" s="10" t="n">
        <v>0.02663650179821364</v>
      </c>
      <c r="D205" s="10" t="n">
        <v>0.02641535248849555</v>
      </c>
      <c r="E205" s="10" t="n">
        <v>-0.02404173036499133</v>
      </c>
      <c r="F205" s="10" t="n">
        <v>0.01157038054572565</v>
      </c>
      <c r="G205" s="10" t="n">
        <v>0.0270457131168841</v>
      </c>
    </row>
    <row r="206" ht="18" customHeight="1">
      <c r="A206" s="15" t="n">
        <v>42794</v>
      </c>
      <c r="B206" s="10" t="n">
        <v>0.02347900215082827</v>
      </c>
      <c r="C206" s="10" t="n">
        <v>0.01944321982823553</v>
      </c>
      <c r="D206" s="10" t="n">
        <v>0.01934658354678306</v>
      </c>
      <c r="E206" s="10" t="n">
        <v>-0.005598225780278126</v>
      </c>
      <c r="F206" s="10" t="n">
        <v>0.003565603845509433</v>
      </c>
      <c r="G206" s="10" t="n">
        <v>0.01173841248023934</v>
      </c>
    </row>
    <row r="207" ht="18" customHeight="1">
      <c r="A207" s="15" t="n">
        <v>42825</v>
      </c>
      <c r="B207" s="10" t="n">
        <v>0.0120718763895563</v>
      </c>
      <c r="C207" s="10" t="n">
        <v>0.01607993171009321</v>
      </c>
      <c r="D207" s="10" t="n">
        <v>0.01628060718634639</v>
      </c>
      <c r="E207" s="10" t="n">
        <v>0.0259686835433459</v>
      </c>
      <c r="F207" s="10" t="n">
        <v>-0.0007005823807522261</v>
      </c>
      <c r="G207" s="10" t="n">
        <v>-0.009547775933531713</v>
      </c>
    </row>
    <row r="208" ht="18" customHeight="1">
      <c r="A208" s="15" t="n">
        <v>42853</v>
      </c>
      <c r="B208" s="10" t="n">
        <v>-0.002116444918233359</v>
      </c>
      <c r="C208" s="10" t="n">
        <v>0.01083510017739732</v>
      </c>
      <c r="D208" s="10" t="n">
        <v>0.01089447354690582</v>
      </c>
      <c r="E208" s="10" t="n">
        <v>-0.07383775587356606</v>
      </c>
      <c r="F208" s="10" t="n">
        <v>0.01382601804646726</v>
      </c>
      <c r="G208" s="10" t="n">
        <v>0.02887494110746243</v>
      </c>
    </row>
    <row r="209" ht="18" customHeight="1">
      <c r="A209" s="15" t="n">
        <v>42886</v>
      </c>
      <c r="B209" s="10" t="n">
        <v>0.01375846267713147</v>
      </c>
      <c r="C209" s="10" t="n">
        <v>0.04493502521563598</v>
      </c>
      <c r="D209" s="10" t="n">
        <v>0.04483994858797569</v>
      </c>
      <c r="E209" s="10" t="n">
        <v>0.002741409976048825</v>
      </c>
      <c r="F209" s="10" t="n">
        <v>0.00550824021010704</v>
      </c>
      <c r="G209" s="10" t="n">
        <v>-0.0127018598012919</v>
      </c>
    </row>
    <row r="210" ht="18" customHeight="1">
      <c r="A210" s="15" t="n">
        <v>42916</v>
      </c>
      <c r="B210" s="10" t="n">
        <v>0.01619691399422038</v>
      </c>
      <c r="C210" s="10" t="n">
        <v>0.01163017463524145</v>
      </c>
      <c r="D210" s="10" t="n">
        <v>0.01171759326599341</v>
      </c>
      <c r="E210" s="10" t="n">
        <v>-0.05109573796369354</v>
      </c>
      <c r="F210" s="10" t="n">
        <v>0.0130517442376683</v>
      </c>
      <c r="G210" s="10" t="n">
        <v>0.02260842910911082</v>
      </c>
    </row>
    <row r="211" ht="18" customHeight="1">
      <c r="A211" s="15" t="n">
        <v>42947</v>
      </c>
      <c r="B211" s="10" t="n">
        <v>0.008579955458394586</v>
      </c>
      <c r="C211" s="10" t="n">
        <v>0.006307202395128276</v>
      </c>
      <c r="D211" s="10" t="n">
        <v>0.006238809531910111</v>
      </c>
      <c r="E211" s="10" t="n">
        <v>0.06035945125753455</v>
      </c>
      <c r="F211" s="10" t="n">
        <v>0.001479774789747705</v>
      </c>
      <c r="G211" s="10" t="n">
        <v>-0.004933387611891859</v>
      </c>
    </row>
    <row r="212" ht="18" customHeight="1">
      <c r="A212" s="15" t="n">
        <v>42978</v>
      </c>
      <c r="B212" s="10" t="n">
        <v>-0.002182789825429952</v>
      </c>
      <c r="C212" s="10" t="n">
        <v>0.01059910465551443</v>
      </c>
      <c r="D212" s="10" t="n">
        <v>0.01058543517530394</v>
      </c>
      <c r="E212" s="10" t="n">
        <v>-0.04653962561428486</v>
      </c>
      <c r="F212" s="10" t="n">
        <v>0.007008531026240834</v>
      </c>
      <c r="G212" s="10" t="n">
        <v>0.008803514034381576</v>
      </c>
    </row>
    <row r="213" ht="18" customHeight="1">
      <c r="A213" s="15" t="n">
        <v>43007</v>
      </c>
      <c r="B213" s="10" t="n">
        <v>0.01724405042280156</v>
      </c>
      <c r="C213" s="10" t="n">
        <v>0.01805766953627521</v>
      </c>
      <c r="D213" s="10" t="n">
        <v>0.01801270521970082</v>
      </c>
      <c r="E213" s="10" t="n">
        <v>-0.003217705176146413</v>
      </c>
      <c r="F213" s="10" t="n">
        <v>0.003462963525256416</v>
      </c>
      <c r="G213" s="10" t="n">
        <v>0.009773099832011902</v>
      </c>
    </row>
    <row r="214" ht="18" customHeight="1">
      <c r="A214" s="15" t="n">
        <v>43039</v>
      </c>
      <c r="B214" s="10" t="n">
        <v>0.027865664120484</v>
      </c>
      <c r="C214" s="10" t="n">
        <v>0.01720127851179916</v>
      </c>
      <c r="D214" s="10" t="n">
        <v>0.01731300861105637</v>
      </c>
      <c r="E214" s="10" t="n">
        <v>0.07196103542234326</v>
      </c>
      <c r="F214" s="10" t="n">
        <v>0.001899915823169278</v>
      </c>
      <c r="G214" s="10" t="n">
        <v>-0.006090320141754951</v>
      </c>
    </row>
    <row r="215" ht="18" customHeight="1">
      <c r="A215" s="15" t="n">
        <v>43069</v>
      </c>
      <c r="B215" s="10" t="n">
        <v>0.01267934109107867</v>
      </c>
      <c r="C215" s="10" t="n">
        <v>0.01033407864551356</v>
      </c>
      <c r="D215" s="10" t="n">
        <v>0.01025677404762671</v>
      </c>
      <c r="E215" s="10" t="n">
        <v>-0.0028112994350285</v>
      </c>
      <c r="F215" s="10" t="n">
        <v>0.00156505177604869</v>
      </c>
      <c r="G215" s="10" t="n">
        <v>0.01134395851200577</v>
      </c>
    </row>
    <row r="216" ht="18" customHeight="1">
      <c r="A216" s="15" t="n">
        <v>43098</v>
      </c>
      <c r="B216" s="10" t="n">
        <v>0.02636637403276394</v>
      </c>
      <c r="C216" s="10" t="n">
        <v>0.005542365540306068</v>
      </c>
      <c r="D216" s="10" t="n">
        <v>0.005554547780478587</v>
      </c>
      <c r="E216" s="10" t="n">
        <v>0.0210490439093485</v>
      </c>
      <c r="F216" s="10" t="n">
        <v>0.004107694990810964</v>
      </c>
      <c r="G216" s="10" t="n">
        <v>0.009641620124307125</v>
      </c>
    </row>
    <row r="217" ht="18" customHeight="1">
      <c r="A217" s="15" t="n"/>
      <c r="B217" s="10" t="n"/>
      <c r="C217" s="10" t="n"/>
      <c r="D217" s="10" t="n"/>
      <c r="E217" s="10" t="n"/>
      <c r="F217" s="10" t="n"/>
      <c r="G217" s="10" t="n"/>
    </row>
    <row r="218" ht="18" customHeight="1">
      <c r="A218" s="15" t="n"/>
      <c r="B218" s="10" t="n"/>
      <c r="C218" s="10" t="n"/>
      <c r="D218" s="10" t="n"/>
      <c r="E218" s="10" t="n"/>
      <c r="F218" s="10" t="n"/>
      <c r="G218" s="10" t="n"/>
    </row>
    <row r="219" ht="18" customHeight="1">
      <c r="A219" s="15" t="n"/>
      <c r="B219" s="10" t="n"/>
      <c r="C219" s="10" t="n"/>
      <c r="D219" s="10" t="n"/>
      <c r="E219" s="10" t="n"/>
      <c r="F219" s="10" t="n"/>
      <c r="G219" s="10" t="n"/>
    </row>
    <row r="220" ht="18" customHeight="1">
      <c r="A220" s="15" t="n"/>
      <c r="B220" s="10" t="n"/>
      <c r="C220" s="10" t="n"/>
      <c r="D220" s="10" t="n"/>
      <c r="E220" s="10" t="n"/>
      <c r="F220" s="10" t="n"/>
      <c r="G220" s="10" t="n"/>
    </row>
    <row r="221" ht="18" customHeight="1">
      <c r="A221" s="15" t="n"/>
      <c r="B221" s="10" t="n"/>
      <c r="C221" s="10" t="n"/>
      <c r="D221" s="10" t="n"/>
      <c r="E221" s="10" t="n"/>
      <c r="F221" s="10" t="n"/>
      <c r="G221" s="10" t="n"/>
    </row>
    <row r="222" ht="18" customHeight="1">
      <c r="A222" s="15" t="n"/>
      <c r="B222" s="10" t="n"/>
      <c r="C222" s="10" t="n"/>
      <c r="D222" s="10" t="n"/>
      <c r="E222" s="10" t="n"/>
      <c r="F222" s="10" t="n"/>
      <c r="G222" s="10" t="n"/>
    </row>
    <row r="223" ht="18" customHeight="1">
      <c r="A223" s="15" t="n"/>
      <c r="B223" s="10" t="n"/>
      <c r="C223" s="10" t="n"/>
      <c r="D223" s="10" t="n"/>
      <c r="E223" s="10" t="n"/>
      <c r="F223" s="10" t="n"/>
      <c r="G223" s="10" t="n"/>
    </row>
    <row r="224" ht="18" customHeight="1">
      <c r="A224" s="15" t="n"/>
      <c r="B224" s="10" t="n"/>
      <c r="C224" s="10" t="n"/>
      <c r="D224" s="10" t="n"/>
      <c r="E224" s="10" t="n"/>
      <c r="F224" s="10" t="n"/>
      <c r="G224" s="10" t="n"/>
    </row>
    <row r="225" ht="18" customHeight="1">
      <c r="A225" s="15" t="n"/>
      <c r="B225" s="10" t="n"/>
      <c r="C225" s="10" t="n"/>
      <c r="D225" s="10" t="n"/>
      <c r="E225" s="10" t="n"/>
      <c r="F225" s="10" t="n"/>
      <c r="G225" s="10" t="n"/>
    </row>
    <row r="226" ht="18" customHeight="1">
      <c r="A226" s="15" t="n"/>
      <c r="B226" s="10" t="n"/>
      <c r="C226" s="10" t="n"/>
      <c r="D226" s="10" t="n"/>
      <c r="E226" s="10" t="n"/>
      <c r="F226" s="10" t="n"/>
      <c r="G226" s="10" t="n"/>
    </row>
    <row r="227" ht="18" customHeight="1">
      <c r="A227" s="15" t="n"/>
      <c r="B227" s="10" t="n"/>
      <c r="C227" s="10" t="n"/>
      <c r="D227" s="10" t="n"/>
      <c r="E227" s="10" t="n"/>
      <c r="F227" s="10" t="n"/>
      <c r="G227" s="10" t="n"/>
    </row>
    <row r="228" ht="18" customHeight="1">
      <c r="A228" s="15" t="n"/>
      <c r="B228" s="10" t="n"/>
      <c r="C228" s="10" t="n"/>
      <c r="D228" s="10" t="n"/>
      <c r="E228" s="10" t="n"/>
      <c r="F228" s="10" t="n"/>
      <c r="G228" s="10" t="n"/>
    </row>
    <row r="229" ht="18" customHeight="1">
      <c r="A229" s="15" t="n"/>
      <c r="B229" s="10" t="n"/>
      <c r="C229" s="10" t="n"/>
      <c r="D229" s="10" t="n"/>
      <c r="E229" s="10" t="n"/>
      <c r="F229" s="10" t="n"/>
      <c r="G229" s="10" t="n"/>
    </row>
    <row r="230" ht="18" customHeight="1">
      <c r="A230" s="15" t="n"/>
      <c r="B230" s="10" t="n"/>
      <c r="C230" s="10" t="n"/>
      <c r="D230" s="10" t="n"/>
      <c r="E230" s="10" t="n"/>
      <c r="F230" s="10" t="n"/>
      <c r="G230" s="10" t="n"/>
    </row>
    <row r="231" ht="18" customHeight="1">
      <c r="A231" s="15" t="n"/>
      <c r="B231" s="10" t="n"/>
      <c r="C231" s="10" t="n"/>
      <c r="D231" s="10" t="n"/>
      <c r="E231" s="10" t="n"/>
      <c r="F231" s="10" t="n"/>
      <c r="G231" s="10" t="n"/>
    </row>
    <row r="232" ht="18" customHeight="1">
      <c r="A232" s="15" t="n"/>
      <c r="B232" s="10" t="n"/>
      <c r="C232" s="10" t="n"/>
      <c r="D232" s="10" t="n"/>
      <c r="E232" s="10" t="n"/>
      <c r="F232" s="10" t="n"/>
      <c r="G232" s="10" t="n"/>
    </row>
    <row r="233" ht="18" customHeight="1">
      <c r="A233" s="15" t="n"/>
      <c r="B233" s="10" t="n"/>
      <c r="C233" s="10" t="n"/>
      <c r="D233" s="10" t="n"/>
      <c r="E233" s="10" t="n"/>
      <c r="F233" s="10" t="n"/>
      <c r="G233" s="10" t="n"/>
    </row>
    <row r="234" ht="18" customHeight="1">
      <c r="A234" s="15" t="n"/>
      <c r="B234" s="10" t="n"/>
      <c r="C234" s="10" t="n"/>
      <c r="D234" s="10" t="n"/>
      <c r="E234" s="10" t="n"/>
      <c r="F234" s="10" t="n"/>
      <c r="G234" s="10" t="n"/>
    </row>
    <row r="235" ht="18" customHeight="1">
      <c r="A235" s="15" t="n"/>
      <c r="B235" s="10" t="n"/>
      <c r="C235" s="10" t="n"/>
      <c r="D235" s="10" t="n"/>
      <c r="E235" s="10" t="n"/>
      <c r="F235" s="10" t="n"/>
      <c r="G235" s="10" t="n"/>
    </row>
    <row r="236" ht="18" customHeight="1">
      <c r="A236" s="15" t="n"/>
      <c r="B236" s="10" t="n"/>
      <c r="C236" s="10" t="n"/>
      <c r="D236" s="10" t="n"/>
      <c r="E236" s="10" t="n"/>
      <c r="F236" s="10" t="n"/>
      <c r="G236" s="10" t="n"/>
    </row>
    <row r="237" ht="18" customHeight="1">
      <c r="A237" s="15" t="n"/>
      <c r="B237" s="10" t="n"/>
      <c r="C237" s="10" t="n"/>
      <c r="D237" s="10" t="n"/>
      <c r="E237" s="10" t="n"/>
      <c r="F237" s="10" t="n"/>
      <c r="G237" s="10" t="n"/>
    </row>
    <row r="238" ht="18" customHeight="1">
      <c r="A238" s="15" t="n"/>
      <c r="B238" s="10" t="n"/>
      <c r="C238" s="10" t="n"/>
      <c r="D238" s="10" t="n"/>
      <c r="E238" s="10" t="n"/>
      <c r="F238" s="10" t="n"/>
      <c r="G238" s="10" t="n"/>
    </row>
    <row r="239" ht="18" customHeight="1">
      <c r="A239" s="15" t="n"/>
      <c r="B239" s="10" t="n"/>
      <c r="C239" s="10" t="n"/>
      <c r="D239" s="10" t="n"/>
      <c r="E239" s="10" t="n"/>
      <c r="F239" s="10" t="n"/>
      <c r="G239" s="10" t="n"/>
    </row>
    <row r="240" ht="18" customHeight="1">
      <c r="A240" s="15" t="n"/>
      <c r="B240" s="10" t="n"/>
      <c r="C240" s="10" t="n"/>
      <c r="D240" s="10" t="n"/>
      <c r="E240" s="10" t="n"/>
      <c r="F240" s="10" t="n"/>
      <c r="G240" s="10" t="n"/>
    </row>
    <row r="241" ht="18" customHeight="1">
      <c r="A241" s="15" t="n"/>
      <c r="B241" s="10" t="n"/>
      <c r="C241" s="10" t="n"/>
      <c r="D241" s="10" t="n"/>
      <c r="E241" s="10" t="n"/>
      <c r="F241" s="10" t="n"/>
      <c r="G241" s="10" t="n"/>
    </row>
    <row r="242" ht="18" customHeight="1">
      <c r="A242" s="15" t="n"/>
      <c r="B242" s="10" t="n"/>
      <c r="C242" s="10" t="n"/>
      <c r="D242" s="10" t="n"/>
      <c r="E242" s="10" t="n"/>
      <c r="F242" s="10" t="n"/>
      <c r="G242" s="10" t="n"/>
    </row>
    <row r="243" ht="18" customHeight="1">
      <c r="A243" s="15" t="n"/>
      <c r="B243" s="10" t="n"/>
      <c r="C243" s="10" t="n"/>
      <c r="D243" s="10" t="n"/>
      <c r="E243" s="10" t="n"/>
      <c r="F243" s="10" t="n"/>
      <c r="G243" s="10" t="n"/>
    </row>
    <row r="244" ht="18" customHeight="1">
      <c r="A244" s="15" t="n"/>
      <c r="B244" s="10" t="n"/>
      <c r="C244" s="10" t="n"/>
      <c r="D244" s="10" t="n"/>
      <c r="E244" s="10" t="n"/>
      <c r="F244" s="10" t="n"/>
      <c r="G244" s="10" t="n"/>
    </row>
    <row r="245" ht="18" customHeight="1">
      <c r="A245" s="15" t="n"/>
      <c r="B245" s="10" t="n"/>
      <c r="C245" s="10" t="n"/>
      <c r="D245" s="10" t="n"/>
      <c r="E245" s="10" t="n"/>
      <c r="F245" s="10" t="n"/>
      <c r="G245" s="10" t="n"/>
    </row>
    <row r="246" ht="18" customHeight="1">
      <c r="A246" s="15" t="n"/>
      <c r="B246" s="10" t="n"/>
      <c r="C246" s="10" t="n"/>
      <c r="D246" s="10" t="n"/>
      <c r="E246" s="10" t="n"/>
      <c r="F246" s="10" t="n"/>
      <c r="G246" s="10" t="n"/>
    </row>
    <row r="247" ht="18" customHeight="1">
      <c r="A247" s="15" t="n"/>
      <c r="B247" s="10" t="n"/>
      <c r="C247" s="10" t="n"/>
      <c r="D247" s="10" t="n"/>
      <c r="E247" s="10" t="n"/>
      <c r="F247" s="10" t="n"/>
      <c r="G247" s="10" t="n"/>
    </row>
    <row r="248" ht="18" customHeight="1">
      <c r="A248" s="15" t="n"/>
      <c r="B248" s="10" t="n"/>
      <c r="C248" s="10" t="n"/>
      <c r="D248" s="10" t="n"/>
      <c r="E248" s="10" t="n"/>
      <c r="F248" s="10" t="n"/>
      <c r="G248" s="10" t="n"/>
    </row>
    <row r="249" ht="18" customHeight="1">
      <c r="A249" s="15" t="n"/>
      <c r="B249" s="10" t="n"/>
      <c r="C249" s="10" t="n"/>
      <c r="D249" s="10" t="n"/>
      <c r="E249" s="10" t="n"/>
      <c r="F249" s="10" t="n"/>
      <c r="G249" s="10" t="n"/>
    </row>
    <row r="250" ht="18" customHeight="1">
      <c r="A250" s="15" t="n"/>
      <c r="B250" s="10" t="n"/>
      <c r="C250" s="10" t="n"/>
      <c r="D250" s="10" t="n"/>
      <c r="E250" s="10" t="n"/>
      <c r="F250" s="10" t="n"/>
      <c r="G250" s="10" t="n"/>
    </row>
    <row r="251" ht="18" customHeight="1">
      <c r="A251" s="15" t="n"/>
      <c r="B251" s="10" t="n"/>
      <c r="C251" s="10" t="n"/>
      <c r="D251" s="10" t="n"/>
      <c r="E251" s="10" t="n"/>
      <c r="F251" s="10" t="n"/>
      <c r="G251" s="10" t="n"/>
    </row>
    <row r="252" ht="18" customHeight="1">
      <c r="A252" s="15" t="n"/>
      <c r="B252" s="10" t="n"/>
      <c r="C252" s="10" t="n"/>
      <c r="D252" s="10" t="n"/>
      <c r="E252" s="10" t="n"/>
      <c r="F252" s="10" t="n"/>
      <c r="G252" s="10" t="n"/>
    </row>
    <row r="253" ht="18" customHeight="1">
      <c r="A253" s="15" t="n"/>
      <c r="B253" s="10" t="n"/>
      <c r="C253" s="10" t="n"/>
      <c r="D253" s="10" t="n"/>
      <c r="E253" s="10" t="n"/>
      <c r="F253" s="10" t="n"/>
      <c r="G253" s="10" t="n"/>
    </row>
    <row r="254" ht="18" customHeight="1">
      <c r="A254" s="15" t="n"/>
      <c r="B254" s="10" t="n"/>
      <c r="C254" s="10" t="n"/>
      <c r="D254" s="10" t="n"/>
      <c r="E254" s="10" t="n"/>
      <c r="F254" s="10" t="n"/>
      <c r="G254" s="10" t="n"/>
    </row>
    <row r="255" ht="18" customHeight="1">
      <c r="A255" s="15" t="n"/>
      <c r="B255" s="10" t="n"/>
      <c r="C255" s="10" t="n"/>
      <c r="D255" s="10" t="n"/>
      <c r="E255" s="10" t="n"/>
      <c r="F255" s="10" t="n"/>
      <c r="G255" s="10" t="n"/>
    </row>
    <row r="256" ht="18" customHeight="1">
      <c r="A256" s="15" t="n"/>
      <c r="B256" s="10" t="n"/>
      <c r="C256" s="10" t="n"/>
      <c r="D256" s="10" t="n"/>
      <c r="E256" s="10" t="n"/>
      <c r="F256" s="10" t="n"/>
      <c r="G256" s="10" t="n"/>
    </row>
    <row r="257" ht="18" customHeight="1">
      <c r="A257" s="15" t="n"/>
      <c r="B257" s="10" t="n"/>
      <c r="C257" s="10" t="n"/>
      <c r="D257" s="10" t="n"/>
      <c r="E257" s="10" t="n"/>
      <c r="F257" s="10" t="n"/>
      <c r="G257" s="10" t="n"/>
    </row>
    <row r="258" ht="18" customHeight="1">
      <c r="A258" s="15" t="n"/>
      <c r="B258" s="10" t="n"/>
      <c r="C258" s="10" t="n"/>
      <c r="D258" s="10" t="n"/>
      <c r="E258" s="10" t="n"/>
      <c r="F258" s="10" t="n"/>
      <c r="G258" s="10" t="n"/>
    </row>
    <row r="259" ht="18" customHeight="1">
      <c r="A259" s="15" t="n"/>
      <c r="B259" s="10" t="n"/>
      <c r="C259" s="10" t="n"/>
      <c r="D259" s="10" t="n"/>
      <c r="E259" s="10" t="n"/>
      <c r="F259" s="10" t="n"/>
      <c r="G259" s="10" t="n"/>
    </row>
    <row r="260" ht="18" customHeight="1">
      <c r="A260" s="15" t="n"/>
      <c r="B260" s="10" t="n"/>
      <c r="C260" s="10" t="n"/>
      <c r="D260" s="10" t="n"/>
      <c r="E260" s="10" t="n"/>
      <c r="F260" s="10" t="n"/>
      <c r="G260" s="10" t="n"/>
    </row>
    <row r="261" ht="18" customHeight="1">
      <c r="A261" s="15" t="n"/>
      <c r="B261" s="10" t="n"/>
      <c r="C261" s="10" t="n"/>
      <c r="D261" s="10" t="n"/>
      <c r="E261" s="10" t="n"/>
      <c r="F261" s="10" t="n"/>
      <c r="G261" s="10" t="n"/>
    </row>
    <row r="262" ht="18" customHeight="1">
      <c r="A262" s="15" t="n"/>
      <c r="B262" s="10" t="n"/>
      <c r="C262" s="10" t="n"/>
      <c r="D262" s="10" t="n"/>
      <c r="E262" s="10" t="n"/>
      <c r="F262" s="10" t="n"/>
      <c r="G262" s="10" t="n"/>
    </row>
    <row r="263" ht="18" customHeight="1">
      <c r="A263" s="15" t="n"/>
      <c r="B263" s="10" t="n"/>
      <c r="C263" s="10" t="n"/>
      <c r="D263" s="10" t="n"/>
      <c r="E263" s="10" t="n"/>
      <c r="F263" s="10" t="n"/>
      <c r="G263" s="10" t="n"/>
    </row>
    <row r="264" ht="18" customHeight="1">
      <c r="A264" s="15" t="n"/>
      <c r="B264" s="10" t="n"/>
      <c r="C264" s="10" t="n"/>
      <c r="D264" s="10" t="n"/>
      <c r="E264" s="10" t="n"/>
      <c r="F264" s="10" t="n"/>
      <c r="G264" s="10" t="n"/>
    </row>
    <row r="265" ht="18" customHeight="1">
      <c r="A265" s="15" t="n"/>
      <c r="B265" s="10" t="n"/>
      <c r="C265" s="10" t="n"/>
      <c r="D265" s="10" t="n"/>
      <c r="E265" s="10" t="n"/>
      <c r="F265" s="10" t="n"/>
      <c r="G265" s="10" t="n"/>
    </row>
    <row r="266" ht="18" customHeight="1">
      <c r="A266" s="15" t="n"/>
      <c r="B266" s="10" t="n"/>
      <c r="C266" s="10" t="n"/>
      <c r="D266" s="10" t="n"/>
      <c r="E266" s="10" t="n"/>
      <c r="F266" s="10" t="n"/>
      <c r="G266" s="10" t="n"/>
    </row>
    <row r="267" ht="18" customHeight="1">
      <c r="A267" s="15" t="n"/>
      <c r="B267" s="10" t="n"/>
      <c r="C267" s="10" t="n"/>
      <c r="D267" s="10" t="n"/>
      <c r="E267" s="10" t="n"/>
      <c r="F267" s="10" t="n"/>
      <c r="G267" s="10" t="n"/>
    </row>
    <row r="268" ht="18" customHeight="1">
      <c r="A268" s="15" t="n"/>
      <c r="B268" s="10" t="n"/>
      <c r="C268" s="10" t="n"/>
      <c r="D268" s="10" t="n"/>
      <c r="E268" s="10" t="n"/>
      <c r="F268" s="10" t="n"/>
      <c r="G268" s="10" t="n"/>
    </row>
    <row r="269" ht="18" customHeight="1">
      <c r="A269" s="15" t="n"/>
      <c r="B269" s="10" t="n"/>
      <c r="C269" s="10" t="n"/>
      <c r="D269" s="10" t="n"/>
      <c r="E269" s="10" t="n"/>
      <c r="F269" s="10" t="n"/>
      <c r="G269" s="10" t="n"/>
    </row>
    <row r="270" ht="18" customHeight="1">
      <c r="A270" s="15" t="n"/>
      <c r="B270" s="10" t="n"/>
      <c r="C270" s="10" t="n"/>
      <c r="D270" s="10" t="n"/>
      <c r="E270" s="10" t="n"/>
      <c r="F270" s="10" t="n"/>
      <c r="G270" s="10" t="n"/>
    </row>
    <row r="271" ht="18" customHeight="1">
      <c r="A271" s="15" t="n"/>
      <c r="B271" s="10" t="n"/>
      <c r="C271" s="10" t="n"/>
      <c r="D271" s="10" t="n"/>
      <c r="E271" s="10" t="n"/>
      <c r="F271" s="10" t="n"/>
      <c r="G271" s="10" t="n"/>
    </row>
    <row r="272" ht="18" customHeight="1">
      <c r="A272" s="15" t="n"/>
      <c r="B272" s="10" t="n"/>
      <c r="C272" s="10" t="n"/>
      <c r="D272" s="10" t="n"/>
      <c r="E272" s="10" t="n"/>
      <c r="F272" s="10" t="n"/>
      <c r="G272" s="10" t="n"/>
    </row>
    <row r="273" ht="18" customHeight="1">
      <c r="A273" s="15" t="n"/>
      <c r="B273" s="10" t="n"/>
      <c r="C273" s="10" t="n"/>
      <c r="D273" s="10" t="n"/>
      <c r="E273" s="10" t="n"/>
      <c r="F273" s="10" t="n"/>
      <c r="G273" s="10" t="n"/>
    </row>
    <row r="274" ht="18" customHeight="1">
      <c r="A274" s="15" t="n"/>
      <c r="B274" s="10" t="n"/>
      <c r="C274" s="10" t="n"/>
      <c r="D274" s="10" t="n"/>
      <c r="E274" s="10" t="n"/>
      <c r="F274" s="10" t="n"/>
      <c r="G274" s="10" t="n"/>
    </row>
    <row r="275" ht="18" customHeight="1">
      <c r="A275" s="15" t="n"/>
      <c r="B275" s="10" t="n"/>
      <c r="C275" s="10" t="n"/>
      <c r="D275" s="10" t="n"/>
      <c r="E275" s="10" t="n"/>
      <c r="F275" s="10" t="n"/>
      <c r="G275" s="10" t="n"/>
    </row>
    <row r="276" ht="18" customHeight="1">
      <c r="A276" s="15" t="n"/>
      <c r="B276" s="10" t="n"/>
      <c r="C276" s="10" t="n"/>
      <c r="D276" s="10" t="n"/>
      <c r="E276" s="10" t="n"/>
      <c r="F276" s="10" t="n"/>
      <c r="G276" s="10" t="n"/>
    </row>
    <row r="277" ht="18" customHeight="1">
      <c r="A277" s="15" t="n"/>
      <c r="B277" s="10" t="n"/>
      <c r="C277" s="10" t="n"/>
      <c r="D277" s="10" t="n"/>
      <c r="E277" s="10" t="n"/>
      <c r="F277" s="10" t="n"/>
      <c r="G277" s="10" t="n"/>
    </row>
    <row r="278" ht="18" customHeight="1">
      <c r="A278" s="15" t="n"/>
      <c r="B278" s="10" t="n"/>
      <c r="C278" s="10" t="n"/>
      <c r="D278" s="10" t="n"/>
      <c r="E278" s="10" t="n"/>
      <c r="F278" s="10" t="n"/>
      <c r="G278" s="10" t="n"/>
    </row>
    <row r="279" ht="18" customHeight="1">
      <c r="A279" s="15" t="n"/>
      <c r="B279" s="10" t="n"/>
      <c r="C279" s="10" t="n"/>
      <c r="D279" s="10" t="n"/>
      <c r="E279" s="10" t="n"/>
      <c r="F279" s="10" t="n"/>
      <c r="G279" s="10" t="n"/>
    </row>
    <row r="280" ht="18" customHeight="1">
      <c r="A280" s="15" t="n"/>
      <c r="B280" s="10" t="n"/>
      <c r="C280" s="10" t="n"/>
      <c r="D280" s="10" t="n"/>
      <c r="E280" s="10" t="n"/>
      <c r="F280" s="10" t="n"/>
      <c r="G280" s="10" t="n"/>
    </row>
    <row r="281" ht="18" customHeight="1">
      <c r="A281" s="15" t="n"/>
      <c r="B281" s="10" t="n"/>
      <c r="C281" s="10" t="n"/>
      <c r="D281" s="10" t="n"/>
      <c r="E281" s="10" t="n"/>
      <c r="F281" s="10" t="n"/>
      <c r="G281" s="10" t="n"/>
    </row>
    <row r="282" ht="18" customHeight="1">
      <c r="A282" s="15" t="n"/>
      <c r="B282" s="10" t="n"/>
      <c r="C282" s="10" t="n"/>
      <c r="D282" s="10" t="n"/>
      <c r="E282" s="10" t="n"/>
      <c r="F282" s="10" t="n"/>
      <c r="G282" s="10" t="n"/>
    </row>
    <row r="283" ht="18" customHeight="1">
      <c r="A283" s="15" t="n"/>
      <c r="B283" s="10" t="n"/>
      <c r="C283" s="10" t="n"/>
      <c r="D283" s="10" t="n"/>
      <c r="E283" s="10" t="n"/>
      <c r="F283" s="10" t="n"/>
      <c r="G283" s="10" t="n"/>
    </row>
    <row r="284" ht="18" customHeight="1">
      <c r="A284" s="15" t="n"/>
      <c r="B284" s="10" t="n"/>
      <c r="C284" s="10" t="n"/>
      <c r="D284" s="10" t="n"/>
      <c r="E284" s="10" t="n"/>
      <c r="F284" s="10" t="n"/>
      <c r="G284" s="10" t="n"/>
    </row>
    <row r="285" ht="18" customHeight="1">
      <c r="A285" s="15" t="n"/>
      <c r="B285" s="10" t="n"/>
      <c r="C285" s="10" t="n"/>
      <c r="D285" s="10" t="n"/>
      <c r="E285" s="10" t="n"/>
      <c r="F285" s="10" t="n"/>
      <c r="G285" s="1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9" customWidth="1" min="3" max="3"/>
    <col width="28" customWidth="1" min="4" max="4"/>
    <col width="3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6" t="inlineStr">
        <is>
          <t>Capital Market Expectations - averaged across Asset Managers (AM1 &amp; AM2)</t>
        </is>
      </c>
    </row>
    <row r="2">
      <c r="A2" t="inlineStr">
        <is>
          <t>Step 2: average each asset's expected return &amp; volatility across the two managers. Step 3: optimistic scenario (return x 1.10, volatility x 0.90). Step 4: average pairwise correlations.</t>
        </is>
      </c>
    </row>
    <row r="3">
      <c r="B3" t="inlineStr">
        <is>
          <t>Optimistic adj. - Return</t>
        </is>
      </c>
      <c r="D3" s="17" t="n">
        <v>1.1</v>
      </c>
      <c r="F3" t="inlineStr">
        <is>
          <t>Optimistic adj. - Vol</t>
        </is>
      </c>
      <c r="H3" s="17" t="n">
        <v>0.9</v>
      </c>
    </row>
    <row r="4">
      <c r="F4" s="18" t="inlineStr">
        <is>
          <t>Expected Return</t>
        </is>
      </c>
      <c r="G4" s="43" t="n"/>
      <c r="H4" s="43" t="n"/>
      <c r="I4" s="44" t="n"/>
      <c r="J4" s="18" t="inlineStr">
        <is>
          <t>Expected Volatility</t>
        </is>
      </c>
      <c r="K4" s="43" t="n"/>
      <c r="L4" s="43" t="n"/>
      <c r="M4" s="44" t="n"/>
    </row>
    <row r="5">
      <c r="B5" s="18" t="inlineStr">
        <is>
          <t>Our Assets</t>
        </is>
      </c>
      <c r="C5" s="18" t="inlineStr">
        <is>
          <t>ETF</t>
        </is>
      </c>
      <c r="D5" s="18" t="inlineStr">
        <is>
          <t>AM1 name</t>
        </is>
      </c>
      <c r="E5" s="18" t="inlineStr">
        <is>
          <t>AM2 name</t>
        </is>
      </c>
      <c r="F5" s="18" t="inlineStr">
        <is>
          <t>AM1</t>
        </is>
      </c>
      <c r="G5" s="18" t="inlineStr">
        <is>
          <t>AM2</t>
        </is>
      </c>
      <c r="H5" s="18" t="inlineStr">
        <is>
          <t>Average</t>
        </is>
      </c>
      <c r="I5" s="18" t="inlineStr">
        <is>
          <t>Optimistic</t>
        </is>
      </c>
      <c r="J5" s="18" t="inlineStr">
        <is>
          <t>AM1</t>
        </is>
      </c>
      <c r="K5" s="18" t="inlineStr">
        <is>
          <t>AM2</t>
        </is>
      </c>
      <c r="L5" s="18" t="inlineStr">
        <is>
          <t>Average</t>
        </is>
      </c>
      <c r="M5" s="18" t="inlineStr">
        <is>
          <t>Optimistic</t>
        </is>
      </c>
    </row>
    <row r="6">
      <c r="B6" s="19" t="inlineStr">
        <is>
          <t>US Large Cap</t>
        </is>
      </c>
      <c r="C6" s="19" t="inlineStr">
        <is>
          <t>WPETF</t>
        </is>
      </c>
      <c r="D6" s="19" t="inlineStr">
        <is>
          <t>U.S. Large Cap</t>
        </is>
      </c>
      <c r="E6" s="19" t="inlineStr">
        <is>
          <t>Russell 3000</t>
        </is>
      </c>
      <c r="F6" s="20">
        <f>VLOOKUP($D6,'CME - AM1'!$B:$D,2,FALSE)</f>
        <v/>
      </c>
      <c r="G6" s="20">
        <f>VLOOKUP($E6,'CME - AM2'!$C:$E,2,FALSE)</f>
        <v/>
      </c>
      <c r="H6" s="20">
        <f>AVERAGE(F6:G6)</f>
        <v/>
      </c>
      <c r="I6" s="21">
        <f>H6*$D$3</f>
        <v/>
      </c>
      <c r="J6" s="20">
        <f>VLOOKUP($D6,'CME - AM1'!$B:$D,3,FALSE)</f>
        <v/>
      </c>
      <c r="K6" s="20">
        <f>VLOOKUP($E6,'CME - AM2'!$C:$E,3,FALSE)</f>
        <v/>
      </c>
      <c r="L6" s="20">
        <f>AVERAGE(J6:K6)</f>
        <v/>
      </c>
      <c r="M6" s="21">
        <f>L6*$H$3</f>
        <v/>
      </c>
    </row>
    <row r="7">
      <c r="B7" s="19" t="inlineStr">
        <is>
          <t>Dev ex US</t>
        </is>
      </c>
      <c r="C7" s="19" t="inlineStr">
        <is>
          <t>LPDM</t>
        </is>
      </c>
      <c r="D7" s="19" t="inlineStr">
        <is>
          <t>EAFE Equity</t>
        </is>
      </c>
      <c r="E7" s="19" t="inlineStr">
        <is>
          <t>MSCI EAFE</t>
        </is>
      </c>
      <c r="F7" s="20">
        <f>VLOOKUP($D7,'CME - AM1'!$B:$D,2,FALSE)</f>
        <v/>
      </c>
      <c r="G7" s="20">
        <f>VLOOKUP($E7,'CME - AM2'!$C:$E,2,FALSE)</f>
        <v/>
      </c>
      <c r="H7" s="20">
        <f>AVERAGE(F7:G7)</f>
        <v/>
      </c>
      <c r="I7" s="21">
        <f>H7*$D$3</f>
        <v/>
      </c>
      <c r="J7" s="20">
        <f>VLOOKUP($D7,'CME - AM1'!$B:$D,3,FALSE)</f>
        <v/>
      </c>
      <c r="K7" s="20">
        <f>VLOOKUP($E7,'CME - AM2'!$C:$E,3,FALSE)</f>
        <v/>
      </c>
      <c r="L7" s="20">
        <f>AVERAGE(J7:K7)</f>
        <v/>
      </c>
      <c r="M7" s="21">
        <f>L7*$H$3</f>
        <v/>
      </c>
    </row>
    <row r="8">
      <c r="B8" s="19" t="inlineStr">
        <is>
          <t>EM</t>
        </is>
      </c>
      <c r="C8" s="19" t="inlineStr">
        <is>
          <t>LPEM</t>
        </is>
      </c>
      <c r="D8" s="19" t="inlineStr">
        <is>
          <t>Emerging Markets Equity</t>
        </is>
      </c>
      <c r="E8" s="19" t="inlineStr">
        <is>
          <t>MSCI Emerging</t>
        </is>
      </c>
      <c r="F8" s="20">
        <f>VLOOKUP($D8,'CME - AM1'!$B:$D,2,FALSE)</f>
        <v/>
      </c>
      <c r="G8" s="20">
        <f>VLOOKUP($E8,'CME - AM2'!$C:$E,2,FALSE)</f>
        <v/>
      </c>
      <c r="H8" s="20">
        <f>AVERAGE(F8:G8)</f>
        <v/>
      </c>
      <c r="I8" s="21">
        <f>H8*$D$3</f>
        <v/>
      </c>
      <c r="J8" s="20">
        <f>VLOOKUP($D8,'CME - AM1'!$B:$D,3,FALSE)</f>
        <v/>
      </c>
      <c r="K8" s="20">
        <f>VLOOKUP($E8,'CME - AM2'!$C:$E,3,FALSE)</f>
        <v/>
      </c>
      <c r="L8" s="20">
        <f>AVERAGE(J8:K8)</f>
        <v/>
      </c>
      <c r="M8" s="21">
        <f>L8*$H$3</f>
        <v/>
      </c>
    </row>
    <row r="9">
      <c r="B9" s="19" t="inlineStr">
        <is>
          <t>UST</t>
        </is>
      </c>
      <c r="C9" s="19" t="inlineStr">
        <is>
          <t>SABE</t>
        </is>
      </c>
      <c r="D9" s="19" t="inlineStr">
        <is>
          <t>U.S. Long Treasuries</t>
        </is>
      </c>
      <c r="E9" s="19" t="inlineStr">
        <is>
          <t>Bloomberg Barclays U.S. Treasury</t>
        </is>
      </c>
      <c r="F9" s="20">
        <f>VLOOKUP($D9,'CME - AM1'!$B:$D,2,FALSE)</f>
        <v/>
      </c>
      <c r="G9" s="20">
        <f>VLOOKUP($E9,'CME - AM2'!$C:$E,2,FALSE)</f>
        <v/>
      </c>
      <c r="H9" s="20">
        <f>AVERAGE(F9:G9)</f>
        <v/>
      </c>
      <c r="I9" s="21">
        <f>H9*$D$3</f>
        <v/>
      </c>
      <c r="J9" s="20">
        <f>VLOOKUP($D9,'CME - AM1'!$B:$D,3,FALSE)</f>
        <v/>
      </c>
      <c r="K9" s="20">
        <f>VLOOKUP($E9,'CME - AM2'!$C:$E,3,FALSE)</f>
        <v/>
      </c>
      <c r="L9" s="20">
        <f>AVERAGE(J9:K9)</f>
        <v/>
      </c>
      <c r="M9" s="21">
        <f>L9*$H$3</f>
        <v/>
      </c>
    </row>
    <row r="10">
      <c r="B10" s="19" t="inlineStr">
        <is>
          <t>US IG Corp Bond</t>
        </is>
      </c>
      <c r="C10" s="19" t="inlineStr">
        <is>
          <t>KUSIG</t>
        </is>
      </c>
      <c r="D10" s="19" t="inlineStr">
        <is>
          <t>U.S. Inv Grade Corporate Bonds</t>
        </is>
      </c>
      <c r="E10" s="19" t="inlineStr">
        <is>
          <t>Bloomberg Barclays U.S. Credit</t>
        </is>
      </c>
      <c r="F10" s="20">
        <f>VLOOKUP($D10,'CME - AM1'!$B:$D,2,FALSE)</f>
        <v/>
      </c>
      <c r="G10" s="20">
        <f>VLOOKUP($E10,'CME - AM2'!$C:$E,2,FALSE)</f>
        <v/>
      </c>
      <c r="H10" s="20">
        <f>AVERAGE(F10:G10)</f>
        <v/>
      </c>
      <c r="I10" s="21">
        <f>H10*$D$3</f>
        <v/>
      </c>
      <c r="J10" s="20">
        <f>VLOOKUP($D10,'CME - AM1'!$B:$D,3,FALSE)</f>
        <v/>
      </c>
      <c r="K10" s="20">
        <f>VLOOKUP($E10,'CME - AM2'!$C:$E,3,FALSE)</f>
        <v/>
      </c>
      <c r="L10" s="20">
        <f>AVERAGE(J10:K10)</f>
        <v/>
      </c>
      <c r="M10" s="21">
        <f>L10*$H$3</f>
        <v/>
      </c>
    </row>
    <row r="11">
      <c r="B11" s="19" t="inlineStr">
        <is>
          <t>REITs</t>
        </is>
      </c>
      <c r="C11" s="19" t="inlineStr">
        <is>
          <t>WPREI</t>
        </is>
      </c>
      <c r="D11" s="19" t="inlineStr">
        <is>
          <t>U.S. REITs</t>
        </is>
      </c>
      <c r="E11" s="19" t="inlineStr">
        <is>
          <t>FTSE NAREIT Equity</t>
        </is>
      </c>
      <c r="F11" s="20">
        <f>VLOOKUP($D11,'CME - AM1'!$B:$D,2,FALSE)</f>
        <v/>
      </c>
      <c r="G11" s="20">
        <f>VLOOKUP($E11,'CME - AM2'!$C:$E,2,FALSE)</f>
        <v/>
      </c>
      <c r="H11" s="20">
        <f>AVERAGE(F11:G11)</f>
        <v/>
      </c>
      <c r="I11" s="21">
        <f>H11*$D$3</f>
        <v/>
      </c>
      <c r="J11" s="20">
        <f>VLOOKUP($D11,'CME - AM1'!$B:$D,3,FALSE)</f>
        <v/>
      </c>
      <c r="K11" s="20">
        <f>VLOOKUP($E11,'CME - AM2'!$C:$E,3,FALSE)</f>
        <v/>
      </c>
      <c r="L11" s="20">
        <f>AVERAGE(J11:K11)</f>
        <v/>
      </c>
      <c r="M11" s="21">
        <f>L11*$H$3</f>
        <v/>
      </c>
    </row>
    <row r="14">
      <c r="F14" s="18" t="inlineStr">
        <is>
          <t>Correlation Matrix - AM1</t>
        </is>
      </c>
      <c r="G14" s="43" t="n"/>
      <c r="H14" s="43" t="n"/>
      <c r="I14" s="43" t="n"/>
      <c r="J14" s="43" t="n"/>
      <c r="K14" s="44" t="n"/>
    </row>
    <row r="15">
      <c r="D15" s="18" t="inlineStr">
        <is>
          <t>Asset</t>
        </is>
      </c>
      <c r="E15" s="18" t="inlineStr">
        <is>
          <t>Index #</t>
        </is>
      </c>
      <c r="F15" s="18">
        <f>$D$16</f>
        <v/>
      </c>
      <c r="G15" s="18">
        <f>$D$17</f>
        <v/>
      </c>
      <c r="H15" s="18">
        <f>$D$18</f>
        <v/>
      </c>
      <c r="I15" s="18">
        <f>$D$19</f>
        <v/>
      </c>
      <c r="J15" s="18">
        <f>$D$20</f>
        <v/>
      </c>
      <c r="K15" s="18">
        <f>$D$21</f>
        <v/>
      </c>
    </row>
    <row r="16">
      <c r="D16" s="19">
        <f>D6</f>
        <v/>
      </c>
      <c r="E16" s="19">
        <f>MATCH(D16,'CME - AM1'!$B$4:$B$54,0)</f>
        <v/>
      </c>
      <c r="F16" s="45">
        <f>INDEX('CME - AM1'!$E$4:$BC$54,MAX($E16,INDEX($E$16:$E$21,1)),MIN($E16,INDEX($E$16:$E$21,1)))</f>
        <v/>
      </c>
      <c r="G16" s="45">
        <f>INDEX('CME - AM1'!$E$4:$BC$54,MAX($E16,INDEX($E$16:$E$21,2)),MIN($E16,INDEX($E$16:$E$21,2)))</f>
        <v/>
      </c>
      <c r="H16" s="45">
        <f>INDEX('CME - AM1'!$E$4:$BC$54,MAX($E16,INDEX($E$16:$E$21,3)),MIN($E16,INDEX($E$16:$E$21,3)))</f>
        <v/>
      </c>
      <c r="I16" s="45">
        <f>INDEX('CME - AM1'!$E$4:$BC$54,MAX($E16,INDEX($E$16:$E$21,4)),MIN($E16,INDEX($E$16:$E$21,4)))</f>
        <v/>
      </c>
      <c r="J16" s="45">
        <f>INDEX('CME - AM1'!$E$4:$BC$54,MAX($E16,INDEX($E$16:$E$21,5)),MIN($E16,INDEX($E$16:$E$21,5)))</f>
        <v/>
      </c>
      <c r="K16" s="45">
        <f>INDEX('CME - AM1'!$E$4:$BC$54,MAX($E16,INDEX($E$16:$E$21,6)),MIN($E16,INDEX($E$16:$E$21,6)))</f>
        <v/>
      </c>
    </row>
    <row r="17">
      <c r="D17" s="19">
        <f>D7</f>
        <v/>
      </c>
      <c r="E17" s="19">
        <f>MATCH(D17,'CME - AM1'!$B$4:$B$54,0)</f>
        <v/>
      </c>
      <c r="F17" s="45">
        <f>INDEX('CME - AM1'!$E$4:$BC$54,MAX($E17,INDEX($E$16:$E$21,1)),MIN($E17,INDEX($E$16:$E$21,1)))</f>
        <v/>
      </c>
      <c r="G17" s="45">
        <f>INDEX('CME - AM1'!$E$4:$BC$54,MAX($E17,INDEX($E$16:$E$21,2)),MIN($E17,INDEX($E$16:$E$21,2)))</f>
        <v/>
      </c>
      <c r="H17" s="45">
        <f>INDEX('CME - AM1'!$E$4:$BC$54,MAX($E17,INDEX($E$16:$E$21,3)),MIN($E17,INDEX($E$16:$E$21,3)))</f>
        <v/>
      </c>
      <c r="I17" s="45">
        <f>INDEX('CME - AM1'!$E$4:$BC$54,MAX($E17,INDEX($E$16:$E$21,4)),MIN($E17,INDEX($E$16:$E$21,4)))</f>
        <v/>
      </c>
      <c r="J17" s="45">
        <f>INDEX('CME - AM1'!$E$4:$BC$54,MAX($E17,INDEX($E$16:$E$21,5)),MIN($E17,INDEX($E$16:$E$21,5)))</f>
        <v/>
      </c>
      <c r="K17" s="45">
        <f>INDEX('CME - AM1'!$E$4:$BC$54,MAX($E17,INDEX($E$16:$E$21,6)),MIN($E17,INDEX($E$16:$E$21,6)))</f>
        <v/>
      </c>
    </row>
    <row r="18">
      <c r="D18" s="19">
        <f>D8</f>
        <v/>
      </c>
      <c r="E18" s="19">
        <f>MATCH(D18,'CME - AM1'!$B$4:$B$54,0)</f>
        <v/>
      </c>
      <c r="F18" s="45">
        <f>INDEX('CME - AM1'!$E$4:$BC$54,MAX($E18,INDEX($E$16:$E$21,1)),MIN($E18,INDEX($E$16:$E$21,1)))</f>
        <v/>
      </c>
      <c r="G18" s="45">
        <f>INDEX('CME - AM1'!$E$4:$BC$54,MAX($E18,INDEX($E$16:$E$21,2)),MIN($E18,INDEX($E$16:$E$21,2)))</f>
        <v/>
      </c>
      <c r="H18" s="45">
        <f>INDEX('CME - AM1'!$E$4:$BC$54,MAX($E18,INDEX($E$16:$E$21,3)),MIN($E18,INDEX($E$16:$E$21,3)))</f>
        <v/>
      </c>
      <c r="I18" s="45">
        <f>INDEX('CME - AM1'!$E$4:$BC$54,MAX($E18,INDEX($E$16:$E$21,4)),MIN($E18,INDEX($E$16:$E$21,4)))</f>
        <v/>
      </c>
      <c r="J18" s="45">
        <f>INDEX('CME - AM1'!$E$4:$BC$54,MAX($E18,INDEX($E$16:$E$21,5)),MIN($E18,INDEX($E$16:$E$21,5)))</f>
        <v/>
      </c>
      <c r="K18" s="45">
        <f>INDEX('CME - AM1'!$E$4:$BC$54,MAX($E18,INDEX($E$16:$E$21,6)),MIN($E18,INDEX($E$16:$E$21,6)))</f>
        <v/>
      </c>
    </row>
    <row r="19">
      <c r="D19" s="19">
        <f>D9</f>
        <v/>
      </c>
      <c r="E19" s="19">
        <f>MATCH(D19,'CME - AM1'!$B$4:$B$54,0)</f>
        <v/>
      </c>
      <c r="F19" s="45">
        <f>INDEX('CME - AM1'!$E$4:$BC$54,MAX($E19,INDEX($E$16:$E$21,1)),MIN($E19,INDEX($E$16:$E$21,1)))</f>
        <v/>
      </c>
      <c r="G19" s="45">
        <f>INDEX('CME - AM1'!$E$4:$BC$54,MAX($E19,INDEX($E$16:$E$21,2)),MIN($E19,INDEX($E$16:$E$21,2)))</f>
        <v/>
      </c>
      <c r="H19" s="45">
        <f>INDEX('CME - AM1'!$E$4:$BC$54,MAX($E19,INDEX($E$16:$E$21,3)),MIN($E19,INDEX($E$16:$E$21,3)))</f>
        <v/>
      </c>
      <c r="I19" s="45">
        <f>INDEX('CME - AM1'!$E$4:$BC$54,MAX($E19,INDEX($E$16:$E$21,4)),MIN($E19,INDEX($E$16:$E$21,4)))</f>
        <v/>
      </c>
      <c r="J19" s="45">
        <f>INDEX('CME - AM1'!$E$4:$BC$54,MAX($E19,INDEX($E$16:$E$21,5)),MIN($E19,INDEX($E$16:$E$21,5)))</f>
        <v/>
      </c>
      <c r="K19" s="45">
        <f>INDEX('CME - AM1'!$E$4:$BC$54,MAX($E19,INDEX($E$16:$E$21,6)),MIN($E19,INDEX($E$16:$E$21,6)))</f>
        <v/>
      </c>
    </row>
    <row r="20">
      <c r="D20" s="19">
        <f>D10</f>
        <v/>
      </c>
      <c r="E20" s="19">
        <f>MATCH(D20,'CME - AM1'!$B$4:$B$54,0)</f>
        <v/>
      </c>
      <c r="F20" s="45">
        <f>INDEX('CME - AM1'!$E$4:$BC$54,MAX($E20,INDEX($E$16:$E$21,1)),MIN($E20,INDEX($E$16:$E$21,1)))</f>
        <v/>
      </c>
      <c r="G20" s="45">
        <f>INDEX('CME - AM1'!$E$4:$BC$54,MAX($E20,INDEX($E$16:$E$21,2)),MIN($E20,INDEX($E$16:$E$21,2)))</f>
        <v/>
      </c>
      <c r="H20" s="45">
        <f>INDEX('CME - AM1'!$E$4:$BC$54,MAX($E20,INDEX($E$16:$E$21,3)),MIN($E20,INDEX($E$16:$E$21,3)))</f>
        <v/>
      </c>
      <c r="I20" s="45">
        <f>INDEX('CME - AM1'!$E$4:$BC$54,MAX($E20,INDEX($E$16:$E$21,4)),MIN($E20,INDEX($E$16:$E$21,4)))</f>
        <v/>
      </c>
      <c r="J20" s="45">
        <f>INDEX('CME - AM1'!$E$4:$BC$54,MAX($E20,INDEX($E$16:$E$21,5)),MIN($E20,INDEX($E$16:$E$21,5)))</f>
        <v/>
      </c>
      <c r="K20" s="45">
        <f>INDEX('CME - AM1'!$E$4:$BC$54,MAX($E20,INDEX($E$16:$E$21,6)),MIN($E20,INDEX($E$16:$E$21,6)))</f>
        <v/>
      </c>
    </row>
    <row r="21">
      <c r="D21" s="19">
        <f>D11</f>
        <v/>
      </c>
      <c r="E21" s="19">
        <f>MATCH(D21,'CME - AM1'!$B$4:$B$54,0)</f>
        <v/>
      </c>
      <c r="F21" s="45">
        <f>INDEX('CME - AM1'!$E$4:$BC$54,MAX($E21,INDEX($E$16:$E$21,1)),MIN($E21,INDEX($E$16:$E$21,1)))</f>
        <v/>
      </c>
      <c r="G21" s="45">
        <f>INDEX('CME - AM1'!$E$4:$BC$54,MAX($E21,INDEX($E$16:$E$21,2)),MIN($E21,INDEX($E$16:$E$21,2)))</f>
        <v/>
      </c>
      <c r="H21" s="45">
        <f>INDEX('CME - AM1'!$E$4:$BC$54,MAX($E21,INDEX($E$16:$E$21,3)),MIN($E21,INDEX($E$16:$E$21,3)))</f>
        <v/>
      </c>
      <c r="I21" s="45">
        <f>INDEX('CME - AM1'!$E$4:$BC$54,MAX($E21,INDEX($E$16:$E$21,4)),MIN($E21,INDEX($E$16:$E$21,4)))</f>
        <v/>
      </c>
      <c r="J21" s="45">
        <f>INDEX('CME - AM1'!$E$4:$BC$54,MAX($E21,INDEX($E$16:$E$21,5)),MIN($E21,INDEX($E$16:$E$21,5)))</f>
        <v/>
      </c>
      <c r="K21" s="45">
        <f>INDEX('CME - AM1'!$E$4:$BC$54,MAX($E21,INDEX($E$16:$E$21,6)),MIN($E21,INDEX($E$16:$E$21,6)))</f>
        <v/>
      </c>
    </row>
    <row r="23">
      <c r="F23" s="18" t="inlineStr">
        <is>
          <t>Correlation Matrix - AM2</t>
        </is>
      </c>
      <c r="G23" s="43" t="n"/>
      <c r="H23" s="43" t="n"/>
      <c r="I23" s="43" t="n"/>
      <c r="J23" s="43" t="n"/>
      <c r="K23" s="44" t="n"/>
    </row>
    <row r="24">
      <c r="D24" s="18" t="inlineStr">
        <is>
          <t>Asset</t>
        </is>
      </c>
      <c r="E24" s="18" t="inlineStr">
        <is>
          <t>Index #</t>
        </is>
      </c>
      <c r="F24" s="18">
        <f>$D$25</f>
        <v/>
      </c>
      <c r="G24" s="18">
        <f>$D$26</f>
        <v/>
      </c>
      <c r="H24" s="18">
        <f>$D$27</f>
        <v/>
      </c>
      <c r="I24" s="18">
        <f>$D$28</f>
        <v/>
      </c>
      <c r="J24" s="18">
        <f>$D$29</f>
        <v/>
      </c>
      <c r="K24" s="18">
        <f>$D$30</f>
        <v/>
      </c>
    </row>
    <row r="25">
      <c r="D25" s="19">
        <f>E6</f>
        <v/>
      </c>
      <c r="E25" s="19">
        <f>MATCH(D25,'CME - AM2'!$C$4:$C$52,0)</f>
        <v/>
      </c>
      <c r="F25" s="45">
        <f>INDEX('CME - AM2'!$F$4:$BB$52,MAX($E25,INDEX($E$25:$E$30,1)),MIN($E25,INDEX($E$25:$E$30,1)))</f>
        <v/>
      </c>
      <c r="G25" s="45">
        <f>INDEX('CME - AM2'!$F$4:$BB$52,MAX($E25,INDEX($E$25:$E$30,2)),MIN($E25,INDEX($E$25:$E$30,2)))</f>
        <v/>
      </c>
      <c r="H25" s="45">
        <f>INDEX('CME - AM2'!$F$4:$BB$52,MAX($E25,INDEX($E$25:$E$30,3)),MIN($E25,INDEX($E$25:$E$30,3)))</f>
        <v/>
      </c>
      <c r="I25" s="45">
        <f>INDEX('CME - AM2'!$F$4:$BB$52,MAX($E25,INDEX($E$25:$E$30,4)),MIN($E25,INDEX($E$25:$E$30,4)))</f>
        <v/>
      </c>
      <c r="J25" s="45">
        <f>INDEX('CME - AM2'!$F$4:$BB$52,MAX($E25,INDEX($E$25:$E$30,5)),MIN($E25,INDEX($E$25:$E$30,5)))</f>
        <v/>
      </c>
      <c r="K25" s="45">
        <f>INDEX('CME - AM2'!$F$4:$BB$52,MAX($E25,INDEX($E$25:$E$30,6)),MIN($E25,INDEX($E$25:$E$30,6)))</f>
        <v/>
      </c>
    </row>
    <row r="26">
      <c r="D26" s="19">
        <f>E7</f>
        <v/>
      </c>
      <c r="E26" s="19">
        <f>MATCH(D26,'CME - AM2'!$C$4:$C$52,0)</f>
        <v/>
      </c>
      <c r="F26" s="45">
        <f>INDEX('CME - AM2'!$F$4:$BB$52,MAX($E26,INDEX($E$25:$E$30,1)),MIN($E26,INDEX($E$25:$E$30,1)))</f>
        <v/>
      </c>
      <c r="G26" s="45">
        <f>INDEX('CME - AM2'!$F$4:$BB$52,MAX($E26,INDEX($E$25:$E$30,2)),MIN($E26,INDEX($E$25:$E$30,2)))</f>
        <v/>
      </c>
      <c r="H26" s="45">
        <f>INDEX('CME - AM2'!$F$4:$BB$52,MAX($E26,INDEX($E$25:$E$30,3)),MIN($E26,INDEX($E$25:$E$30,3)))</f>
        <v/>
      </c>
      <c r="I26" s="45">
        <f>INDEX('CME - AM2'!$F$4:$BB$52,MAX($E26,INDEX($E$25:$E$30,4)),MIN($E26,INDEX($E$25:$E$30,4)))</f>
        <v/>
      </c>
      <c r="J26" s="45">
        <f>INDEX('CME - AM2'!$F$4:$BB$52,MAX($E26,INDEX($E$25:$E$30,5)),MIN($E26,INDEX($E$25:$E$30,5)))</f>
        <v/>
      </c>
      <c r="K26" s="45">
        <f>INDEX('CME - AM2'!$F$4:$BB$52,MAX($E26,INDEX($E$25:$E$30,6)),MIN($E26,INDEX($E$25:$E$30,6)))</f>
        <v/>
      </c>
    </row>
    <row r="27">
      <c r="D27" s="19">
        <f>E8</f>
        <v/>
      </c>
      <c r="E27" s="19">
        <f>MATCH(D27,'CME - AM2'!$C$4:$C$52,0)</f>
        <v/>
      </c>
      <c r="F27" s="45">
        <f>INDEX('CME - AM2'!$F$4:$BB$52,MAX($E27,INDEX($E$25:$E$30,1)),MIN($E27,INDEX($E$25:$E$30,1)))</f>
        <v/>
      </c>
      <c r="G27" s="45">
        <f>INDEX('CME - AM2'!$F$4:$BB$52,MAX($E27,INDEX($E$25:$E$30,2)),MIN($E27,INDEX($E$25:$E$30,2)))</f>
        <v/>
      </c>
      <c r="H27" s="45">
        <f>INDEX('CME - AM2'!$F$4:$BB$52,MAX($E27,INDEX($E$25:$E$30,3)),MIN($E27,INDEX($E$25:$E$30,3)))</f>
        <v/>
      </c>
      <c r="I27" s="45">
        <f>INDEX('CME - AM2'!$F$4:$BB$52,MAX($E27,INDEX($E$25:$E$30,4)),MIN($E27,INDEX($E$25:$E$30,4)))</f>
        <v/>
      </c>
      <c r="J27" s="45">
        <f>INDEX('CME - AM2'!$F$4:$BB$52,MAX($E27,INDEX($E$25:$E$30,5)),MIN($E27,INDEX($E$25:$E$30,5)))</f>
        <v/>
      </c>
      <c r="K27" s="45">
        <f>INDEX('CME - AM2'!$F$4:$BB$52,MAX($E27,INDEX($E$25:$E$30,6)),MIN($E27,INDEX($E$25:$E$30,6)))</f>
        <v/>
      </c>
    </row>
    <row r="28">
      <c r="D28" s="19">
        <f>E9</f>
        <v/>
      </c>
      <c r="E28" s="19">
        <f>MATCH(D28,'CME - AM2'!$C$4:$C$52,0)</f>
        <v/>
      </c>
      <c r="F28" s="45">
        <f>INDEX('CME - AM2'!$F$4:$BB$52,MAX($E28,INDEX($E$25:$E$30,1)),MIN($E28,INDEX($E$25:$E$30,1)))</f>
        <v/>
      </c>
      <c r="G28" s="45">
        <f>INDEX('CME - AM2'!$F$4:$BB$52,MAX($E28,INDEX($E$25:$E$30,2)),MIN($E28,INDEX($E$25:$E$30,2)))</f>
        <v/>
      </c>
      <c r="H28" s="45">
        <f>INDEX('CME - AM2'!$F$4:$BB$52,MAX($E28,INDEX($E$25:$E$30,3)),MIN($E28,INDEX($E$25:$E$30,3)))</f>
        <v/>
      </c>
      <c r="I28" s="45">
        <f>INDEX('CME - AM2'!$F$4:$BB$52,MAX($E28,INDEX($E$25:$E$30,4)),MIN($E28,INDEX($E$25:$E$30,4)))</f>
        <v/>
      </c>
      <c r="J28" s="45">
        <f>INDEX('CME - AM2'!$F$4:$BB$52,MAX($E28,INDEX($E$25:$E$30,5)),MIN($E28,INDEX($E$25:$E$30,5)))</f>
        <v/>
      </c>
      <c r="K28" s="45">
        <f>INDEX('CME - AM2'!$F$4:$BB$52,MAX($E28,INDEX($E$25:$E$30,6)),MIN($E28,INDEX($E$25:$E$30,6)))</f>
        <v/>
      </c>
    </row>
    <row r="29">
      <c r="D29" s="19">
        <f>E10</f>
        <v/>
      </c>
      <c r="E29" s="19">
        <f>MATCH(D29,'CME - AM2'!$C$4:$C$52,0)</f>
        <v/>
      </c>
      <c r="F29" s="45">
        <f>INDEX('CME - AM2'!$F$4:$BB$52,MAX($E29,INDEX($E$25:$E$30,1)),MIN($E29,INDEX($E$25:$E$30,1)))</f>
        <v/>
      </c>
      <c r="G29" s="45">
        <f>INDEX('CME - AM2'!$F$4:$BB$52,MAX($E29,INDEX($E$25:$E$30,2)),MIN($E29,INDEX($E$25:$E$30,2)))</f>
        <v/>
      </c>
      <c r="H29" s="45">
        <f>INDEX('CME - AM2'!$F$4:$BB$52,MAX($E29,INDEX($E$25:$E$30,3)),MIN($E29,INDEX($E$25:$E$30,3)))</f>
        <v/>
      </c>
      <c r="I29" s="45">
        <f>INDEX('CME - AM2'!$F$4:$BB$52,MAX($E29,INDEX($E$25:$E$30,4)),MIN($E29,INDEX($E$25:$E$30,4)))</f>
        <v/>
      </c>
      <c r="J29" s="45">
        <f>INDEX('CME - AM2'!$F$4:$BB$52,MAX($E29,INDEX($E$25:$E$30,5)),MIN($E29,INDEX($E$25:$E$30,5)))</f>
        <v/>
      </c>
      <c r="K29" s="45">
        <f>INDEX('CME - AM2'!$F$4:$BB$52,MAX($E29,INDEX($E$25:$E$30,6)),MIN($E29,INDEX($E$25:$E$30,6)))</f>
        <v/>
      </c>
    </row>
    <row r="30">
      <c r="D30" s="19">
        <f>E11</f>
        <v/>
      </c>
      <c r="E30" s="19">
        <f>MATCH(D30,'CME - AM2'!$C$4:$C$52,0)</f>
        <v/>
      </c>
      <c r="F30" s="45">
        <f>INDEX('CME - AM2'!$F$4:$BB$52,MAX($E30,INDEX($E$25:$E$30,1)),MIN($E30,INDEX($E$25:$E$30,1)))</f>
        <v/>
      </c>
      <c r="G30" s="45">
        <f>INDEX('CME - AM2'!$F$4:$BB$52,MAX($E30,INDEX($E$25:$E$30,2)),MIN($E30,INDEX($E$25:$E$30,2)))</f>
        <v/>
      </c>
      <c r="H30" s="45">
        <f>INDEX('CME - AM2'!$F$4:$BB$52,MAX($E30,INDEX($E$25:$E$30,3)),MIN($E30,INDEX($E$25:$E$30,3)))</f>
        <v/>
      </c>
      <c r="I30" s="45">
        <f>INDEX('CME - AM2'!$F$4:$BB$52,MAX($E30,INDEX($E$25:$E$30,4)),MIN($E30,INDEX($E$25:$E$30,4)))</f>
        <v/>
      </c>
      <c r="J30" s="45">
        <f>INDEX('CME - AM2'!$F$4:$BB$52,MAX($E30,INDEX($E$25:$E$30,5)),MIN($E30,INDEX($E$25:$E$30,5)))</f>
        <v/>
      </c>
      <c r="K30" s="45">
        <f>INDEX('CME - AM2'!$F$4:$BB$52,MAX($E30,INDEX($E$25:$E$30,6)),MIN($E30,INDEX($E$25:$E$30,6)))</f>
        <v/>
      </c>
    </row>
    <row r="32">
      <c r="F32" s="18" t="inlineStr">
        <is>
          <t>Average Correlation Matrix (AM1 &amp; AM2)</t>
        </is>
      </c>
      <c r="G32" s="43" t="n"/>
      <c r="H32" s="43" t="n"/>
      <c r="I32" s="43" t="n"/>
      <c r="J32" s="43" t="n"/>
      <c r="K32" s="44" t="n"/>
    </row>
    <row r="33">
      <c r="E33" s="18" t="inlineStr">
        <is>
          <t>Asset</t>
        </is>
      </c>
      <c r="F33" s="18">
        <f>$B$6</f>
        <v/>
      </c>
      <c r="G33" s="18">
        <f>$B$7</f>
        <v/>
      </c>
      <c r="H33" s="18">
        <f>$B$8</f>
        <v/>
      </c>
      <c r="I33" s="18">
        <f>$B$9</f>
        <v/>
      </c>
      <c r="J33" s="18">
        <f>$B$10</f>
        <v/>
      </c>
      <c r="K33" s="18">
        <f>$B$11</f>
        <v/>
      </c>
    </row>
    <row r="34">
      <c r="E34" s="19">
        <f>$B$6</f>
        <v/>
      </c>
      <c r="F34" s="46">
        <f>AVERAGE(F16,F25)</f>
        <v/>
      </c>
      <c r="G34" s="46">
        <f>AVERAGE(G16,G25)</f>
        <v/>
      </c>
      <c r="H34" s="46">
        <f>AVERAGE(H16,H25)</f>
        <v/>
      </c>
      <c r="I34" s="46">
        <f>AVERAGE(I16,I25)</f>
        <v/>
      </c>
      <c r="J34" s="46">
        <f>AVERAGE(J16,J25)</f>
        <v/>
      </c>
      <c r="K34" s="46">
        <f>AVERAGE(K16,K25)</f>
        <v/>
      </c>
    </row>
    <row r="35">
      <c r="E35" s="19">
        <f>$B$7</f>
        <v/>
      </c>
      <c r="F35" s="46">
        <f>AVERAGE(F17,F26)</f>
        <v/>
      </c>
      <c r="G35" s="46">
        <f>AVERAGE(G17,G26)</f>
        <v/>
      </c>
      <c r="H35" s="46">
        <f>AVERAGE(H17,H26)</f>
        <v/>
      </c>
      <c r="I35" s="46">
        <f>AVERAGE(I17,I26)</f>
        <v/>
      </c>
      <c r="J35" s="46">
        <f>AVERAGE(J17,J26)</f>
        <v/>
      </c>
      <c r="K35" s="46">
        <f>AVERAGE(K17,K26)</f>
        <v/>
      </c>
    </row>
    <row r="36">
      <c r="E36" s="19">
        <f>$B$8</f>
        <v/>
      </c>
      <c r="F36" s="46">
        <f>AVERAGE(F18,F27)</f>
        <v/>
      </c>
      <c r="G36" s="46">
        <f>AVERAGE(G18,G27)</f>
        <v/>
      </c>
      <c r="H36" s="46">
        <f>AVERAGE(H18,H27)</f>
        <v/>
      </c>
      <c r="I36" s="46">
        <f>AVERAGE(I18,I27)</f>
        <v/>
      </c>
      <c r="J36" s="46">
        <f>AVERAGE(J18,J27)</f>
        <v/>
      </c>
      <c r="K36" s="46">
        <f>AVERAGE(K18,K27)</f>
        <v/>
      </c>
    </row>
    <row r="37">
      <c r="E37" s="19">
        <f>$B$9</f>
        <v/>
      </c>
      <c r="F37" s="46">
        <f>AVERAGE(F19,F28)</f>
        <v/>
      </c>
      <c r="G37" s="46">
        <f>AVERAGE(G19,G28)</f>
        <v/>
      </c>
      <c r="H37" s="46">
        <f>AVERAGE(H19,H28)</f>
        <v/>
      </c>
      <c r="I37" s="46">
        <f>AVERAGE(I19,I28)</f>
        <v/>
      </c>
      <c r="J37" s="46">
        <f>AVERAGE(J19,J28)</f>
        <v/>
      </c>
      <c r="K37" s="46">
        <f>AVERAGE(K19,K28)</f>
        <v/>
      </c>
    </row>
    <row r="38">
      <c r="E38" s="19">
        <f>$B$10</f>
        <v/>
      </c>
      <c r="F38" s="46">
        <f>AVERAGE(F20,F29)</f>
        <v/>
      </c>
      <c r="G38" s="46">
        <f>AVERAGE(G20,G29)</f>
        <v/>
      </c>
      <c r="H38" s="46">
        <f>AVERAGE(H20,H29)</f>
        <v/>
      </c>
      <c r="I38" s="46">
        <f>AVERAGE(I20,I29)</f>
        <v/>
      </c>
      <c r="J38" s="46">
        <f>AVERAGE(J20,J29)</f>
        <v/>
      </c>
      <c r="K38" s="46">
        <f>AVERAGE(K20,K29)</f>
        <v/>
      </c>
    </row>
    <row r="39">
      <c r="E39" s="19">
        <f>$B$11</f>
        <v/>
      </c>
      <c r="F39" s="46">
        <f>AVERAGE(F21,F30)</f>
        <v/>
      </c>
      <c r="G39" s="46">
        <f>AVERAGE(G21,G30)</f>
        <v/>
      </c>
      <c r="H39" s="46">
        <f>AVERAGE(H21,H30)</f>
        <v/>
      </c>
      <c r="I39" s="46">
        <f>AVERAGE(I21,I30)</f>
        <v/>
      </c>
      <c r="J39" s="46">
        <f>AVERAGE(J21,J30)</f>
        <v/>
      </c>
      <c r="K39" s="46">
        <f>AVERAGE(K21,K30)</f>
        <v/>
      </c>
    </row>
  </sheetData>
  <mergeCells count="5">
    <mergeCell ref="F23:K23"/>
    <mergeCell ref="F14:K14"/>
    <mergeCell ref="F32:K32"/>
    <mergeCell ref="F4:I4"/>
    <mergeCell ref="J4:M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" customWidth="1" min="10" max="10"/>
    <col width="14" customWidth="1" min="11" max="11"/>
    <col width="12" customWidth="1" min="14" max="14"/>
  </cols>
  <sheetData>
    <row r="1">
      <c r="A1" s="16" t="inlineStr">
        <is>
          <t>Strategic Asset Allocation - Six Asset Portfolio (Optimistic CME)</t>
        </is>
      </c>
    </row>
    <row r="3">
      <c r="B3" s="18" t="inlineStr">
        <is>
          <t>Correlation</t>
        </is>
      </c>
      <c r="C3" s="18">
        <f>'CME - AM'!F33</f>
        <v/>
      </c>
      <c r="D3" s="18">
        <f>'CME - AM'!G33</f>
        <v/>
      </c>
      <c r="E3" s="18">
        <f>'CME - AM'!H33</f>
        <v/>
      </c>
      <c r="F3" s="18">
        <f>'CME - AM'!I33</f>
        <v/>
      </c>
      <c r="G3" s="18">
        <f>'CME - AM'!J33</f>
        <v/>
      </c>
      <c r="H3" s="18">
        <f>'CME - AM'!K33</f>
        <v/>
      </c>
      <c r="J3" s="24" t="inlineStr">
        <is>
          <t>Portfolio objective &amp; constraints</t>
        </is>
      </c>
    </row>
    <row r="4">
      <c r="B4" s="25">
        <f>'CME - AM'!E34</f>
        <v/>
      </c>
      <c r="C4" s="45">
        <f>'CME - AM'!F34</f>
        <v/>
      </c>
      <c r="D4" s="45">
        <f>'CME - AM'!G34</f>
        <v/>
      </c>
      <c r="E4" s="45">
        <f>'CME - AM'!H34</f>
        <v/>
      </c>
      <c r="F4" s="45">
        <f>'CME - AM'!I34</f>
        <v/>
      </c>
      <c r="G4" s="45">
        <f>'CME - AM'!J34</f>
        <v/>
      </c>
      <c r="H4" s="45">
        <f>'CME - AM'!K34</f>
        <v/>
      </c>
      <c r="J4" t="inlineStr">
        <is>
          <t>Objective</t>
        </is>
      </c>
      <c r="N4" s="19" t="inlineStr">
        <is>
          <t>Maximise expected return</t>
        </is>
      </c>
    </row>
    <row r="5">
      <c r="B5" s="25">
        <f>'CME - AM'!E35</f>
        <v/>
      </c>
      <c r="C5" s="45">
        <f>'CME - AM'!F35</f>
        <v/>
      </c>
      <c r="D5" s="45">
        <f>'CME - AM'!G35</f>
        <v/>
      </c>
      <c r="E5" s="45">
        <f>'CME - AM'!H35</f>
        <v/>
      </c>
      <c r="F5" s="45">
        <f>'CME - AM'!I35</f>
        <v/>
      </c>
      <c r="G5" s="45">
        <f>'CME - AM'!J35</f>
        <v/>
      </c>
      <c r="H5" s="45">
        <f>'CME - AM'!K35</f>
        <v/>
      </c>
      <c r="J5" t="inlineStr">
        <is>
          <t>Risk tolerance (Medium) - max volatility</t>
        </is>
      </c>
      <c r="N5" s="26" t="n">
        <v>0.15</v>
      </c>
    </row>
    <row r="6">
      <c r="B6" s="25">
        <f>'CME - AM'!E36</f>
        <v/>
      </c>
      <c r="C6" s="45">
        <f>'CME - AM'!F36</f>
        <v/>
      </c>
      <c r="D6" s="45">
        <f>'CME - AM'!G36</f>
        <v/>
      </c>
      <c r="E6" s="45">
        <f>'CME - AM'!H36</f>
        <v/>
      </c>
      <c r="F6" s="45">
        <f>'CME - AM'!I36</f>
        <v/>
      </c>
      <c r="G6" s="45">
        <f>'CME - AM'!J36</f>
        <v/>
      </c>
      <c r="H6" s="45">
        <f>'CME - AM'!K36</f>
        <v/>
      </c>
      <c r="J6" t="inlineStr">
        <is>
          <t>Minimum weight per asset class (Portfolio B)</t>
        </is>
      </c>
      <c r="N6" s="26" t="n">
        <v>0.1</v>
      </c>
    </row>
    <row r="7">
      <c r="B7" s="25">
        <f>'CME - AM'!E37</f>
        <v/>
      </c>
      <c r="C7" s="45">
        <f>'CME - AM'!F37</f>
        <v/>
      </c>
      <c r="D7" s="45">
        <f>'CME - AM'!G37</f>
        <v/>
      </c>
      <c r="E7" s="45">
        <f>'CME - AM'!H37</f>
        <v/>
      </c>
      <c r="F7" s="45">
        <f>'CME - AM'!I37</f>
        <v/>
      </c>
      <c r="G7" s="45">
        <f>'CME - AM'!J37</f>
        <v/>
      </c>
      <c r="H7" s="45">
        <f>'CME - AM'!K37</f>
        <v/>
      </c>
      <c r="J7" t="inlineStr">
        <is>
          <t>Risk-free rate (for Sharpe)</t>
        </is>
      </c>
      <c r="N7" s="26" t="n">
        <v>0.03</v>
      </c>
    </row>
    <row r="8">
      <c r="B8" s="25">
        <f>'CME - AM'!E38</f>
        <v/>
      </c>
      <c r="C8" s="45">
        <f>'CME - AM'!F38</f>
        <v/>
      </c>
      <c r="D8" s="45">
        <f>'CME - AM'!G38</f>
        <v/>
      </c>
      <c r="E8" s="45">
        <f>'CME - AM'!H38</f>
        <v/>
      </c>
      <c r="F8" s="45">
        <f>'CME - AM'!I38</f>
        <v/>
      </c>
      <c r="G8" s="45">
        <f>'CME - AM'!J38</f>
        <v/>
      </c>
      <c r="H8" s="45">
        <f>'CME - AM'!K38</f>
        <v/>
      </c>
    </row>
    <row r="9">
      <c r="B9" s="25">
        <f>'CME - AM'!E39</f>
        <v/>
      </c>
      <c r="C9" s="45">
        <f>'CME - AM'!F39</f>
        <v/>
      </c>
      <c r="D9" s="45">
        <f>'CME - AM'!G39</f>
        <v/>
      </c>
      <c r="E9" s="45">
        <f>'CME - AM'!H39</f>
        <v/>
      </c>
      <c r="F9" s="45">
        <f>'CME - AM'!I39</f>
        <v/>
      </c>
      <c r="G9" s="45">
        <f>'CME - AM'!J39</f>
        <v/>
      </c>
      <c r="H9" s="45">
        <f>'CME - AM'!K39</f>
        <v/>
      </c>
      <c r="J9" s="27" t="inlineStr">
        <is>
          <t>Weights in blue are Solver outputs: Max I18/I30, by changing C17:H17 / C29:H29,</t>
        </is>
      </c>
    </row>
    <row r="10">
      <c r="J10" s="27" t="inlineStr">
        <is>
          <t>subject to: weights sum = 100%, volatility &lt;= N5, weights &gt;= 0 (A) or &gt;= N6 (B).</t>
        </is>
      </c>
    </row>
    <row r="11">
      <c r="B11" s="25" t="inlineStr">
        <is>
          <t>E Return</t>
        </is>
      </c>
      <c r="C11" s="20">
        <f>INDEX('CME - AM'!$I$6:$I$11,1)</f>
        <v/>
      </c>
      <c r="D11" s="20">
        <f>INDEX('CME - AM'!$I$6:$I$11,2)</f>
        <v/>
      </c>
      <c r="E11" s="20">
        <f>INDEX('CME - AM'!$I$6:$I$11,3)</f>
        <v/>
      </c>
      <c r="F11" s="20">
        <f>INDEX('CME - AM'!$I$6:$I$11,4)</f>
        <v/>
      </c>
      <c r="G11" s="20">
        <f>INDEX('CME - AM'!$I$6:$I$11,5)</f>
        <v/>
      </c>
      <c r="H11" s="20">
        <f>INDEX('CME - AM'!$I$6:$I$11,6)</f>
        <v/>
      </c>
    </row>
    <row r="12">
      <c r="B12" s="25" t="inlineStr">
        <is>
          <t>Volatility</t>
        </is>
      </c>
      <c r="C12" s="20">
        <f>INDEX('CME - AM'!$M$6:$M$11,1)</f>
        <v/>
      </c>
      <c r="D12" s="20">
        <f>INDEX('CME - AM'!$M$6:$M$11,2)</f>
        <v/>
      </c>
      <c r="E12" s="20">
        <f>INDEX('CME - AM'!$M$6:$M$11,3)</f>
        <v/>
      </c>
      <c r="F12" s="20">
        <f>INDEX('CME - AM'!$M$6:$M$11,4)</f>
        <v/>
      </c>
      <c r="G12" s="20">
        <f>INDEX('CME - AM'!$M$6:$M$11,5)</f>
        <v/>
      </c>
      <c r="H12" s="20">
        <f>INDEX('CME - AM'!$M$6:$M$11,6)</f>
        <v/>
      </c>
    </row>
    <row r="15">
      <c r="B15" s="28" t="inlineStr">
        <is>
          <t>Portfolio A - Max return, volatility &lt;= 15%, long-only (weights &gt;= 0)</t>
        </is>
      </c>
    </row>
    <row r="16">
      <c r="C16" s="18">
        <f>C3</f>
        <v/>
      </c>
      <c r="D16" s="18">
        <f>D3</f>
        <v/>
      </c>
      <c r="E16" s="18">
        <f>E3</f>
        <v/>
      </c>
      <c r="F16" s="18">
        <f>F3</f>
        <v/>
      </c>
      <c r="G16" s="18">
        <f>G3</f>
        <v/>
      </c>
      <c r="H16" s="18">
        <f>H3</f>
        <v/>
      </c>
      <c r="I16" s="18" t="inlineStr">
        <is>
          <t>Total</t>
        </is>
      </c>
    </row>
    <row r="17">
      <c r="B17" s="25" t="inlineStr">
        <is>
          <t>Weights</t>
        </is>
      </c>
      <c r="C17" s="29" t="n">
        <v>0.405265</v>
      </c>
      <c r="D17" s="29" t="n">
        <v>0</v>
      </c>
      <c r="E17" s="29" t="n">
        <v>0.513863</v>
      </c>
      <c r="F17" s="29" t="n">
        <v>0</v>
      </c>
      <c r="G17" s="29" t="n">
        <v>0.080872</v>
      </c>
      <c r="H17" s="29" t="n">
        <v>0</v>
      </c>
      <c r="I17" s="20">
        <f>SUM(C17:H17)</f>
        <v/>
      </c>
      <c r="K17" t="inlineStr">
        <is>
          <t>Volatility within limit?</t>
        </is>
      </c>
      <c r="N17">
        <f>IF(I20&lt;=$N$5+0.000001,"Yes","No")</f>
        <v/>
      </c>
    </row>
    <row r="18">
      <c r="B18" s="25" t="inlineStr">
        <is>
          <t>E Return</t>
        </is>
      </c>
      <c r="C18" s="20">
        <f>C17*C$11</f>
        <v/>
      </c>
      <c r="D18" s="20">
        <f>D17*D$11</f>
        <v/>
      </c>
      <c r="E18" s="20">
        <f>E17*E$11</f>
        <v/>
      </c>
      <c r="F18" s="20">
        <f>F17*F$11</f>
        <v/>
      </c>
      <c r="G18" s="20">
        <f>G17*G$11</f>
        <v/>
      </c>
      <c r="H18" s="20">
        <f>H17*H$11</f>
        <v/>
      </c>
      <c r="I18" s="21">
        <f>SUM(C18:H18)</f>
        <v/>
      </c>
      <c r="K18" t="inlineStr">
        <is>
          <t>Weights sum to 100%?</t>
        </is>
      </c>
      <c r="N18">
        <f>IF(ABS(I17-1)&lt;0.000001,"Yes","No")</f>
        <v/>
      </c>
    </row>
    <row r="19">
      <c r="H19" s="24" t="inlineStr">
        <is>
          <t>Variance</t>
        </is>
      </c>
      <c r="I19" s="47">
        <f t="array" ref="I19">MMULT(MMULT(C17:H17*$C$12:$H$12,$C$4:$H$9),TRANSPOSE(C17:H17*$C$12:$H$12))</f>
        <v/>
      </c>
    </row>
    <row r="20">
      <c r="H20" s="24" t="inlineStr">
        <is>
          <t>Volatility</t>
        </is>
      </c>
      <c r="I20" s="21">
        <f>SQRT(I19)</f>
        <v/>
      </c>
    </row>
    <row r="21">
      <c r="H21" s="24" t="inlineStr">
        <is>
          <t>Risk-Free Rate</t>
        </is>
      </c>
      <c r="I21" s="20">
        <f>$N$7</f>
        <v/>
      </c>
      <c r="K21" t="inlineStr">
        <is>
          <t>Min weight &gt;= 0?</t>
        </is>
      </c>
      <c r="N21">
        <f>IF(MIN(C17:H17)&gt;=0,"Yes","No")</f>
        <v/>
      </c>
    </row>
    <row r="22">
      <c r="H22" s="24" t="inlineStr">
        <is>
          <t>Sharpe Ratio</t>
        </is>
      </c>
      <c r="I22" s="31">
        <f>(I18-I21)/I20</f>
        <v/>
      </c>
    </row>
    <row r="23">
      <c r="B23" s="32" t="inlineStr">
        <is>
          <t>Portfolio A hits the 15% volatility limit but is concentrated in only 3 asset classes - not fully diversified.</t>
        </is>
      </c>
    </row>
    <row r="25">
      <c r="B25" s="28" t="inlineStr">
        <is>
          <t>Portfolio B (Selected SAA) - Max return, volatility &lt;= 15%, each asset class &gt;= 10%</t>
        </is>
      </c>
    </row>
    <row r="26">
      <c r="C26" s="18">
        <f>C3</f>
        <v/>
      </c>
      <c r="D26" s="18">
        <f>D3</f>
        <v/>
      </c>
      <c r="E26" s="18">
        <f>E3</f>
        <v/>
      </c>
      <c r="F26" s="18">
        <f>F3</f>
        <v/>
      </c>
      <c r="G26" s="18">
        <f>G3</f>
        <v/>
      </c>
      <c r="H26" s="18">
        <f>H3</f>
        <v/>
      </c>
      <c r="I26" s="18" t="inlineStr">
        <is>
          <t>Total</t>
        </is>
      </c>
    </row>
    <row r="27">
      <c r="B27" s="25" t="inlineStr">
        <is>
          <t>Weights</t>
        </is>
      </c>
      <c r="C27" s="29" t="n">
        <v>0.1</v>
      </c>
      <c r="D27" s="29" t="n">
        <v>0.1</v>
      </c>
      <c r="E27" s="29" t="n">
        <v>0.5</v>
      </c>
      <c r="F27" s="29" t="n">
        <v>0.1</v>
      </c>
      <c r="G27" s="29" t="n">
        <v>0.1</v>
      </c>
      <c r="H27" s="29" t="n">
        <v>0.1</v>
      </c>
      <c r="I27" s="20">
        <f>SUM(C27:H27)</f>
        <v/>
      </c>
      <c r="K27" t="inlineStr">
        <is>
          <t>Volatility within limit?</t>
        </is>
      </c>
      <c r="N27">
        <f>IF(I30&lt;=$N$5+0.000001,"Yes","No")</f>
        <v/>
      </c>
    </row>
    <row r="28">
      <c r="B28" s="25" t="inlineStr">
        <is>
          <t>E Return</t>
        </is>
      </c>
      <c r="C28" s="20">
        <f>C27*C$11</f>
        <v/>
      </c>
      <c r="D28" s="20">
        <f>D27*D$11</f>
        <v/>
      </c>
      <c r="E28" s="20">
        <f>E27*E$11</f>
        <v/>
      </c>
      <c r="F28" s="20">
        <f>F27*F$11</f>
        <v/>
      </c>
      <c r="G28" s="20">
        <f>G27*G$11</f>
        <v/>
      </c>
      <c r="H28" s="20">
        <f>H27*H$11</f>
        <v/>
      </c>
      <c r="I28" s="21">
        <f>SUM(C28:H28)</f>
        <v/>
      </c>
      <c r="K28" t="inlineStr">
        <is>
          <t>Weights sum to 100%?</t>
        </is>
      </c>
      <c r="N28">
        <f>IF(ABS(I27-1)&lt;0.000001,"Yes","No")</f>
        <v/>
      </c>
    </row>
    <row r="29">
      <c r="H29" s="24" t="inlineStr">
        <is>
          <t>Variance</t>
        </is>
      </c>
      <c r="I29" s="47">
        <f t="array" ref="I29">MMULT(MMULT(C27:H27*$C$12:$H$12,$C$4:$H$9),TRANSPOSE(C27:H27*$C$12:$H$12))</f>
        <v/>
      </c>
    </row>
    <row r="30">
      <c r="H30" s="24" t="inlineStr">
        <is>
          <t>Volatility</t>
        </is>
      </c>
      <c r="I30" s="21">
        <f>SQRT(I29)</f>
        <v/>
      </c>
    </row>
    <row r="31">
      <c r="H31" s="24" t="inlineStr">
        <is>
          <t>Risk-Free Rate</t>
        </is>
      </c>
      <c r="I31" s="20">
        <f>$N$7</f>
        <v/>
      </c>
      <c r="K31" t="inlineStr">
        <is>
          <t>Min weight &gt;= 10%?</t>
        </is>
      </c>
      <c r="N31">
        <f>IF(MIN(C27:H27)&gt;=$N$6-0.000001,"Yes","No")</f>
        <v/>
      </c>
    </row>
    <row r="32">
      <c r="H32" s="24" t="inlineStr">
        <is>
          <t>Sharpe Ratio</t>
        </is>
      </c>
      <c r="I32" s="31">
        <f>(I28-I31)/I30</f>
        <v/>
      </c>
    </row>
    <row r="33">
      <c r="B33" s="32" t="inlineStr">
        <is>
          <t>Selected SAA: every asset class holds at least 10%; the excess goes to EM (highest expected return). Volatility stays below the 15% limit.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8" t="inlineStr">
        <is>
          <t>Index</t>
        </is>
      </c>
      <c r="B1" s="18">
        <f>'SAA with CME'!C26</f>
        <v/>
      </c>
      <c r="C1" s="18">
        <f>'SAA with CME'!D26</f>
        <v/>
      </c>
      <c r="D1" s="18">
        <f>'SAA with CME'!E26</f>
        <v/>
      </c>
      <c r="E1" s="18">
        <f>'SAA with CME'!F26</f>
        <v/>
      </c>
      <c r="F1" s="18">
        <f>'SAA with CME'!G26</f>
        <v/>
      </c>
      <c r="G1" s="18">
        <f>'SAA with CME'!H26</f>
        <v/>
      </c>
      <c r="H1" s="18" t="inlineStr">
        <is>
          <t>Portfolio Return</t>
        </is>
      </c>
      <c r="I1" s="18" t="inlineStr">
        <is>
          <t>Growth of $1</t>
        </is>
      </c>
    </row>
    <row r="2">
      <c r="A2" s="48">
        <f>'Index Returns'!A2</f>
        <v/>
      </c>
      <c r="B2" s="34">
        <f>'Index Returns'!B2*'SAA with CME'!C$27</f>
        <v/>
      </c>
      <c r="C2" s="34">
        <f>'Index Returns'!C2*'SAA with CME'!D$27</f>
        <v/>
      </c>
      <c r="D2" s="34">
        <f>'Index Returns'!D2*'SAA with CME'!E$27</f>
        <v/>
      </c>
      <c r="E2" s="34">
        <f>'Index Returns'!E2*'SAA with CME'!F$27</f>
        <v/>
      </c>
      <c r="F2" s="34">
        <f>'Index Returns'!F2*'SAA with CME'!G$27</f>
        <v/>
      </c>
      <c r="G2" s="34">
        <f>'Index Returns'!G2*'SAA with CME'!H$27</f>
        <v/>
      </c>
      <c r="H2" s="35">
        <f>SUM(B2:G2)</f>
        <v/>
      </c>
      <c r="I2" s="49">
        <f>1+H2</f>
        <v/>
      </c>
    </row>
    <row r="3">
      <c r="A3" s="48">
        <f>'Index Returns'!A3</f>
        <v/>
      </c>
      <c r="B3" s="34">
        <f>'Index Returns'!B3*'SAA with CME'!C$27</f>
        <v/>
      </c>
      <c r="C3" s="34">
        <f>'Index Returns'!C3*'SAA with CME'!D$27</f>
        <v/>
      </c>
      <c r="D3" s="34">
        <f>'Index Returns'!D3*'SAA with CME'!E$27</f>
        <v/>
      </c>
      <c r="E3" s="34">
        <f>'Index Returns'!E3*'SAA with CME'!F$27</f>
        <v/>
      </c>
      <c r="F3" s="34">
        <f>'Index Returns'!F3*'SAA with CME'!G$27</f>
        <v/>
      </c>
      <c r="G3" s="34">
        <f>'Index Returns'!G3*'SAA with CME'!H$27</f>
        <v/>
      </c>
      <c r="H3" s="35">
        <f>SUM(B3:G3)</f>
        <v/>
      </c>
      <c r="I3" s="49">
        <f>I2*(1+H3)</f>
        <v/>
      </c>
    </row>
    <row r="4">
      <c r="A4" s="48">
        <f>'Index Returns'!A4</f>
        <v/>
      </c>
      <c r="B4" s="34">
        <f>'Index Returns'!B4*'SAA with CME'!C$27</f>
        <v/>
      </c>
      <c r="C4" s="34">
        <f>'Index Returns'!C4*'SAA with CME'!D$27</f>
        <v/>
      </c>
      <c r="D4" s="34">
        <f>'Index Returns'!D4*'SAA with CME'!E$27</f>
        <v/>
      </c>
      <c r="E4" s="34">
        <f>'Index Returns'!E4*'SAA with CME'!F$27</f>
        <v/>
      </c>
      <c r="F4" s="34">
        <f>'Index Returns'!F4*'SAA with CME'!G$27</f>
        <v/>
      </c>
      <c r="G4" s="34">
        <f>'Index Returns'!G4*'SAA with CME'!H$27</f>
        <v/>
      </c>
      <c r="H4" s="35">
        <f>SUM(B4:G4)</f>
        <v/>
      </c>
      <c r="I4" s="49">
        <f>I3*(1+H4)</f>
        <v/>
      </c>
    </row>
    <row r="5">
      <c r="A5" s="48">
        <f>'Index Returns'!A5</f>
        <v/>
      </c>
      <c r="B5" s="34">
        <f>'Index Returns'!B5*'SAA with CME'!C$27</f>
        <v/>
      </c>
      <c r="C5" s="34">
        <f>'Index Returns'!C5*'SAA with CME'!D$27</f>
        <v/>
      </c>
      <c r="D5" s="34">
        <f>'Index Returns'!D5*'SAA with CME'!E$27</f>
        <v/>
      </c>
      <c r="E5" s="34">
        <f>'Index Returns'!E5*'SAA with CME'!F$27</f>
        <v/>
      </c>
      <c r="F5" s="34">
        <f>'Index Returns'!F5*'SAA with CME'!G$27</f>
        <v/>
      </c>
      <c r="G5" s="34">
        <f>'Index Returns'!G5*'SAA with CME'!H$27</f>
        <v/>
      </c>
      <c r="H5" s="35">
        <f>SUM(B5:G5)</f>
        <v/>
      </c>
      <c r="I5" s="49">
        <f>I4*(1+H5)</f>
        <v/>
      </c>
    </row>
    <row r="6">
      <c r="A6" s="48">
        <f>'Index Returns'!A6</f>
        <v/>
      </c>
      <c r="B6" s="34">
        <f>'Index Returns'!B6*'SAA with CME'!C$27</f>
        <v/>
      </c>
      <c r="C6" s="34">
        <f>'Index Returns'!C6*'SAA with CME'!D$27</f>
        <v/>
      </c>
      <c r="D6" s="34">
        <f>'Index Returns'!D6*'SAA with CME'!E$27</f>
        <v/>
      </c>
      <c r="E6" s="34">
        <f>'Index Returns'!E6*'SAA with CME'!F$27</f>
        <v/>
      </c>
      <c r="F6" s="34">
        <f>'Index Returns'!F6*'SAA with CME'!G$27</f>
        <v/>
      </c>
      <c r="G6" s="34">
        <f>'Index Returns'!G6*'SAA with CME'!H$27</f>
        <v/>
      </c>
      <c r="H6" s="35">
        <f>SUM(B6:G6)</f>
        <v/>
      </c>
      <c r="I6" s="49">
        <f>I5*(1+H6)</f>
        <v/>
      </c>
    </row>
    <row r="7">
      <c r="A7" s="48">
        <f>'Index Returns'!A7</f>
        <v/>
      </c>
      <c r="B7" s="34">
        <f>'Index Returns'!B7*'SAA with CME'!C$27</f>
        <v/>
      </c>
      <c r="C7" s="34">
        <f>'Index Returns'!C7*'SAA with CME'!D$27</f>
        <v/>
      </c>
      <c r="D7" s="34">
        <f>'Index Returns'!D7*'SAA with CME'!E$27</f>
        <v/>
      </c>
      <c r="E7" s="34">
        <f>'Index Returns'!E7*'SAA with CME'!F$27</f>
        <v/>
      </c>
      <c r="F7" s="34">
        <f>'Index Returns'!F7*'SAA with CME'!G$27</f>
        <v/>
      </c>
      <c r="G7" s="34">
        <f>'Index Returns'!G7*'SAA with CME'!H$27</f>
        <v/>
      </c>
      <c r="H7" s="35">
        <f>SUM(B7:G7)</f>
        <v/>
      </c>
      <c r="I7" s="49">
        <f>I6*(1+H7)</f>
        <v/>
      </c>
    </row>
    <row r="8">
      <c r="A8" s="48">
        <f>'Index Returns'!A8</f>
        <v/>
      </c>
      <c r="B8" s="34">
        <f>'Index Returns'!B8*'SAA with CME'!C$27</f>
        <v/>
      </c>
      <c r="C8" s="34">
        <f>'Index Returns'!C8*'SAA with CME'!D$27</f>
        <v/>
      </c>
      <c r="D8" s="34">
        <f>'Index Returns'!D8*'SAA with CME'!E$27</f>
        <v/>
      </c>
      <c r="E8" s="34">
        <f>'Index Returns'!E8*'SAA with CME'!F$27</f>
        <v/>
      </c>
      <c r="F8" s="34">
        <f>'Index Returns'!F8*'SAA with CME'!G$27</f>
        <v/>
      </c>
      <c r="G8" s="34">
        <f>'Index Returns'!G8*'SAA with CME'!H$27</f>
        <v/>
      </c>
      <c r="H8" s="35">
        <f>SUM(B8:G8)</f>
        <v/>
      </c>
      <c r="I8" s="49">
        <f>I7*(1+H8)</f>
        <v/>
      </c>
    </row>
    <row r="9">
      <c r="A9" s="48">
        <f>'Index Returns'!A9</f>
        <v/>
      </c>
      <c r="B9" s="34">
        <f>'Index Returns'!B9*'SAA with CME'!C$27</f>
        <v/>
      </c>
      <c r="C9" s="34">
        <f>'Index Returns'!C9*'SAA with CME'!D$27</f>
        <v/>
      </c>
      <c r="D9" s="34">
        <f>'Index Returns'!D9*'SAA with CME'!E$27</f>
        <v/>
      </c>
      <c r="E9" s="34">
        <f>'Index Returns'!E9*'SAA with CME'!F$27</f>
        <v/>
      </c>
      <c r="F9" s="34">
        <f>'Index Returns'!F9*'SAA with CME'!G$27</f>
        <v/>
      </c>
      <c r="G9" s="34">
        <f>'Index Returns'!G9*'SAA with CME'!H$27</f>
        <v/>
      </c>
      <c r="H9" s="35">
        <f>SUM(B9:G9)</f>
        <v/>
      </c>
      <c r="I9" s="49">
        <f>I8*(1+H9)</f>
        <v/>
      </c>
    </row>
    <row r="10">
      <c r="A10" s="48">
        <f>'Index Returns'!A10</f>
        <v/>
      </c>
      <c r="B10" s="34">
        <f>'Index Returns'!B10*'SAA with CME'!C$27</f>
        <v/>
      </c>
      <c r="C10" s="34">
        <f>'Index Returns'!C10*'SAA with CME'!D$27</f>
        <v/>
      </c>
      <c r="D10" s="34">
        <f>'Index Returns'!D10*'SAA with CME'!E$27</f>
        <v/>
      </c>
      <c r="E10" s="34">
        <f>'Index Returns'!E10*'SAA with CME'!F$27</f>
        <v/>
      </c>
      <c r="F10" s="34">
        <f>'Index Returns'!F10*'SAA with CME'!G$27</f>
        <v/>
      </c>
      <c r="G10" s="34">
        <f>'Index Returns'!G10*'SAA with CME'!H$27</f>
        <v/>
      </c>
      <c r="H10" s="35">
        <f>SUM(B10:G10)</f>
        <v/>
      </c>
      <c r="I10" s="49">
        <f>I9*(1+H10)</f>
        <v/>
      </c>
    </row>
    <row r="11">
      <c r="A11" s="48">
        <f>'Index Returns'!A11</f>
        <v/>
      </c>
      <c r="B11" s="34">
        <f>'Index Returns'!B11*'SAA with CME'!C$27</f>
        <v/>
      </c>
      <c r="C11" s="34">
        <f>'Index Returns'!C11*'SAA with CME'!D$27</f>
        <v/>
      </c>
      <c r="D11" s="34">
        <f>'Index Returns'!D11*'SAA with CME'!E$27</f>
        <v/>
      </c>
      <c r="E11" s="34">
        <f>'Index Returns'!E11*'SAA with CME'!F$27</f>
        <v/>
      </c>
      <c r="F11" s="34">
        <f>'Index Returns'!F11*'SAA with CME'!G$27</f>
        <v/>
      </c>
      <c r="G11" s="34">
        <f>'Index Returns'!G11*'SAA with CME'!H$27</f>
        <v/>
      </c>
      <c r="H11" s="35">
        <f>SUM(B11:G11)</f>
        <v/>
      </c>
      <c r="I11" s="49">
        <f>I10*(1+H11)</f>
        <v/>
      </c>
    </row>
    <row r="12">
      <c r="A12" s="48">
        <f>'Index Returns'!A12</f>
        <v/>
      </c>
      <c r="B12" s="34">
        <f>'Index Returns'!B12*'SAA with CME'!C$27</f>
        <v/>
      </c>
      <c r="C12" s="34">
        <f>'Index Returns'!C12*'SAA with CME'!D$27</f>
        <v/>
      </c>
      <c r="D12" s="34">
        <f>'Index Returns'!D12*'SAA with CME'!E$27</f>
        <v/>
      </c>
      <c r="E12" s="34">
        <f>'Index Returns'!E12*'SAA with CME'!F$27</f>
        <v/>
      </c>
      <c r="F12" s="34">
        <f>'Index Returns'!F12*'SAA with CME'!G$27</f>
        <v/>
      </c>
      <c r="G12" s="34">
        <f>'Index Returns'!G12*'SAA with CME'!H$27</f>
        <v/>
      </c>
      <c r="H12" s="35">
        <f>SUM(B12:G12)</f>
        <v/>
      </c>
      <c r="I12" s="49">
        <f>I11*(1+H12)</f>
        <v/>
      </c>
    </row>
    <row r="13">
      <c r="A13" s="48">
        <f>'Index Returns'!A13</f>
        <v/>
      </c>
      <c r="B13" s="34">
        <f>'Index Returns'!B13*'SAA with CME'!C$27</f>
        <v/>
      </c>
      <c r="C13" s="34">
        <f>'Index Returns'!C13*'SAA with CME'!D$27</f>
        <v/>
      </c>
      <c r="D13" s="34">
        <f>'Index Returns'!D13*'SAA with CME'!E$27</f>
        <v/>
      </c>
      <c r="E13" s="34">
        <f>'Index Returns'!E13*'SAA with CME'!F$27</f>
        <v/>
      </c>
      <c r="F13" s="34">
        <f>'Index Returns'!F13*'SAA with CME'!G$27</f>
        <v/>
      </c>
      <c r="G13" s="34">
        <f>'Index Returns'!G13*'SAA with CME'!H$27</f>
        <v/>
      </c>
      <c r="H13" s="35">
        <f>SUM(B13:G13)</f>
        <v/>
      </c>
      <c r="I13" s="49">
        <f>I12*(1+H13)</f>
        <v/>
      </c>
    </row>
    <row r="14">
      <c r="A14" s="48">
        <f>'Index Returns'!A14</f>
        <v/>
      </c>
      <c r="B14" s="34">
        <f>'Index Returns'!B14*'SAA with CME'!C$27</f>
        <v/>
      </c>
      <c r="C14" s="34">
        <f>'Index Returns'!C14*'SAA with CME'!D$27</f>
        <v/>
      </c>
      <c r="D14" s="34">
        <f>'Index Returns'!D14*'SAA with CME'!E$27</f>
        <v/>
      </c>
      <c r="E14" s="34">
        <f>'Index Returns'!E14*'SAA with CME'!F$27</f>
        <v/>
      </c>
      <c r="F14" s="34">
        <f>'Index Returns'!F14*'SAA with CME'!G$27</f>
        <v/>
      </c>
      <c r="G14" s="34">
        <f>'Index Returns'!G14*'SAA with CME'!H$27</f>
        <v/>
      </c>
      <c r="H14" s="35">
        <f>SUM(B14:G14)</f>
        <v/>
      </c>
      <c r="I14" s="49">
        <f>I13*(1+H14)</f>
        <v/>
      </c>
    </row>
    <row r="15">
      <c r="A15" s="48">
        <f>'Index Returns'!A15</f>
        <v/>
      </c>
      <c r="B15" s="34">
        <f>'Index Returns'!B15*'SAA with CME'!C$27</f>
        <v/>
      </c>
      <c r="C15" s="34">
        <f>'Index Returns'!C15*'SAA with CME'!D$27</f>
        <v/>
      </c>
      <c r="D15" s="34">
        <f>'Index Returns'!D15*'SAA with CME'!E$27</f>
        <v/>
      </c>
      <c r="E15" s="34">
        <f>'Index Returns'!E15*'SAA with CME'!F$27</f>
        <v/>
      </c>
      <c r="F15" s="34">
        <f>'Index Returns'!F15*'SAA with CME'!G$27</f>
        <v/>
      </c>
      <c r="G15" s="34">
        <f>'Index Returns'!G15*'SAA with CME'!H$27</f>
        <v/>
      </c>
      <c r="H15" s="35">
        <f>SUM(B15:G15)</f>
        <v/>
      </c>
      <c r="I15" s="49">
        <f>I14*(1+H15)</f>
        <v/>
      </c>
    </row>
    <row r="16">
      <c r="A16" s="48">
        <f>'Index Returns'!A16</f>
        <v/>
      </c>
      <c r="B16" s="34">
        <f>'Index Returns'!B16*'SAA with CME'!C$27</f>
        <v/>
      </c>
      <c r="C16" s="34">
        <f>'Index Returns'!C16*'SAA with CME'!D$27</f>
        <v/>
      </c>
      <c r="D16" s="34">
        <f>'Index Returns'!D16*'SAA with CME'!E$27</f>
        <v/>
      </c>
      <c r="E16" s="34">
        <f>'Index Returns'!E16*'SAA with CME'!F$27</f>
        <v/>
      </c>
      <c r="F16" s="34">
        <f>'Index Returns'!F16*'SAA with CME'!G$27</f>
        <v/>
      </c>
      <c r="G16" s="34">
        <f>'Index Returns'!G16*'SAA with CME'!H$27</f>
        <v/>
      </c>
      <c r="H16" s="35">
        <f>SUM(B16:G16)</f>
        <v/>
      </c>
      <c r="I16" s="49">
        <f>I15*(1+H16)</f>
        <v/>
      </c>
    </row>
    <row r="17">
      <c r="A17" s="48">
        <f>'Index Returns'!A17</f>
        <v/>
      </c>
      <c r="B17" s="34">
        <f>'Index Returns'!B17*'SAA with CME'!C$27</f>
        <v/>
      </c>
      <c r="C17" s="34">
        <f>'Index Returns'!C17*'SAA with CME'!D$27</f>
        <v/>
      </c>
      <c r="D17" s="34">
        <f>'Index Returns'!D17*'SAA with CME'!E$27</f>
        <v/>
      </c>
      <c r="E17" s="34">
        <f>'Index Returns'!E17*'SAA with CME'!F$27</f>
        <v/>
      </c>
      <c r="F17" s="34">
        <f>'Index Returns'!F17*'SAA with CME'!G$27</f>
        <v/>
      </c>
      <c r="G17" s="34">
        <f>'Index Returns'!G17*'SAA with CME'!H$27</f>
        <v/>
      </c>
      <c r="H17" s="35">
        <f>SUM(B17:G17)</f>
        <v/>
      </c>
      <c r="I17" s="49">
        <f>I16*(1+H17)</f>
        <v/>
      </c>
    </row>
    <row r="18">
      <c r="A18" s="48">
        <f>'Index Returns'!A18</f>
        <v/>
      </c>
      <c r="B18" s="34">
        <f>'Index Returns'!B18*'SAA with CME'!C$27</f>
        <v/>
      </c>
      <c r="C18" s="34">
        <f>'Index Returns'!C18*'SAA with CME'!D$27</f>
        <v/>
      </c>
      <c r="D18" s="34">
        <f>'Index Returns'!D18*'SAA with CME'!E$27</f>
        <v/>
      </c>
      <c r="E18" s="34">
        <f>'Index Returns'!E18*'SAA with CME'!F$27</f>
        <v/>
      </c>
      <c r="F18" s="34">
        <f>'Index Returns'!F18*'SAA with CME'!G$27</f>
        <v/>
      </c>
      <c r="G18" s="34">
        <f>'Index Returns'!G18*'SAA with CME'!H$27</f>
        <v/>
      </c>
      <c r="H18" s="35">
        <f>SUM(B18:G18)</f>
        <v/>
      </c>
      <c r="I18" s="49">
        <f>I17*(1+H18)</f>
        <v/>
      </c>
    </row>
    <row r="19">
      <c r="A19" s="48">
        <f>'Index Returns'!A19</f>
        <v/>
      </c>
      <c r="B19" s="34">
        <f>'Index Returns'!B19*'SAA with CME'!C$27</f>
        <v/>
      </c>
      <c r="C19" s="34">
        <f>'Index Returns'!C19*'SAA with CME'!D$27</f>
        <v/>
      </c>
      <c r="D19" s="34">
        <f>'Index Returns'!D19*'SAA with CME'!E$27</f>
        <v/>
      </c>
      <c r="E19" s="34">
        <f>'Index Returns'!E19*'SAA with CME'!F$27</f>
        <v/>
      </c>
      <c r="F19" s="34">
        <f>'Index Returns'!F19*'SAA with CME'!G$27</f>
        <v/>
      </c>
      <c r="G19" s="34">
        <f>'Index Returns'!G19*'SAA with CME'!H$27</f>
        <v/>
      </c>
      <c r="H19" s="35">
        <f>SUM(B19:G19)</f>
        <v/>
      </c>
      <c r="I19" s="49">
        <f>I18*(1+H19)</f>
        <v/>
      </c>
    </row>
    <row r="20">
      <c r="A20" s="48">
        <f>'Index Returns'!A20</f>
        <v/>
      </c>
      <c r="B20" s="34">
        <f>'Index Returns'!B20*'SAA with CME'!C$27</f>
        <v/>
      </c>
      <c r="C20" s="34">
        <f>'Index Returns'!C20*'SAA with CME'!D$27</f>
        <v/>
      </c>
      <c r="D20" s="34">
        <f>'Index Returns'!D20*'SAA with CME'!E$27</f>
        <v/>
      </c>
      <c r="E20" s="34">
        <f>'Index Returns'!E20*'SAA with CME'!F$27</f>
        <v/>
      </c>
      <c r="F20" s="34">
        <f>'Index Returns'!F20*'SAA with CME'!G$27</f>
        <v/>
      </c>
      <c r="G20" s="34">
        <f>'Index Returns'!G20*'SAA with CME'!H$27</f>
        <v/>
      </c>
      <c r="H20" s="35">
        <f>SUM(B20:G20)</f>
        <v/>
      </c>
      <c r="I20" s="49">
        <f>I19*(1+H20)</f>
        <v/>
      </c>
    </row>
    <row r="21">
      <c r="A21" s="48">
        <f>'Index Returns'!A21</f>
        <v/>
      </c>
      <c r="B21" s="34">
        <f>'Index Returns'!B21*'SAA with CME'!C$27</f>
        <v/>
      </c>
      <c r="C21" s="34">
        <f>'Index Returns'!C21*'SAA with CME'!D$27</f>
        <v/>
      </c>
      <c r="D21" s="34">
        <f>'Index Returns'!D21*'SAA with CME'!E$27</f>
        <v/>
      </c>
      <c r="E21" s="34">
        <f>'Index Returns'!E21*'SAA with CME'!F$27</f>
        <v/>
      </c>
      <c r="F21" s="34">
        <f>'Index Returns'!F21*'SAA with CME'!G$27</f>
        <v/>
      </c>
      <c r="G21" s="34">
        <f>'Index Returns'!G21*'SAA with CME'!H$27</f>
        <v/>
      </c>
      <c r="H21" s="35">
        <f>SUM(B21:G21)</f>
        <v/>
      </c>
      <c r="I21" s="49">
        <f>I20*(1+H21)</f>
        <v/>
      </c>
    </row>
    <row r="22">
      <c r="A22" s="48">
        <f>'Index Returns'!A22</f>
        <v/>
      </c>
      <c r="B22" s="34">
        <f>'Index Returns'!B22*'SAA with CME'!C$27</f>
        <v/>
      </c>
      <c r="C22" s="34">
        <f>'Index Returns'!C22*'SAA with CME'!D$27</f>
        <v/>
      </c>
      <c r="D22" s="34">
        <f>'Index Returns'!D22*'SAA with CME'!E$27</f>
        <v/>
      </c>
      <c r="E22" s="34">
        <f>'Index Returns'!E22*'SAA with CME'!F$27</f>
        <v/>
      </c>
      <c r="F22" s="34">
        <f>'Index Returns'!F22*'SAA with CME'!G$27</f>
        <v/>
      </c>
      <c r="G22" s="34">
        <f>'Index Returns'!G22*'SAA with CME'!H$27</f>
        <v/>
      </c>
      <c r="H22" s="35">
        <f>SUM(B22:G22)</f>
        <v/>
      </c>
      <c r="I22" s="49">
        <f>I21*(1+H22)</f>
        <v/>
      </c>
    </row>
    <row r="23">
      <c r="A23" s="48">
        <f>'Index Returns'!A23</f>
        <v/>
      </c>
      <c r="B23" s="34">
        <f>'Index Returns'!B23*'SAA with CME'!C$27</f>
        <v/>
      </c>
      <c r="C23" s="34">
        <f>'Index Returns'!C23*'SAA with CME'!D$27</f>
        <v/>
      </c>
      <c r="D23" s="34">
        <f>'Index Returns'!D23*'SAA with CME'!E$27</f>
        <v/>
      </c>
      <c r="E23" s="34">
        <f>'Index Returns'!E23*'SAA with CME'!F$27</f>
        <v/>
      </c>
      <c r="F23" s="34">
        <f>'Index Returns'!F23*'SAA with CME'!G$27</f>
        <v/>
      </c>
      <c r="G23" s="34">
        <f>'Index Returns'!G23*'SAA with CME'!H$27</f>
        <v/>
      </c>
      <c r="H23" s="35">
        <f>SUM(B23:G23)</f>
        <v/>
      </c>
      <c r="I23" s="49">
        <f>I22*(1+H23)</f>
        <v/>
      </c>
    </row>
    <row r="24">
      <c r="A24" s="48">
        <f>'Index Returns'!A24</f>
        <v/>
      </c>
      <c r="B24" s="34">
        <f>'Index Returns'!B24*'SAA with CME'!C$27</f>
        <v/>
      </c>
      <c r="C24" s="34">
        <f>'Index Returns'!C24*'SAA with CME'!D$27</f>
        <v/>
      </c>
      <c r="D24" s="34">
        <f>'Index Returns'!D24*'SAA with CME'!E$27</f>
        <v/>
      </c>
      <c r="E24" s="34">
        <f>'Index Returns'!E24*'SAA with CME'!F$27</f>
        <v/>
      </c>
      <c r="F24" s="34">
        <f>'Index Returns'!F24*'SAA with CME'!G$27</f>
        <v/>
      </c>
      <c r="G24" s="34">
        <f>'Index Returns'!G24*'SAA with CME'!H$27</f>
        <v/>
      </c>
      <c r="H24" s="35">
        <f>SUM(B24:G24)</f>
        <v/>
      </c>
      <c r="I24" s="49">
        <f>I23*(1+H24)</f>
        <v/>
      </c>
    </row>
    <row r="25">
      <c r="A25" s="48">
        <f>'Index Returns'!A25</f>
        <v/>
      </c>
      <c r="B25" s="34">
        <f>'Index Returns'!B25*'SAA with CME'!C$27</f>
        <v/>
      </c>
      <c r="C25" s="34">
        <f>'Index Returns'!C25*'SAA with CME'!D$27</f>
        <v/>
      </c>
      <c r="D25" s="34">
        <f>'Index Returns'!D25*'SAA with CME'!E$27</f>
        <v/>
      </c>
      <c r="E25" s="34">
        <f>'Index Returns'!E25*'SAA with CME'!F$27</f>
        <v/>
      </c>
      <c r="F25" s="34">
        <f>'Index Returns'!F25*'SAA with CME'!G$27</f>
        <v/>
      </c>
      <c r="G25" s="34">
        <f>'Index Returns'!G25*'SAA with CME'!H$27</f>
        <v/>
      </c>
      <c r="H25" s="35">
        <f>SUM(B25:G25)</f>
        <v/>
      </c>
      <c r="I25" s="49">
        <f>I24*(1+H25)</f>
        <v/>
      </c>
    </row>
    <row r="26">
      <c r="A26" s="48">
        <f>'Index Returns'!A26</f>
        <v/>
      </c>
      <c r="B26" s="34">
        <f>'Index Returns'!B26*'SAA with CME'!C$27</f>
        <v/>
      </c>
      <c r="C26" s="34">
        <f>'Index Returns'!C26*'SAA with CME'!D$27</f>
        <v/>
      </c>
      <c r="D26" s="34">
        <f>'Index Returns'!D26*'SAA with CME'!E$27</f>
        <v/>
      </c>
      <c r="E26" s="34">
        <f>'Index Returns'!E26*'SAA with CME'!F$27</f>
        <v/>
      </c>
      <c r="F26" s="34">
        <f>'Index Returns'!F26*'SAA with CME'!G$27</f>
        <v/>
      </c>
      <c r="G26" s="34">
        <f>'Index Returns'!G26*'SAA with CME'!H$27</f>
        <v/>
      </c>
      <c r="H26" s="35">
        <f>SUM(B26:G26)</f>
        <v/>
      </c>
      <c r="I26" s="49">
        <f>I25*(1+H26)</f>
        <v/>
      </c>
    </row>
    <row r="27">
      <c r="A27" s="48">
        <f>'Index Returns'!A27</f>
        <v/>
      </c>
      <c r="B27" s="34">
        <f>'Index Returns'!B27*'SAA with CME'!C$27</f>
        <v/>
      </c>
      <c r="C27" s="34">
        <f>'Index Returns'!C27*'SAA with CME'!D$27</f>
        <v/>
      </c>
      <c r="D27" s="34">
        <f>'Index Returns'!D27*'SAA with CME'!E$27</f>
        <v/>
      </c>
      <c r="E27" s="34">
        <f>'Index Returns'!E27*'SAA with CME'!F$27</f>
        <v/>
      </c>
      <c r="F27" s="34">
        <f>'Index Returns'!F27*'SAA with CME'!G$27</f>
        <v/>
      </c>
      <c r="G27" s="34">
        <f>'Index Returns'!G27*'SAA with CME'!H$27</f>
        <v/>
      </c>
      <c r="H27" s="35">
        <f>SUM(B27:G27)</f>
        <v/>
      </c>
      <c r="I27" s="49">
        <f>I26*(1+H27)</f>
        <v/>
      </c>
    </row>
    <row r="28">
      <c r="A28" s="48">
        <f>'Index Returns'!A28</f>
        <v/>
      </c>
      <c r="B28" s="34">
        <f>'Index Returns'!B28*'SAA with CME'!C$27</f>
        <v/>
      </c>
      <c r="C28" s="34">
        <f>'Index Returns'!C28*'SAA with CME'!D$27</f>
        <v/>
      </c>
      <c r="D28" s="34">
        <f>'Index Returns'!D28*'SAA with CME'!E$27</f>
        <v/>
      </c>
      <c r="E28" s="34">
        <f>'Index Returns'!E28*'SAA with CME'!F$27</f>
        <v/>
      </c>
      <c r="F28" s="34">
        <f>'Index Returns'!F28*'SAA with CME'!G$27</f>
        <v/>
      </c>
      <c r="G28" s="34">
        <f>'Index Returns'!G28*'SAA with CME'!H$27</f>
        <v/>
      </c>
      <c r="H28" s="35">
        <f>SUM(B28:G28)</f>
        <v/>
      </c>
      <c r="I28" s="49">
        <f>I27*(1+H28)</f>
        <v/>
      </c>
    </row>
    <row r="29">
      <c r="A29" s="48">
        <f>'Index Returns'!A29</f>
        <v/>
      </c>
      <c r="B29" s="34">
        <f>'Index Returns'!B29*'SAA with CME'!C$27</f>
        <v/>
      </c>
      <c r="C29" s="34">
        <f>'Index Returns'!C29*'SAA with CME'!D$27</f>
        <v/>
      </c>
      <c r="D29" s="34">
        <f>'Index Returns'!D29*'SAA with CME'!E$27</f>
        <v/>
      </c>
      <c r="E29" s="34">
        <f>'Index Returns'!E29*'SAA with CME'!F$27</f>
        <v/>
      </c>
      <c r="F29" s="34">
        <f>'Index Returns'!F29*'SAA with CME'!G$27</f>
        <v/>
      </c>
      <c r="G29" s="34">
        <f>'Index Returns'!G29*'SAA with CME'!H$27</f>
        <v/>
      </c>
      <c r="H29" s="35">
        <f>SUM(B29:G29)</f>
        <v/>
      </c>
      <c r="I29" s="49">
        <f>I28*(1+H29)</f>
        <v/>
      </c>
    </row>
    <row r="30">
      <c r="A30" s="48">
        <f>'Index Returns'!A30</f>
        <v/>
      </c>
      <c r="B30" s="34">
        <f>'Index Returns'!B30*'SAA with CME'!C$27</f>
        <v/>
      </c>
      <c r="C30" s="34">
        <f>'Index Returns'!C30*'SAA with CME'!D$27</f>
        <v/>
      </c>
      <c r="D30" s="34">
        <f>'Index Returns'!D30*'SAA with CME'!E$27</f>
        <v/>
      </c>
      <c r="E30" s="34">
        <f>'Index Returns'!E30*'SAA with CME'!F$27</f>
        <v/>
      </c>
      <c r="F30" s="34">
        <f>'Index Returns'!F30*'SAA with CME'!G$27</f>
        <v/>
      </c>
      <c r="G30" s="34">
        <f>'Index Returns'!G30*'SAA with CME'!H$27</f>
        <v/>
      </c>
      <c r="H30" s="35">
        <f>SUM(B30:G30)</f>
        <v/>
      </c>
      <c r="I30" s="49">
        <f>I29*(1+H30)</f>
        <v/>
      </c>
    </row>
    <row r="31">
      <c r="A31" s="48">
        <f>'Index Returns'!A31</f>
        <v/>
      </c>
      <c r="B31" s="34">
        <f>'Index Returns'!B31*'SAA with CME'!C$27</f>
        <v/>
      </c>
      <c r="C31" s="34">
        <f>'Index Returns'!C31*'SAA with CME'!D$27</f>
        <v/>
      </c>
      <c r="D31" s="34">
        <f>'Index Returns'!D31*'SAA with CME'!E$27</f>
        <v/>
      </c>
      <c r="E31" s="34">
        <f>'Index Returns'!E31*'SAA with CME'!F$27</f>
        <v/>
      </c>
      <c r="F31" s="34">
        <f>'Index Returns'!F31*'SAA with CME'!G$27</f>
        <v/>
      </c>
      <c r="G31" s="34">
        <f>'Index Returns'!G31*'SAA with CME'!H$27</f>
        <v/>
      </c>
      <c r="H31" s="35">
        <f>SUM(B31:G31)</f>
        <v/>
      </c>
      <c r="I31" s="49">
        <f>I30*(1+H31)</f>
        <v/>
      </c>
    </row>
    <row r="32">
      <c r="A32" s="48">
        <f>'Index Returns'!A32</f>
        <v/>
      </c>
      <c r="B32" s="34">
        <f>'Index Returns'!B32*'SAA with CME'!C$27</f>
        <v/>
      </c>
      <c r="C32" s="34">
        <f>'Index Returns'!C32*'SAA with CME'!D$27</f>
        <v/>
      </c>
      <c r="D32" s="34">
        <f>'Index Returns'!D32*'SAA with CME'!E$27</f>
        <v/>
      </c>
      <c r="E32" s="34">
        <f>'Index Returns'!E32*'SAA with CME'!F$27</f>
        <v/>
      </c>
      <c r="F32" s="34">
        <f>'Index Returns'!F32*'SAA with CME'!G$27</f>
        <v/>
      </c>
      <c r="G32" s="34">
        <f>'Index Returns'!G32*'SAA with CME'!H$27</f>
        <v/>
      </c>
      <c r="H32" s="35">
        <f>SUM(B32:G32)</f>
        <v/>
      </c>
      <c r="I32" s="49">
        <f>I31*(1+H32)</f>
        <v/>
      </c>
    </row>
    <row r="33">
      <c r="A33" s="48">
        <f>'Index Returns'!A33</f>
        <v/>
      </c>
      <c r="B33" s="34">
        <f>'Index Returns'!B33*'SAA with CME'!C$27</f>
        <v/>
      </c>
      <c r="C33" s="34">
        <f>'Index Returns'!C33*'SAA with CME'!D$27</f>
        <v/>
      </c>
      <c r="D33" s="34">
        <f>'Index Returns'!D33*'SAA with CME'!E$27</f>
        <v/>
      </c>
      <c r="E33" s="34">
        <f>'Index Returns'!E33*'SAA with CME'!F$27</f>
        <v/>
      </c>
      <c r="F33" s="34">
        <f>'Index Returns'!F33*'SAA with CME'!G$27</f>
        <v/>
      </c>
      <c r="G33" s="34">
        <f>'Index Returns'!G33*'SAA with CME'!H$27</f>
        <v/>
      </c>
      <c r="H33" s="35">
        <f>SUM(B33:G33)</f>
        <v/>
      </c>
      <c r="I33" s="49">
        <f>I32*(1+H33)</f>
        <v/>
      </c>
    </row>
    <row r="34">
      <c r="A34" s="48">
        <f>'Index Returns'!A34</f>
        <v/>
      </c>
      <c r="B34" s="34">
        <f>'Index Returns'!B34*'SAA with CME'!C$27</f>
        <v/>
      </c>
      <c r="C34" s="34">
        <f>'Index Returns'!C34*'SAA with CME'!D$27</f>
        <v/>
      </c>
      <c r="D34" s="34">
        <f>'Index Returns'!D34*'SAA with CME'!E$27</f>
        <v/>
      </c>
      <c r="E34" s="34">
        <f>'Index Returns'!E34*'SAA with CME'!F$27</f>
        <v/>
      </c>
      <c r="F34" s="34">
        <f>'Index Returns'!F34*'SAA with CME'!G$27</f>
        <v/>
      </c>
      <c r="G34" s="34">
        <f>'Index Returns'!G34*'SAA with CME'!H$27</f>
        <v/>
      </c>
      <c r="H34" s="35">
        <f>SUM(B34:G34)</f>
        <v/>
      </c>
      <c r="I34" s="49">
        <f>I33*(1+H34)</f>
        <v/>
      </c>
    </row>
    <row r="35">
      <c r="A35" s="48">
        <f>'Index Returns'!A35</f>
        <v/>
      </c>
      <c r="B35" s="34">
        <f>'Index Returns'!B35*'SAA with CME'!C$27</f>
        <v/>
      </c>
      <c r="C35" s="34">
        <f>'Index Returns'!C35*'SAA with CME'!D$27</f>
        <v/>
      </c>
      <c r="D35" s="34">
        <f>'Index Returns'!D35*'SAA with CME'!E$27</f>
        <v/>
      </c>
      <c r="E35" s="34">
        <f>'Index Returns'!E35*'SAA with CME'!F$27</f>
        <v/>
      </c>
      <c r="F35" s="34">
        <f>'Index Returns'!F35*'SAA with CME'!G$27</f>
        <v/>
      </c>
      <c r="G35" s="34">
        <f>'Index Returns'!G35*'SAA with CME'!H$27</f>
        <v/>
      </c>
      <c r="H35" s="35">
        <f>SUM(B35:G35)</f>
        <v/>
      </c>
      <c r="I35" s="49">
        <f>I34*(1+H35)</f>
        <v/>
      </c>
    </row>
    <row r="36">
      <c r="A36" s="48">
        <f>'Index Returns'!A36</f>
        <v/>
      </c>
      <c r="B36" s="34">
        <f>'Index Returns'!B36*'SAA with CME'!C$27</f>
        <v/>
      </c>
      <c r="C36" s="34">
        <f>'Index Returns'!C36*'SAA with CME'!D$27</f>
        <v/>
      </c>
      <c r="D36" s="34">
        <f>'Index Returns'!D36*'SAA with CME'!E$27</f>
        <v/>
      </c>
      <c r="E36" s="34">
        <f>'Index Returns'!E36*'SAA with CME'!F$27</f>
        <v/>
      </c>
      <c r="F36" s="34">
        <f>'Index Returns'!F36*'SAA with CME'!G$27</f>
        <v/>
      </c>
      <c r="G36" s="34">
        <f>'Index Returns'!G36*'SAA with CME'!H$27</f>
        <v/>
      </c>
      <c r="H36" s="35">
        <f>SUM(B36:G36)</f>
        <v/>
      </c>
      <c r="I36" s="49">
        <f>I35*(1+H36)</f>
        <v/>
      </c>
    </row>
    <row r="37">
      <c r="A37" s="48">
        <f>'Index Returns'!A37</f>
        <v/>
      </c>
      <c r="B37" s="34">
        <f>'Index Returns'!B37*'SAA with CME'!C$27</f>
        <v/>
      </c>
      <c r="C37" s="34">
        <f>'Index Returns'!C37*'SAA with CME'!D$27</f>
        <v/>
      </c>
      <c r="D37" s="34">
        <f>'Index Returns'!D37*'SAA with CME'!E$27</f>
        <v/>
      </c>
      <c r="E37" s="34">
        <f>'Index Returns'!E37*'SAA with CME'!F$27</f>
        <v/>
      </c>
      <c r="F37" s="34">
        <f>'Index Returns'!F37*'SAA with CME'!G$27</f>
        <v/>
      </c>
      <c r="G37" s="34">
        <f>'Index Returns'!G37*'SAA with CME'!H$27</f>
        <v/>
      </c>
      <c r="H37" s="35">
        <f>SUM(B37:G37)</f>
        <v/>
      </c>
      <c r="I37" s="49">
        <f>I36*(1+H37)</f>
        <v/>
      </c>
    </row>
    <row r="38">
      <c r="A38" s="48">
        <f>'Index Returns'!A38</f>
        <v/>
      </c>
      <c r="B38" s="34">
        <f>'Index Returns'!B38*'SAA with CME'!C$27</f>
        <v/>
      </c>
      <c r="C38" s="34">
        <f>'Index Returns'!C38*'SAA with CME'!D$27</f>
        <v/>
      </c>
      <c r="D38" s="34">
        <f>'Index Returns'!D38*'SAA with CME'!E$27</f>
        <v/>
      </c>
      <c r="E38" s="34">
        <f>'Index Returns'!E38*'SAA with CME'!F$27</f>
        <v/>
      </c>
      <c r="F38" s="34">
        <f>'Index Returns'!F38*'SAA with CME'!G$27</f>
        <v/>
      </c>
      <c r="G38" s="34">
        <f>'Index Returns'!G38*'SAA with CME'!H$27</f>
        <v/>
      </c>
      <c r="H38" s="35">
        <f>SUM(B38:G38)</f>
        <v/>
      </c>
      <c r="I38" s="49">
        <f>I37*(1+H38)</f>
        <v/>
      </c>
    </row>
    <row r="39">
      <c r="A39" s="48">
        <f>'Index Returns'!A39</f>
        <v/>
      </c>
      <c r="B39" s="34">
        <f>'Index Returns'!B39*'SAA with CME'!C$27</f>
        <v/>
      </c>
      <c r="C39" s="34">
        <f>'Index Returns'!C39*'SAA with CME'!D$27</f>
        <v/>
      </c>
      <c r="D39" s="34">
        <f>'Index Returns'!D39*'SAA with CME'!E$27</f>
        <v/>
      </c>
      <c r="E39" s="34">
        <f>'Index Returns'!E39*'SAA with CME'!F$27</f>
        <v/>
      </c>
      <c r="F39" s="34">
        <f>'Index Returns'!F39*'SAA with CME'!G$27</f>
        <v/>
      </c>
      <c r="G39" s="34">
        <f>'Index Returns'!G39*'SAA with CME'!H$27</f>
        <v/>
      </c>
      <c r="H39" s="35">
        <f>SUM(B39:G39)</f>
        <v/>
      </c>
      <c r="I39" s="49">
        <f>I38*(1+H39)</f>
        <v/>
      </c>
    </row>
    <row r="40">
      <c r="A40" s="48">
        <f>'Index Returns'!A40</f>
        <v/>
      </c>
      <c r="B40" s="34">
        <f>'Index Returns'!B40*'SAA with CME'!C$27</f>
        <v/>
      </c>
      <c r="C40" s="34">
        <f>'Index Returns'!C40*'SAA with CME'!D$27</f>
        <v/>
      </c>
      <c r="D40" s="34">
        <f>'Index Returns'!D40*'SAA with CME'!E$27</f>
        <v/>
      </c>
      <c r="E40" s="34">
        <f>'Index Returns'!E40*'SAA with CME'!F$27</f>
        <v/>
      </c>
      <c r="F40" s="34">
        <f>'Index Returns'!F40*'SAA with CME'!G$27</f>
        <v/>
      </c>
      <c r="G40" s="34">
        <f>'Index Returns'!G40*'SAA with CME'!H$27</f>
        <v/>
      </c>
      <c r="H40" s="35">
        <f>SUM(B40:G40)</f>
        <v/>
      </c>
      <c r="I40" s="49">
        <f>I39*(1+H40)</f>
        <v/>
      </c>
    </row>
    <row r="41">
      <c r="A41" s="48">
        <f>'Index Returns'!A41</f>
        <v/>
      </c>
      <c r="B41" s="34">
        <f>'Index Returns'!B41*'SAA with CME'!C$27</f>
        <v/>
      </c>
      <c r="C41" s="34">
        <f>'Index Returns'!C41*'SAA with CME'!D$27</f>
        <v/>
      </c>
      <c r="D41" s="34">
        <f>'Index Returns'!D41*'SAA with CME'!E$27</f>
        <v/>
      </c>
      <c r="E41" s="34">
        <f>'Index Returns'!E41*'SAA with CME'!F$27</f>
        <v/>
      </c>
      <c r="F41" s="34">
        <f>'Index Returns'!F41*'SAA with CME'!G$27</f>
        <v/>
      </c>
      <c r="G41" s="34">
        <f>'Index Returns'!G41*'SAA with CME'!H$27</f>
        <v/>
      </c>
      <c r="H41" s="35">
        <f>SUM(B41:G41)</f>
        <v/>
      </c>
      <c r="I41" s="49">
        <f>I40*(1+H41)</f>
        <v/>
      </c>
    </row>
    <row r="42">
      <c r="A42" s="48">
        <f>'Index Returns'!A42</f>
        <v/>
      </c>
      <c r="B42" s="34">
        <f>'Index Returns'!B42*'SAA with CME'!C$27</f>
        <v/>
      </c>
      <c r="C42" s="34">
        <f>'Index Returns'!C42*'SAA with CME'!D$27</f>
        <v/>
      </c>
      <c r="D42" s="34">
        <f>'Index Returns'!D42*'SAA with CME'!E$27</f>
        <v/>
      </c>
      <c r="E42" s="34">
        <f>'Index Returns'!E42*'SAA with CME'!F$27</f>
        <v/>
      </c>
      <c r="F42" s="34">
        <f>'Index Returns'!F42*'SAA with CME'!G$27</f>
        <v/>
      </c>
      <c r="G42" s="34">
        <f>'Index Returns'!G42*'SAA with CME'!H$27</f>
        <v/>
      </c>
      <c r="H42" s="35">
        <f>SUM(B42:G42)</f>
        <v/>
      </c>
      <c r="I42" s="49">
        <f>I41*(1+H42)</f>
        <v/>
      </c>
    </row>
    <row r="43">
      <c r="A43" s="48">
        <f>'Index Returns'!A43</f>
        <v/>
      </c>
      <c r="B43" s="34">
        <f>'Index Returns'!B43*'SAA with CME'!C$27</f>
        <v/>
      </c>
      <c r="C43" s="34">
        <f>'Index Returns'!C43*'SAA with CME'!D$27</f>
        <v/>
      </c>
      <c r="D43" s="34">
        <f>'Index Returns'!D43*'SAA with CME'!E$27</f>
        <v/>
      </c>
      <c r="E43" s="34">
        <f>'Index Returns'!E43*'SAA with CME'!F$27</f>
        <v/>
      </c>
      <c r="F43" s="34">
        <f>'Index Returns'!F43*'SAA with CME'!G$27</f>
        <v/>
      </c>
      <c r="G43" s="34">
        <f>'Index Returns'!G43*'SAA with CME'!H$27</f>
        <v/>
      </c>
      <c r="H43" s="35">
        <f>SUM(B43:G43)</f>
        <v/>
      </c>
      <c r="I43" s="49">
        <f>I42*(1+H43)</f>
        <v/>
      </c>
    </row>
    <row r="44">
      <c r="A44" s="48">
        <f>'Index Returns'!A44</f>
        <v/>
      </c>
      <c r="B44" s="34">
        <f>'Index Returns'!B44*'SAA with CME'!C$27</f>
        <v/>
      </c>
      <c r="C44" s="34">
        <f>'Index Returns'!C44*'SAA with CME'!D$27</f>
        <v/>
      </c>
      <c r="D44" s="34">
        <f>'Index Returns'!D44*'SAA with CME'!E$27</f>
        <v/>
      </c>
      <c r="E44" s="34">
        <f>'Index Returns'!E44*'SAA with CME'!F$27</f>
        <v/>
      </c>
      <c r="F44" s="34">
        <f>'Index Returns'!F44*'SAA with CME'!G$27</f>
        <v/>
      </c>
      <c r="G44" s="34">
        <f>'Index Returns'!G44*'SAA with CME'!H$27</f>
        <v/>
      </c>
      <c r="H44" s="35">
        <f>SUM(B44:G44)</f>
        <v/>
      </c>
      <c r="I44" s="49">
        <f>I43*(1+H44)</f>
        <v/>
      </c>
    </row>
    <row r="45">
      <c r="A45" s="48">
        <f>'Index Returns'!A45</f>
        <v/>
      </c>
      <c r="B45" s="34">
        <f>'Index Returns'!B45*'SAA with CME'!C$27</f>
        <v/>
      </c>
      <c r="C45" s="34">
        <f>'Index Returns'!C45*'SAA with CME'!D$27</f>
        <v/>
      </c>
      <c r="D45" s="34">
        <f>'Index Returns'!D45*'SAA with CME'!E$27</f>
        <v/>
      </c>
      <c r="E45" s="34">
        <f>'Index Returns'!E45*'SAA with CME'!F$27</f>
        <v/>
      </c>
      <c r="F45" s="34">
        <f>'Index Returns'!F45*'SAA with CME'!G$27</f>
        <v/>
      </c>
      <c r="G45" s="34">
        <f>'Index Returns'!G45*'SAA with CME'!H$27</f>
        <v/>
      </c>
      <c r="H45" s="35">
        <f>SUM(B45:G45)</f>
        <v/>
      </c>
      <c r="I45" s="49">
        <f>I44*(1+H45)</f>
        <v/>
      </c>
    </row>
    <row r="46">
      <c r="A46" s="48">
        <f>'Index Returns'!A46</f>
        <v/>
      </c>
      <c r="B46" s="34">
        <f>'Index Returns'!B46*'SAA with CME'!C$27</f>
        <v/>
      </c>
      <c r="C46" s="34">
        <f>'Index Returns'!C46*'SAA with CME'!D$27</f>
        <v/>
      </c>
      <c r="D46" s="34">
        <f>'Index Returns'!D46*'SAA with CME'!E$27</f>
        <v/>
      </c>
      <c r="E46" s="34">
        <f>'Index Returns'!E46*'SAA with CME'!F$27</f>
        <v/>
      </c>
      <c r="F46" s="34">
        <f>'Index Returns'!F46*'SAA with CME'!G$27</f>
        <v/>
      </c>
      <c r="G46" s="34">
        <f>'Index Returns'!G46*'SAA with CME'!H$27</f>
        <v/>
      </c>
      <c r="H46" s="35">
        <f>SUM(B46:G46)</f>
        <v/>
      </c>
      <c r="I46" s="49">
        <f>I45*(1+H46)</f>
        <v/>
      </c>
    </row>
    <row r="47">
      <c r="A47" s="48">
        <f>'Index Returns'!A47</f>
        <v/>
      </c>
      <c r="B47" s="34">
        <f>'Index Returns'!B47*'SAA with CME'!C$27</f>
        <v/>
      </c>
      <c r="C47" s="34">
        <f>'Index Returns'!C47*'SAA with CME'!D$27</f>
        <v/>
      </c>
      <c r="D47" s="34">
        <f>'Index Returns'!D47*'SAA with CME'!E$27</f>
        <v/>
      </c>
      <c r="E47" s="34">
        <f>'Index Returns'!E47*'SAA with CME'!F$27</f>
        <v/>
      </c>
      <c r="F47" s="34">
        <f>'Index Returns'!F47*'SAA with CME'!G$27</f>
        <v/>
      </c>
      <c r="G47" s="34">
        <f>'Index Returns'!G47*'SAA with CME'!H$27</f>
        <v/>
      </c>
      <c r="H47" s="35">
        <f>SUM(B47:G47)</f>
        <v/>
      </c>
      <c r="I47" s="49">
        <f>I46*(1+H47)</f>
        <v/>
      </c>
    </row>
    <row r="48">
      <c r="A48" s="48">
        <f>'Index Returns'!A48</f>
        <v/>
      </c>
      <c r="B48" s="34">
        <f>'Index Returns'!B48*'SAA with CME'!C$27</f>
        <v/>
      </c>
      <c r="C48" s="34">
        <f>'Index Returns'!C48*'SAA with CME'!D$27</f>
        <v/>
      </c>
      <c r="D48" s="34">
        <f>'Index Returns'!D48*'SAA with CME'!E$27</f>
        <v/>
      </c>
      <c r="E48" s="34">
        <f>'Index Returns'!E48*'SAA with CME'!F$27</f>
        <v/>
      </c>
      <c r="F48" s="34">
        <f>'Index Returns'!F48*'SAA with CME'!G$27</f>
        <v/>
      </c>
      <c r="G48" s="34">
        <f>'Index Returns'!G48*'SAA with CME'!H$27</f>
        <v/>
      </c>
      <c r="H48" s="35">
        <f>SUM(B48:G48)</f>
        <v/>
      </c>
      <c r="I48" s="49">
        <f>I47*(1+H48)</f>
        <v/>
      </c>
    </row>
    <row r="49">
      <c r="A49" s="48">
        <f>'Index Returns'!A49</f>
        <v/>
      </c>
      <c r="B49" s="34">
        <f>'Index Returns'!B49*'SAA with CME'!C$27</f>
        <v/>
      </c>
      <c r="C49" s="34">
        <f>'Index Returns'!C49*'SAA with CME'!D$27</f>
        <v/>
      </c>
      <c r="D49" s="34">
        <f>'Index Returns'!D49*'SAA with CME'!E$27</f>
        <v/>
      </c>
      <c r="E49" s="34">
        <f>'Index Returns'!E49*'SAA with CME'!F$27</f>
        <v/>
      </c>
      <c r="F49" s="34">
        <f>'Index Returns'!F49*'SAA with CME'!G$27</f>
        <v/>
      </c>
      <c r="G49" s="34">
        <f>'Index Returns'!G49*'SAA with CME'!H$27</f>
        <v/>
      </c>
      <c r="H49" s="35">
        <f>SUM(B49:G49)</f>
        <v/>
      </c>
      <c r="I49" s="49">
        <f>I48*(1+H49)</f>
        <v/>
      </c>
    </row>
    <row r="50">
      <c r="A50" s="48">
        <f>'Index Returns'!A50</f>
        <v/>
      </c>
      <c r="B50" s="34">
        <f>'Index Returns'!B50*'SAA with CME'!C$27</f>
        <v/>
      </c>
      <c r="C50" s="34">
        <f>'Index Returns'!C50*'SAA with CME'!D$27</f>
        <v/>
      </c>
      <c r="D50" s="34">
        <f>'Index Returns'!D50*'SAA with CME'!E$27</f>
        <v/>
      </c>
      <c r="E50" s="34">
        <f>'Index Returns'!E50*'SAA with CME'!F$27</f>
        <v/>
      </c>
      <c r="F50" s="34">
        <f>'Index Returns'!F50*'SAA with CME'!G$27</f>
        <v/>
      </c>
      <c r="G50" s="34">
        <f>'Index Returns'!G50*'SAA with CME'!H$27</f>
        <v/>
      </c>
      <c r="H50" s="35">
        <f>SUM(B50:G50)</f>
        <v/>
      </c>
      <c r="I50" s="49">
        <f>I49*(1+H50)</f>
        <v/>
      </c>
    </row>
    <row r="51">
      <c r="A51" s="48">
        <f>'Index Returns'!A51</f>
        <v/>
      </c>
      <c r="B51" s="34">
        <f>'Index Returns'!B51*'SAA with CME'!C$27</f>
        <v/>
      </c>
      <c r="C51" s="34">
        <f>'Index Returns'!C51*'SAA with CME'!D$27</f>
        <v/>
      </c>
      <c r="D51" s="34">
        <f>'Index Returns'!D51*'SAA with CME'!E$27</f>
        <v/>
      </c>
      <c r="E51" s="34">
        <f>'Index Returns'!E51*'SAA with CME'!F$27</f>
        <v/>
      </c>
      <c r="F51" s="34">
        <f>'Index Returns'!F51*'SAA with CME'!G$27</f>
        <v/>
      </c>
      <c r="G51" s="34">
        <f>'Index Returns'!G51*'SAA with CME'!H$27</f>
        <v/>
      </c>
      <c r="H51" s="35">
        <f>SUM(B51:G51)</f>
        <v/>
      </c>
      <c r="I51" s="49">
        <f>I50*(1+H51)</f>
        <v/>
      </c>
    </row>
    <row r="52">
      <c r="A52" s="48">
        <f>'Index Returns'!A52</f>
        <v/>
      </c>
      <c r="B52" s="34">
        <f>'Index Returns'!B52*'SAA with CME'!C$27</f>
        <v/>
      </c>
      <c r="C52" s="34">
        <f>'Index Returns'!C52*'SAA with CME'!D$27</f>
        <v/>
      </c>
      <c r="D52" s="34">
        <f>'Index Returns'!D52*'SAA with CME'!E$27</f>
        <v/>
      </c>
      <c r="E52" s="34">
        <f>'Index Returns'!E52*'SAA with CME'!F$27</f>
        <v/>
      </c>
      <c r="F52" s="34">
        <f>'Index Returns'!F52*'SAA with CME'!G$27</f>
        <v/>
      </c>
      <c r="G52" s="34">
        <f>'Index Returns'!G52*'SAA with CME'!H$27</f>
        <v/>
      </c>
      <c r="H52" s="35">
        <f>SUM(B52:G52)</f>
        <v/>
      </c>
      <c r="I52" s="49">
        <f>I51*(1+H52)</f>
        <v/>
      </c>
    </row>
    <row r="53">
      <c r="A53" s="48">
        <f>'Index Returns'!A53</f>
        <v/>
      </c>
      <c r="B53" s="34">
        <f>'Index Returns'!B53*'SAA with CME'!C$27</f>
        <v/>
      </c>
      <c r="C53" s="34">
        <f>'Index Returns'!C53*'SAA with CME'!D$27</f>
        <v/>
      </c>
      <c r="D53" s="34">
        <f>'Index Returns'!D53*'SAA with CME'!E$27</f>
        <v/>
      </c>
      <c r="E53" s="34">
        <f>'Index Returns'!E53*'SAA with CME'!F$27</f>
        <v/>
      </c>
      <c r="F53" s="34">
        <f>'Index Returns'!F53*'SAA with CME'!G$27</f>
        <v/>
      </c>
      <c r="G53" s="34">
        <f>'Index Returns'!G53*'SAA with CME'!H$27</f>
        <v/>
      </c>
      <c r="H53" s="35">
        <f>SUM(B53:G53)</f>
        <v/>
      </c>
      <c r="I53" s="49">
        <f>I52*(1+H53)</f>
        <v/>
      </c>
    </row>
    <row r="54">
      <c r="A54" s="48">
        <f>'Index Returns'!A54</f>
        <v/>
      </c>
      <c r="B54" s="34">
        <f>'Index Returns'!B54*'SAA with CME'!C$27</f>
        <v/>
      </c>
      <c r="C54" s="34">
        <f>'Index Returns'!C54*'SAA with CME'!D$27</f>
        <v/>
      </c>
      <c r="D54" s="34">
        <f>'Index Returns'!D54*'SAA with CME'!E$27</f>
        <v/>
      </c>
      <c r="E54" s="34">
        <f>'Index Returns'!E54*'SAA with CME'!F$27</f>
        <v/>
      </c>
      <c r="F54" s="34">
        <f>'Index Returns'!F54*'SAA with CME'!G$27</f>
        <v/>
      </c>
      <c r="G54" s="34">
        <f>'Index Returns'!G54*'SAA with CME'!H$27</f>
        <v/>
      </c>
      <c r="H54" s="35">
        <f>SUM(B54:G54)</f>
        <v/>
      </c>
      <c r="I54" s="49">
        <f>I53*(1+H54)</f>
        <v/>
      </c>
    </row>
    <row r="55">
      <c r="A55" s="48">
        <f>'Index Returns'!A55</f>
        <v/>
      </c>
      <c r="B55" s="34">
        <f>'Index Returns'!B55*'SAA with CME'!C$27</f>
        <v/>
      </c>
      <c r="C55" s="34">
        <f>'Index Returns'!C55*'SAA with CME'!D$27</f>
        <v/>
      </c>
      <c r="D55" s="34">
        <f>'Index Returns'!D55*'SAA with CME'!E$27</f>
        <v/>
      </c>
      <c r="E55" s="34">
        <f>'Index Returns'!E55*'SAA with CME'!F$27</f>
        <v/>
      </c>
      <c r="F55" s="34">
        <f>'Index Returns'!F55*'SAA with CME'!G$27</f>
        <v/>
      </c>
      <c r="G55" s="34">
        <f>'Index Returns'!G55*'SAA with CME'!H$27</f>
        <v/>
      </c>
      <c r="H55" s="35">
        <f>SUM(B55:G55)</f>
        <v/>
      </c>
      <c r="I55" s="49">
        <f>I54*(1+H55)</f>
        <v/>
      </c>
    </row>
    <row r="56">
      <c r="A56" s="48">
        <f>'Index Returns'!A56</f>
        <v/>
      </c>
      <c r="B56" s="34">
        <f>'Index Returns'!B56*'SAA with CME'!C$27</f>
        <v/>
      </c>
      <c r="C56" s="34">
        <f>'Index Returns'!C56*'SAA with CME'!D$27</f>
        <v/>
      </c>
      <c r="D56" s="34">
        <f>'Index Returns'!D56*'SAA with CME'!E$27</f>
        <v/>
      </c>
      <c r="E56" s="34">
        <f>'Index Returns'!E56*'SAA with CME'!F$27</f>
        <v/>
      </c>
      <c r="F56" s="34">
        <f>'Index Returns'!F56*'SAA with CME'!G$27</f>
        <v/>
      </c>
      <c r="G56" s="34">
        <f>'Index Returns'!G56*'SAA with CME'!H$27</f>
        <v/>
      </c>
      <c r="H56" s="35">
        <f>SUM(B56:G56)</f>
        <v/>
      </c>
      <c r="I56" s="49">
        <f>I55*(1+H56)</f>
        <v/>
      </c>
    </row>
    <row r="57">
      <c r="A57" s="48">
        <f>'Index Returns'!A57</f>
        <v/>
      </c>
      <c r="B57" s="34">
        <f>'Index Returns'!B57*'SAA with CME'!C$27</f>
        <v/>
      </c>
      <c r="C57" s="34">
        <f>'Index Returns'!C57*'SAA with CME'!D$27</f>
        <v/>
      </c>
      <c r="D57" s="34">
        <f>'Index Returns'!D57*'SAA with CME'!E$27</f>
        <v/>
      </c>
      <c r="E57" s="34">
        <f>'Index Returns'!E57*'SAA with CME'!F$27</f>
        <v/>
      </c>
      <c r="F57" s="34">
        <f>'Index Returns'!F57*'SAA with CME'!G$27</f>
        <v/>
      </c>
      <c r="G57" s="34">
        <f>'Index Returns'!G57*'SAA with CME'!H$27</f>
        <v/>
      </c>
      <c r="H57" s="35">
        <f>SUM(B57:G57)</f>
        <v/>
      </c>
      <c r="I57" s="49">
        <f>I56*(1+H57)</f>
        <v/>
      </c>
    </row>
    <row r="58">
      <c r="A58" s="48">
        <f>'Index Returns'!A58</f>
        <v/>
      </c>
      <c r="B58" s="34">
        <f>'Index Returns'!B58*'SAA with CME'!C$27</f>
        <v/>
      </c>
      <c r="C58" s="34">
        <f>'Index Returns'!C58*'SAA with CME'!D$27</f>
        <v/>
      </c>
      <c r="D58" s="34">
        <f>'Index Returns'!D58*'SAA with CME'!E$27</f>
        <v/>
      </c>
      <c r="E58" s="34">
        <f>'Index Returns'!E58*'SAA with CME'!F$27</f>
        <v/>
      </c>
      <c r="F58" s="34">
        <f>'Index Returns'!F58*'SAA with CME'!G$27</f>
        <v/>
      </c>
      <c r="G58" s="34">
        <f>'Index Returns'!G58*'SAA with CME'!H$27</f>
        <v/>
      </c>
      <c r="H58" s="35">
        <f>SUM(B58:G58)</f>
        <v/>
      </c>
      <c r="I58" s="49">
        <f>I57*(1+H58)</f>
        <v/>
      </c>
    </row>
    <row r="59">
      <c r="A59" s="48">
        <f>'Index Returns'!A59</f>
        <v/>
      </c>
      <c r="B59" s="34">
        <f>'Index Returns'!B59*'SAA with CME'!C$27</f>
        <v/>
      </c>
      <c r="C59" s="34">
        <f>'Index Returns'!C59*'SAA with CME'!D$27</f>
        <v/>
      </c>
      <c r="D59" s="34">
        <f>'Index Returns'!D59*'SAA with CME'!E$27</f>
        <v/>
      </c>
      <c r="E59" s="34">
        <f>'Index Returns'!E59*'SAA with CME'!F$27</f>
        <v/>
      </c>
      <c r="F59" s="34">
        <f>'Index Returns'!F59*'SAA with CME'!G$27</f>
        <v/>
      </c>
      <c r="G59" s="34">
        <f>'Index Returns'!G59*'SAA with CME'!H$27</f>
        <v/>
      </c>
      <c r="H59" s="35">
        <f>SUM(B59:G59)</f>
        <v/>
      </c>
      <c r="I59" s="49">
        <f>I58*(1+H59)</f>
        <v/>
      </c>
    </row>
    <row r="60">
      <c r="A60" s="48">
        <f>'Index Returns'!A60</f>
        <v/>
      </c>
      <c r="B60" s="34">
        <f>'Index Returns'!B60*'SAA with CME'!C$27</f>
        <v/>
      </c>
      <c r="C60" s="34">
        <f>'Index Returns'!C60*'SAA with CME'!D$27</f>
        <v/>
      </c>
      <c r="D60" s="34">
        <f>'Index Returns'!D60*'SAA with CME'!E$27</f>
        <v/>
      </c>
      <c r="E60" s="34">
        <f>'Index Returns'!E60*'SAA with CME'!F$27</f>
        <v/>
      </c>
      <c r="F60" s="34">
        <f>'Index Returns'!F60*'SAA with CME'!G$27</f>
        <v/>
      </c>
      <c r="G60" s="34">
        <f>'Index Returns'!G60*'SAA with CME'!H$27</f>
        <v/>
      </c>
      <c r="H60" s="35">
        <f>SUM(B60:G60)</f>
        <v/>
      </c>
      <c r="I60" s="49">
        <f>I59*(1+H60)</f>
        <v/>
      </c>
    </row>
    <row r="61">
      <c r="A61" s="48">
        <f>'Index Returns'!A61</f>
        <v/>
      </c>
      <c r="B61" s="34">
        <f>'Index Returns'!B61*'SAA with CME'!C$27</f>
        <v/>
      </c>
      <c r="C61" s="34">
        <f>'Index Returns'!C61*'SAA with CME'!D$27</f>
        <v/>
      </c>
      <c r="D61" s="34">
        <f>'Index Returns'!D61*'SAA with CME'!E$27</f>
        <v/>
      </c>
      <c r="E61" s="34">
        <f>'Index Returns'!E61*'SAA with CME'!F$27</f>
        <v/>
      </c>
      <c r="F61" s="34">
        <f>'Index Returns'!F61*'SAA with CME'!G$27</f>
        <v/>
      </c>
      <c r="G61" s="34">
        <f>'Index Returns'!G61*'SAA with CME'!H$27</f>
        <v/>
      </c>
      <c r="H61" s="35">
        <f>SUM(B61:G61)</f>
        <v/>
      </c>
      <c r="I61" s="49">
        <f>I60*(1+H61)</f>
        <v/>
      </c>
    </row>
    <row r="62">
      <c r="A62" s="48">
        <f>'Index Returns'!A62</f>
        <v/>
      </c>
      <c r="B62" s="34">
        <f>'Index Returns'!B62*'SAA with CME'!C$27</f>
        <v/>
      </c>
      <c r="C62" s="34">
        <f>'Index Returns'!C62*'SAA with CME'!D$27</f>
        <v/>
      </c>
      <c r="D62" s="34">
        <f>'Index Returns'!D62*'SAA with CME'!E$27</f>
        <v/>
      </c>
      <c r="E62" s="34">
        <f>'Index Returns'!E62*'SAA with CME'!F$27</f>
        <v/>
      </c>
      <c r="F62" s="34">
        <f>'Index Returns'!F62*'SAA with CME'!G$27</f>
        <v/>
      </c>
      <c r="G62" s="34">
        <f>'Index Returns'!G62*'SAA with CME'!H$27</f>
        <v/>
      </c>
      <c r="H62" s="35">
        <f>SUM(B62:G62)</f>
        <v/>
      </c>
      <c r="I62" s="49">
        <f>I61*(1+H62)</f>
        <v/>
      </c>
    </row>
    <row r="63">
      <c r="A63" s="48">
        <f>'Index Returns'!A63</f>
        <v/>
      </c>
      <c r="B63" s="34">
        <f>'Index Returns'!B63*'SAA with CME'!C$27</f>
        <v/>
      </c>
      <c r="C63" s="34">
        <f>'Index Returns'!C63*'SAA with CME'!D$27</f>
        <v/>
      </c>
      <c r="D63" s="34">
        <f>'Index Returns'!D63*'SAA with CME'!E$27</f>
        <v/>
      </c>
      <c r="E63" s="34">
        <f>'Index Returns'!E63*'SAA with CME'!F$27</f>
        <v/>
      </c>
      <c r="F63" s="34">
        <f>'Index Returns'!F63*'SAA with CME'!G$27</f>
        <v/>
      </c>
      <c r="G63" s="34">
        <f>'Index Returns'!G63*'SAA with CME'!H$27</f>
        <v/>
      </c>
      <c r="H63" s="35">
        <f>SUM(B63:G63)</f>
        <v/>
      </c>
      <c r="I63" s="49">
        <f>I62*(1+H63)</f>
        <v/>
      </c>
    </row>
    <row r="64">
      <c r="A64" s="48">
        <f>'Index Returns'!A64</f>
        <v/>
      </c>
      <c r="B64" s="34">
        <f>'Index Returns'!B64*'SAA with CME'!C$27</f>
        <v/>
      </c>
      <c r="C64" s="34">
        <f>'Index Returns'!C64*'SAA with CME'!D$27</f>
        <v/>
      </c>
      <c r="D64" s="34">
        <f>'Index Returns'!D64*'SAA with CME'!E$27</f>
        <v/>
      </c>
      <c r="E64" s="34">
        <f>'Index Returns'!E64*'SAA with CME'!F$27</f>
        <v/>
      </c>
      <c r="F64" s="34">
        <f>'Index Returns'!F64*'SAA with CME'!G$27</f>
        <v/>
      </c>
      <c r="G64" s="34">
        <f>'Index Returns'!G64*'SAA with CME'!H$27</f>
        <v/>
      </c>
      <c r="H64" s="35">
        <f>SUM(B64:G64)</f>
        <v/>
      </c>
      <c r="I64" s="49">
        <f>I63*(1+H64)</f>
        <v/>
      </c>
    </row>
    <row r="65">
      <c r="A65" s="48">
        <f>'Index Returns'!A65</f>
        <v/>
      </c>
      <c r="B65" s="34">
        <f>'Index Returns'!B65*'SAA with CME'!C$27</f>
        <v/>
      </c>
      <c r="C65" s="34">
        <f>'Index Returns'!C65*'SAA with CME'!D$27</f>
        <v/>
      </c>
      <c r="D65" s="34">
        <f>'Index Returns'!D65*'SAA with CME'!E$27</f>
        <v/>
      </c>
      <c r="E65" s="34">
        <f>'Index Returns'!E65*'SAA with CME'!F$27</f>
        <v/>
      </c>
      <c r="F65" s="34">
        <f>'Index Returns'!F65*'SAA with CME'!G$27</f>
        <v/>
      </c>
      <c r="G65" s="34">
        <f>'Index Returns'!G65*'SAA with CME'!H$27</f>
        <v/>
      </c>
      <c r="H65" s="35">
        <f>SUM(B65:G65)</f>
        <v/>
      </c>
      <c r="I65" s="49">
        <f>I64*(1+H65)</f>
        <v/>
      </c>
    </row>
    <row r="66">
      <c r="A66" s="48">
        <f>'Index Returns'!A66</f>
        <v/>
      </c>
      <c r="B66" s="34">
        <f>'Index Returns'!B66*'SAA with CME'!C$27</f>
        <v/>
      </c>
      <c r="C66" s="34">
        <f>'Index Returns'!C66*'SAA with CME'!D$27</f>
        <v/>
      </c>
      <c r="D66" s="34">
        <f>'Index Returns'!D66*'SAA with CME'!E$27</f>
        <v/>
      </c>
      <c r="E66" s="34">
        <f>'Index Returns'!E66*'SAA with CME'!F$27</f>
        <v/>
      </c>
      <c r="F66" s="34">
        <f>'Index Returns'!F66*'SAA with CME'!G$27</f>
        <v/>
      </c>
      <c r="G66" s="34">
        <f>'Index Returns'!G66*'SAA with CME'!H$27</f>
        <v/>
      </c>
      <c r="H66" s="35">
        <f>SUM(B66:G66)</f>
        <v/>
      </c>
      <c r="I66" s="49">
        <f>I65*(1+H66)</f>
        <v/>
      </c>
    </row>
    <row r="67">
      <c r="A67" s="48">
        <f>'Index Returns'!A67</f>
        <v/>
      </c>
      <c r="B67" s="34">
        <f>'Index Returns'!B67*'SAA with CME'!C$27</f>
        <v/>
      </c>
      <c r="C67" s="34">
        <f>'Index Returns'!C67*'SAA with CME'!D$27</f>
        <v/>
      </c>
      <c r="D67" s="34">
        <f>'Index Returns'!D67*'SAA with CME'!E$27</f>
        <v/>
      </c>
      <c r="E67" s="34">
        <f>'Index Returns'!E67*'SAA with CME'!F$27</f>
        <v/>
      </c>
      <c r="F67" s="34">
        <f>'Index Returns'!F67*'SAA with CME'!G$27</f>
        <v/>
      </c>
      <c r="G67" s="34">
        <f>'Index Returns'!G67*'SAA with CME'!H$27</f>
        <v/>
      </c>
      <c r="H67" s="35">
        <f>SUM(B67:G67)</f>
        <v/>
      </c>
      <c r="I67" s="49">
        <f>I66*(1+H67)</f>
        <v/>
      </c>
    </row>
    <row r="68">
      <c r="A68" s="48">
        <f>'Index Returns'!A68</f>
        <v/>
      </c>
      <c r="B68" s="34">
        <f>'Index Returns'!B68*'SAA with CME'!C$27</f>
        <v/>
      </c>
      <c r="C68" s="34">
        <f>'Index Returns'!C68*'SAA with CME'!D$27</f>
        <v/>
      </c>
      <c r="D68" s="34">
        <f>'Index Returns'!D68*'SAA with CME'!E$27</f>
        <v/>
      </c>
      <c r="E68" s="34">
        <f>'Index Returns'!E68*'SAA with CME'!F$27</f>
        <v/>
      </c>
      <c r="F68" s="34">
        <f>'Index Returns'!F68*'SAA with CME'!G$27</f>
        <v/>
      </c>
      <c r="G68" s="34">
        <f>'Index Returns'!G68*'SAA with CME'!H$27</f>
        <v/>
      </c>
      <c r="H68" s="35">
        <f>SUM(B68:G68)</f>
        <v/>
      </c>
      <c r="I68" s="49">
        <f>I67*(1+H68)</f>
        <v/>
      </c>
    </row>
    <row r="69">
      <c r="A69" s="48">
        <f>'Index Returns'!A69</f>
        <v/>
      </c>
      <c r="B69" s="34">
        <f>'Index Returns'!B69*'SAA with CME'!C$27</f>
        <v/>
      </c>
      <c r="C69" s="34">
        <f>'Index Returns'!C69*'SAA with CME'!D$27</f>
        <v/>
      </c>
      <c r="D69" s="34">
        <f>'Index Returns'!D69*'SAA with CME'!E$27</f>
        <v/>
      </c>
      <c r="E69" s="34">
        <f>'Index Returns'!E69*'SAA with CME'!F$27</f>
        <v/>
      </c>
      <c r="F69" s="34">
        <f>'Index Returns'!F69*'SAA with CME'!G$27</f>
        <v/>
      </c>
      <c r="G69" s="34">
        <f>'Index Returns'!G69*'SAA with CME'!H$27</f>
        <v/>
      </c>
      <c r="H69" s="35">
        <f>SUM(B69:G69)</f>
        <v/>
      </c>
      <c r="I69" s="49">
        <f>I68*(1+H69)</f>
        <v/>
      </c>
    </row>
    <row r="70">
      <c r="A70" s="48">
        <f>'Index Returns'!A70</f>
        <v/>
      </c>
      <c r="B70" s="34">
        <f>'Index Returns'!B70*'SAA with CME'!C$27</f>
        <v/>
      </c>
      <c r="C70" s="34">
        <f>'Index Returns'!C70*'SAA with CME'!D$27</f>
        <v/>
      </c>
      <c r="D70" s="34">
        <f>'Index Returns'!D70*'SAA with CME'!E$27</f>
        <v/>
      </c>
      <c r="E70" s="34">
        <f>'Index Returns'!E70*'SAA with CME'!F$27</f>
        <v/>
      </c>
      <c r="F70" s="34">
        <f>'Index Returns'!F70*'SAA with CME'!G$27</f>
        <v/>
      </c>
      <c r="G70" s="34">
        <f>'Index Returns'!G70*'SAA with CME'!H$27</f>
        <v/>
      </c>
      <c r="H70" s="35">
        <f>SUM(B70:G70)</f>
        <v/>
      </c>
      <c r="I70" s="49">
        <f>I69*(1+H70)</f>
        <v/>
      </c>
    </row>
    <row r="71">
      <c r="A71" s="48">
        <f>'Index Returns'!A71</f>
        <v/>
      </c>
      <c r="B71" s="34">
        <f>'Index Returns'!B71*'SAA with CME'!C$27</f>
        <v/>
      </c>
      <c r="C71" s="34">
        <f>'Index Returns'!C71*'SAA with CME'!D$27</f>
        <v/>
      </c>
      <c r="D71" s="34">
        <f>'Index Returns'!D71*'SAA with CME'!E$27</f>
        <v/>
      </c>
      <c r="E71" s="34">
        <f>'Index Returns'!E71*'SAA with CME'!F$27</f>
        <v/>
      </c>
      <c r="F71" s="34">
        <f>'Index Returns'!F71*'SAA with CME'!G$27</f>
        <v/>
      </c>
      <c r="G71" s="34">
        <f>'Index Returns'!G71*'SAA with CME'!H$27</f>
        <v/>
      </c>
      <c r="H71" s="35">
        <f>SUM(B71:G71)</f>
        <v/>
      </c>
      <c r="I71" s="49">
        <f>I70*(1+H71)</f>
        <v/>
      </c>
    </row>
    <row r="72">
      <c r="A72" s="48">
        <f>'Index Returns'!A72</f>
        <v/>
      </c>
      <c r="B72" s="34">
        <f>'Index Returns'!B72*'SAA with CME'!C$27</f>
        <v/>
      </c>
      <c r="C72" s="34">
        <f>'Index Returns'!C72*'SAA with CME'!D$27</f>
        <v/>
      </c>
      <c r="D72" s="34">
        <f>'Index Returns'!D72*'SAA with CME'!E$27</f>
        <v/>
      </c>
      <c r="E72" s="34">
        <f>'Index Returns'!E72*'SAA with CME'!F$27</f>
        <v/>
      </c>
      <c r="F72" s="34">
        <f>'Index Returns'!F72*'SAA with CME'!G$27</f>
        <v/>
      </c>
      <c r="G72" s="34">
        <f>'Index Returns'!G72*'SAA with CME'!H$27</f>
        <v/>
      </c>
      <c r="H72" s="35">
        <f>SUM(B72:G72)</f>
        <v/>
      </c>
      <c r="I72" s="49">
        <f>I71*(1+H72)</f>
        <v/>
      </c>
    </row>
    <row r="73">
      <c r="A73" s="48">
        <f>'Index Returns'!A73</f>
        <v/>
      </c>
      <c r="B73" s="34">
        <f>'Index Returns'!B73*'SAA with CME'!C$27</f>
        <v/>
      </c>
      <c r="C73" s="34">
        <f>'Index Returns'!C73*'SAA with CME'!D$27</f>
        <v/>
      </c>
      <c r="D73" s="34">
        <f>'Index Returns'!D73*'SAA with CME'!E$27</f>
        <v/>
      </c>
      <c r="E73" s="34">
        <f>'Index Returns'!E73*'SAA with CME'!F$27</f>
        <v/>
      </c>
      <c r="F73" s="34">
        <f>'Index Returns'!F73*'SAA with CME'!G$27</f>
        <v/>
      </c>
      <c r="G73" s="34">
        <f>'Index Returns'!G73*'SAA with CME'!H$27</f>
        <v/>
      </c>
      <c r="H73" s="35">
        <f>SUM(B73:G73)</f>
        <v/>
      </c>
      <c r="I73" s="49">
        <f>I72*(1+H73)</f>
        <v/>
      </c>
    </row>
    <row r="74">
      <c r="A74" s="48">
        <f>'Index Returns'!A74</f>
        <v/>
      </c>
      <c r="B74" s="34">
        <f>'Index Returns'!B74*'SAA with CME'!C$27</f>
        <v/>
      </c>
      <c r="C74" s="34">
        <f>'Index Returns'!C74*'SAA with CME'!D$27</f>
        <v/>
      </c>
      <c r="D74" s="34">
        <f>'Index Returns'!D74*'SAA with CME'!E$27</f>
        <v/>
      </c>
      <c r="E74" s="34">
        <f>'Index Returns'!E74*'SAA with CME'!F$27</f>
        <v/>
      </c>
      <c r="F74" s="34">
        <f>'Index Returns'!F74*'SAA with CME'!G$27</f>
        <v/>
      </c>
      <c r="G74" s="34">
        <f>'Index Returns'!G74*'SAA with CME'!H$27</f>
        <v/>
      </c>
      <c r="H74" s="35">
        <f>SUM(B74:G74)</f>
        <v/>
      </c>
      <c r="I74" s="49">
        <f>I73*(1+H74)</f>
        <v/>
      </c>
    </row>
    <row r="75">
      <c r="A75" s="48">
        <f>'Index Returns'!A75</f>
        <v/>
      </c>
      <c r="B75" s="34">
        <f>'Index Returns'!B75*'SAA with CME'!C$27</f>
        <v/>
      </c>
      <c r="C75" s="34">
        <f>'Index Returns'!C75*'SAA with CME'!D$27</f>
        <v/>
      </c>
      <c r="D75" s="34">
        <f>'Index Returns'!D75*'SAA with CME'!E$27</f>
        <v/>
      </c>
      <c r="E75" s="34">
        <f>'Index Returns'!E75*'SAA with CME'!F$27</f>
        <v/>
      </c>
      <c r="F75" s="34">
        <f>'Index Returns'!F75*'SAA with CME'!G$27</f>
        <v/>
      </c>
      <c r="G75" s="34">
        <f>'Index Returns'!G75*'SAA with CME'!H$27</f>
        <v/>
      </c>
      <c r="H75" s="35">
        <f>SUM(B75:G75)</f>
        <v/>
      </c>
      <c r="I75" s="49">
        <f>I74*(1+H75)</f>
        <v/>
      </c>
    </row>
    <row r="76">
      <c r="A76" s="48">
        <f>'Index Returns'!A76</f>
        <v/>
      </c>
      <c r="B76" s="34">
        <f>'Index Returns'!B76*'SAA with CME'!C$27</f>
        <v/>
      </c>
      <c r="C76" s="34">
        <f>'Index Returns'!C76*'SAA with CME'!D$27</f>
        <v/>
      </c>
      <c r="D76" s="34">
        <f>'Index Returns'!D76*'SAA with CME'!E$27</f>
        <v/>
      </c>
      <c r="E76" s="34">
        <f>'Index Returns'!E76*'SAA with CME'!F$27</f>
        <v/>
      </c>
      <c r="F76" s="34">
        <f>'Index Returns'!F76*'SAA with CME'!G$27</f>
        <v/>
      </c>
      <c r="G76" s="34">
        <f>'Index Returns'!G76*'SAA with CME'!H$27</f>
        <v/>
      </c>
      <c r="H76" s="35">
        <f>SUM(B76:G76)</f>
        <v/>
      </c>
      <c r="I76" s="49">
        <f>I75*(1+H76)</f>
        <v/>
      </c>
    </row>
    <row r="77">
      <c r="A77" s="48">
        <f>'Index Returns'!A77</f>
        <v/>
      </c>
      <c r="B77" s="34">
        <f>'Index Returns'!B77*'SAA with CME'!C$27</f>
        <v/>
      </c>
      <c r="C77" s="34">
        <f>'Index Returns'!C77*'SAA with CME'!D$27</f>
        <v/>
      </c>
      <c r="D77" s="34">
        <f>'Index Returns'!D77*'SAA with CME'!E$27</f>
        <v/>
      </c>
      <c r="E77" s="34">
        <f>'Index Returns'!E77*'SAA with CME'!F$27</f>
        <v/>
      </c>
      <c r="F77" s="34">
        <f>'Index Returns'!F77*'SAA with CME'!G$27</f>
        <v/>
      </c>
      <c r="G77" s="34">
        <f>'Index Returns'!G77*'SAA with CME'!H$27</f>
        <v/>
      </c>
      <c r="H77" s="35">
        <f>SUM(B77:G77)</f>
        <v/>
      </c>
      <c r="I77" s="49">
        <f>I76*(1+H77)</f>
        <v/>
      </c>
    </row>
    <row r="78">
      <c r="A78" s="48">
        <f>'Index Returns'!A78</f>
        <v/>
      </c>
      <c r="B78" s="34">
        <f>'Index Returns'!B78*'SAA with CME'!C$27</f>
        <v/>
      </c>
      <c r="C78" s="34">
        <f>'Index Returns'!C78*'SAA with CME'!D$27</f>
        <v/>
      </c>
      <c r="D78" s="34">
        <f>'Index Returns'!D78*'SAA with CME'!E$27</f>
        <v/>
      </c>
      <c r="E78" s="34">
        <f>'Index Returns'!E78*'SAA with CME'!F$27</f>
        <v/>
      </c>
      <c r="F78" s="34">
        <f>'Index Returns'!F78*'SAA with CME'!G$27</f>
        <v/>
      </c>
      <c r="G78" s="34">
        <f>'Index Returns'!G78*'SAA with CME'!H$27</f>
        <v/>
      </c>
      <c r="H78" s="35">
        <f>SUM(B78:G78)</f>
        <v/>
      </c>
      <c r="I78" s="49">
        <f>I77*(1+H78)</f>
        <v/>
      </c>
    </row>
    <row r="79">
      <c r="A79" s="48">
        <f>'Index Returns'!A79</f>
        <v/>
      </c>
      <c r="B79" s="34">
        <f>'Index Returns'!B79*'SAA with CME'!C$27</f>
        <v/>
      </c>
      <c r="C79" s="34">
        <f>'Index Returns'!C79*'SAA with CME'!D$27</f>
        <v/>
      </c>
      <c r="D79" s="34">
        <f>'Index Returns'!D79*'SAA with CME'!E$27</f>
        <v/>
      </c>
      <c r="E79" s="34">
        <f>'Index Returns'!E79*'SAA with CME'!F$27</f>
        <v/>
      </c>
      <c r="F79" s="34">
        <f>'Index Returns'!F79*'SAA with CME'!G$27</f>
        <v/>
      </c>
      <c r="G79" s="34">
        <f>'Index Returns'!G79*'SAA with CME'!H$27</f>
        <v/>
      </c>
      <c r="H79" s="35">
        <f>SUM(B79:G79)</f>
        <v/>
      </c>
      <c r="I79" s="49">
        <f>I78*(1+H79)</f>
        <v/>
      </c>
    </row>
    <row r="80">
      <c r="A80" s="48">
        <f>'Index Returns'!A80</f>
        <v/>
      </c>
      <c r="B80" s="34">
        <f>'Index Returns'!B80*'SAA with CME'!C$27</f>
        <v/>
      </c>
      <c r="C80" s="34">
        <f>'Index Returns'!C80*'SAA with CME'!D$27</f>
        <v/>
      </c>
      <c r="D80" s="34">
        <f>'Index Returns'!D80*'SAA with CME'!E$27</f>
        <v/>
      </c>
      <c r="E80" s="34">
        <f>'Index Returns'!E80*'SAA with CME'!F$27</f>
        <v/>
      </c>
      <c r="F80" s="34">
        <f>'Index Returns'!F80*'SAA with CME'!G$27</f>
        <v/>
      </c>
      <c r="G80" s="34">
        <f>'Index Returns'!G80*'SAA with CME'!H$27</f>
        <v/>
      </c>
      <c r="H80" s="35">
        <f>SUM(B80:G80)</f>
        <v/>
      </c>
      <c r="I80" s="49">
        <f>I79*(1+H80)</f>
        <v/>
      </c>
    </row>
    <row r="81">
      <c r="A81" s="48">
        <f>'Index Returns'!A81</f>
        <v/>
      </c>
      <c r="B81" s="34">
        <f>'Index Returns'!B81*'SAA with CME'!C$27</f>
        <v/>
      </c>
      <c r="C81" s="34">
        <f>'Index Returns'!C81*'SAA with CME'!D$27</f>
        <v/>
      </c>
      <c r="D81" s="34">
        <f>'Index Returns'!D81*'SAA with CME'!E$27</f>
        <v/>
      </c>
      <c r="E81" s="34">
        <f>'Index Returns'!E81*'SAA with CME'!F$27</f>
        <v/>
      </c>
      <c r="F81" s="34">
        <f>'Index Returns'!F81*'SAA with CME'!G$27</f>
        <v/>
      </c>
      <c r="G81" s="34">
        <f>'Index Returns'!G81*'SAA with CME'!H$27</f>
        <v/>
      </c>
      <c r="H81" s="35">
        <f>SUM(B81:G81)</f>
        <v/>
      </c>
      <c r="I81" s="49">
        <f>I80*(1+H81)</f>
        <v/>
      </c>
    </row>
    <row r="82">
      <c r="A82" s="48">
        <f>'Index Returns'!A82</f>
        <v/>
      </c>
      <c r="B82" s="34">
        <f>'Index Returns'!B82*'SAA with CME'!C$27</f>
        <v/>
      </c>
      <c r="C82" s="34">
        <f>'Index Returns'!C82*'SAA with CME'!D$27</f>
        <v/>
      </c>
      <c r="D82" s="34">
        <f>'Index Returns'!D82*'SAA with CME'!E$27</f>
        <v/>
      </c>
      <c r="E82" s="34">
        <f>'Index Returns'!E82*'SAA with CME'!F$27</f>
        <v/>
      </c>
      <c r="F82" s="34">
        <f>'Index Returns'!F82*'SAA with CME'!G$27</f>
        <v/>
      </c>
      <c r="G82" s="34">
        <f>'Index Returns'!G82*'SAA with CME'!H$27</f>
        <v/>
      </c>
      <c r="H82" s="35">
        <f>SUM(B82:G82)</f>
        <v/>
      </c>
      <c r="I82" s="49">
        <f>I81*(1+H82)</f>
        <v/>
      </c>
    </row>
    <row r="83">
      <c r="A83" s="48">
        <f>'Index Returns'!A83</f>
        <v/>
      </c>
      <c r="B83" s="34">
        <f>'Index Returns'!B83*'SAA with CME'!C$27</f>
        <v/>
      </c>
      <c r="C83" s="34">
        <f>'Index Returns'!C83*'SAA with CME'!D$27</f>
        <v/>
      </c>
      <c r="D83" s="34">
        <f>'Index Returns'!D83*'SAA with CME'!E$27</f>
        <v/>
      </c>
      <c r="E83" s="34">
        <f>'Index Returns'!E83*'SAA with CME'!F$27</f>
        <v/>
      </c>
      <c r="F83" s="34">
        <f>'Index Returns'!F83*'SAA with CME'!G$27</f>
        <v/>
      </c>
      <c r="G83" s="34">
        <f>'Index Returns'!G83*'SAA with CME'!H$27</f>
        <v/>
      </c>
      <c r="H83" s="35">
        <f>SUM(B83:G83)</f>
        <v/>
      </c>
      <c r="I83" s="49">
        <f>I82*(1+H83)</f>
        <v/>
      </c>
    </row>
    <row r="84">
      <c r="A84" s="48">
        <f>'Index Returns'!A84</f>
        <v/>
      </c>
      <c r="B84" s="34">
        <f>'Index Returns'!B84*'SAA with CME'!C$27</f>
        <v/>
      </c>
      <c r="C84" s="34">
        <f>'Index Returns'!C84*'SAA with CME'!D$27</f>
        <v/>
      </c>
      <c r="D84" s="34">
        <f>'Index Returns'!D84*'SAA with CME'!E$27</f>
        <v/>
      </c>
      <c r="E84" s="34">
        <f>'Index Returns'!E84*'SAA with CME'!F$27</f>
        <v/>
      </c>
      <c r="F84" s="34">
        <f>'Index Returns'!F84*'SAA with CME'!G$27</f>
        <v/>
      </c>
      <c r="G84" s="34">
        <f>'Index Returns'!G84*'SAA with CME'!H$27</f>
        <v/>
      </c>
      <c r="H84" s="35">
        <f>SUM(B84:G84)</f>
        <v/>
      </c>
      <c r="I84" s="49">
        <f>I83*(1+H84)</f>
        <v/>
      </c>
    </row>
    <row r="85">
      <c r="A85" s="48">
        <f>'Index Returns'!A85</f>
        <v/>
      </c>
      <c r="B85" s="34">
        <f>'Index Returns'!B85*'SAA with CME'!C$27</f>
        <v/>
      </c>
      <c r="C85" s="34">
        <f>'Index Returns'!C85*'SAA with CME'!D$27</f>
        <v/>
      </c>
      <c r="D85" s="34">
        <f>'Index Returns'!D85*'SAA with CME'!E$27</f>
        <v/>
      </c>
      <c r="E85" s="34">
        <f>'Index Returns'!E85*'SAA with CME'!F$27</f>
        <v/>
      </c>
      <c r="F85" s="34">
        <f>'Index Returns'!F85*'SAA with CME'!G$27</f>
        <v/>
      </c>
      <c r="G85" s="34">
        <f>'Index Returns'!G85*'SAA with CME'!H$27</f>
        <v/>
      </c>
      <c r="H85" s="35">
        <f>SUM(B85:G85)</f>
        <v/>
      </c>
      <c r="I85" s="49">
        <f>I84*(1+H85)</f>
        <v/>
      </c>
    </row>
    <row r="86">
      <c r="A86" s="48">
        <f>'Index Returns'!A86</f>
        <v/>
      </c>
      <c r="B86" s="34">
        <f>'Index Returns'!B86*'SAA with CME'!C$27</f>
        <v/>
      </c>
      <c r="C86" s="34">
        <f>'Index Returns'!C86*'SAA with CME'!D$27</f>
        <v/>
      </c>
      <c r="D86" s="34">
        <f>'Index Returns'!D86*'SAA with CME'!E$27</f>
        <v/>
      </c>
      <c r="E86" s="34">
        <f>'Index Returns'!E86*'SAA with CME'!F$27</f>
        <v/>
      </c>
      <c r="F86" s="34">
        <f>'Index Returns'!F86*'SAA with CME'!G$27</f>
        <v/>
      </c>
      <c r="G86" s="34">
        <f>'Index Returns'!G86*'SAA with CME'!H$27</f>
        <v/>
      </c>
      <c r="H86" s="35">
        <f>SUM(B86:G86)</f>
        <v/>
      </c>
      <c r="I86" s="49">
        <f>I85*(1+H86)</f>
        <v/>
      </c>
    </row>
    <row r="87">
      <c r="A87" s="48">
        <f>'Index Returns'!A87</f>
        <v/>
      </c>
      <c r="B87" s="34">
        <f>'Index Returns'!B87*'SAA with CME'!C$27</f>
        <v/>
      </c>
      <c r="C87" s="34">
        <f>'Index Returns'!C87*'SAA with CME'!D$27</f>
        <v/>
      </c>
      <c r="D87" s="34">
        <f>'Index Returns'!D87*'SAA with CME'!E$27</f>
        <v/>
      </c>
      <c r="E87" s="34">
        <f>'Index Returns'!E87*'SAA with CME'!F$27</f>
        <v/>
      </c>
      <c r="F87" s="34">
        <f>'Index Returns'!F87*'SAA with CME'!G$27</f>
        <v/>
      </c>
      <c r="G87" s="34">
        <f>'Index Returns'!G87*'SAA with CME'!H$27</f>
        <v/>
      </c>
      <c r="H87" s="35">
        <f>SUM(B87:G87)</f>
        <v/>
      </c>
      <c r="I87" s="49">
        <f>I86*(1+H87)</f>
        <v/>
      </c>
    </row>
    <row r="88">
      <c r="A88" s="48">
        <f>'Index Returns'!A88</f>
        <v/>
      </c>
      <c r="B88" s="34">
        <f>'Index Returns'!B88*'SAA with CME'!C$27</f>
        <v/>
      </c>
      <c r="C88" s="34">
        <f>'Index Returns'!C88*'SAA with CME'!D$27</f>
        <v/>
      </c>
      <c r="D88" s="34">
        <f>'Index Returns'!D88*'SAA with CME'!E$27</f>
        <v/>
      </c>
      <c r="E88" s="34">
        <f>'Index Returns'!E88*'SAA with CME'!F$27</f>
        <v/>
      </c>
      <c r="F88" s="34">
        <f>'Index Returns'!F88*'SAA with CME'!G$27</f>
        <v/>
      </c>
      <c r="G88" s="34">
        <f>'Index Returns'!G88*'SAA with CME'!H$27</f>
        <v/>
      </c>
      <c r="H88" s="35">
        <f>SUM(B88:G88)</f>
        <v/>
      </c>
      <c r="I88" s="49">
        <f>I87*(1+H88)</f>
        <v/>
      </c>
    </row>
    <row r="89">
      <c r="A89" s="48">
        <f>'Index Returns'!A89</f>
        <v/>
      </c>
      <c r="B89" s="34">
        <f>'Index Returns'!B89*'SAA with CME'!C$27</f>
        <v/>
      </c>
      <c r="C89" s="34">
        <f>'Index Returns'!C89*'SAA with CME'!D$27</f>
        <v/>
      </c>
      <c r="D89" s="34">
        <f>'Index Returns'!D89*'SAA with CME'!E$27</f>
        <v/>
      </c>
      <c r="E89" s="34">
        <f>'Index Returns'!E89*'SAA with CME'!F$27</f>
        <v/>
      </c>
      <c r="F89" s="34">
        <f>'Index Returns'!F89*'SAA with CME'!G$27</f>
        <v/>
      </c>
      <c r="G89" s="34">
        <f>'Index Returns'!G89*'SAA with CME'!H$27</f>
        <v/>
      </c>
      <c r="H89" s="35">
        <f>SUM(B89:G89)</f>
        <v/>
      </c>
      <c r="I89" s="49">
        <f>I88*(1+H89)</f>
        <v/>
      </c>
    </row>
    <row r="90">
      <c r="A90" s="48">
        <f>'Index Returns'!A90</f>
        <v/>
      </c>
      <c r="B90" s="34">
        <f>'Index Returns'!B90*'SAA with CME'!C$27</f>
        <v/>
      </c>
      <c r="C90" s="34">
        <f>'Index Returns'!C90*'SAA with CME'!D$27</f>
        <v/>
      </c>
      <c r="D90" s="34">
        <f>'Index Returns'!D90*'SAA with CME'!E$27</f>
        <v/>
      </c>
      <c r="E90" s="34">
        <f>'Index Returns'!E90*'SAA with CME'!F$27</f>
        <v/>
      </c>
      <c r="F90" s="34">
        <f>'Index Returns'!F90*'SAA with CME'!G$27</f>
        <v/>
      </c>
      <c r="G90" s="34">
        <f>'Index Returns'!G90*'SAA with CME'!H$27</f>
        <v/>
      </c>
      <c r="H90" s="35">
        <f>SUM(B90:G90)</f>
        <v/>
      </c>
      <c r="I90" s="49">
        <f>I89*(1+H90)</f>
        <v/>
      </c>
    </row>
    <row r="91">
      <c r="A91" s="48">
        <f>'Index Returns'!A91</f>
        <v/>
      </c>
      <c r="B91" s="34">
        <f>'Index Returns'!B91*'SAA with CME'!C$27</f>
        <v/>
      </c>
      <c r="C91" s="34">
        <f>'Index Returns'!C91*'SAA with CME'!D$27</f>
        <v/>
      </c>
      <c r="D91" s="34">
        <f>'Index Returns'!D91*'SAA with CME'!E$27</f>
        <v/>
      </c>
      <c r="E91" s="34">
        <f>'Index Returns'!E91*'SAA with CME'!F$27</f>
        <v/>
      </c>
      <c r="F91" s="34">
        <f>'Index Returns'!F91*'SAA with CME'!G$27</f>
        <v/>
      </c>
      <c r="G91" s="34">
        <f>'Index Returns'!G91*'SAA with CME'!H$27</f>
        <v/>
      </c>
      <c r="H91" s="35">
        <f>SUM(B91:G91)</f>
        <v/>
      </c>
      <c r="I91" s="49">
        <f>I90*(1+H91)</f>
        <v/>
      </c>
    </row>
    <row r="92">
      <c r="A92" s="48">
        <f>'Index Returns'!A92</f>
        <v/>
      </c>
      <c r="B92" s="34">
        <f>'Index Returns'!B92*'SAA with CME'!C$27</f>
        <v/>
      </c>
      <c r="C92" s="34">
        <f>'Index Returns'!C92*'SAA with CME'!D$27</f>
        <v/>
      </c>
      <c r="D92" s="34">
        <f>'Index Returns'!D92*'SAA with CME'!E$27</f>
        <v/>
      </c>
      <c r="E92" s="34">
        <f>'Index Returns'!E92*'SAA with CME'!F$27</f>
        <v/>
      </c>
      <c r="F92" s="34">
        <f>'Index Returns'!F92*'SAA with CME'!G$27</f>
        <v/>
      </c>
      <c r="G92" s="34">
        <f>'Index Returns'!G92*'SAA with CME'!H$27</f>
        <v/>
      </c>
      <c r="H92" s="35">
        <f>SUM(B92:G92)</f>
        <v/>
      </c>
      <c r="I92" s="49">
        <f>I91*(1+H92)</f>
        <v/>
      </c>
    </row>
    <row r="93">
      <c r="A93" s="48">
        <f>'Index Returns'!A93</f>
        <v/>
      </c>
      <c r="B93" s="34">
        <f>'Index Returns'!B93*'SAA with CME'!C$27</f>
        <v/>
      </c>
      <c r="C93" s="34">
        <f>'Index Returns'!C93*'SAA with CME'!D$27</f>
        <v/>
      </c>
      <c r="D93" s="34">
        <f>'Index Returns'!D93*'SAA with CME'!E$27</f>
        <v/>
      </c>
      <c r="E93" s="34">
        <f>'Index Returns'!E93*'SAA with CME'!F$27</f>
        <v/>
      </c>
      <c r="F93" s="34">
        <f>'Index Returns'!F93*'SAA with CME'!G$27</f>
        <v/>
      </c>
      <c r="G93" s="34">
        <f>'Index Returns'!G93*'SAA with CME'!H$27</f>
        <v/>
      </c>
      <c r="H93" s="35">
        <f>SUM(B93:G93)</f>
        <v/>
      </c>
      <c r="I93" s="49">
        <f>I92*(1+H93)</f>
        <v/>
      </c>
    </row>
    <row r="94">
      <c r="A94" s="48">
        <f>'Index Returns'!A94</f>
        <v/>
      </c>
      <c r="B94" s="34">
        <f>'Index Returns'!B94*'SAA with CME'!C$27</f>
        <v/>
      </c>
      <c r="C94" s="34">
        <f>'Index Returns'!C94*'SAA with CME'!D$27</f>
        <v/>
      </c>
      <c r="D94" s="34">
        <f>'Index Returns'!D94*'SAA with CME'!E$27</f>
        <v/>
      </c>
      <c r="E94" s="34">
        <f>'Index Returns'!E94*'SAA with CME'!F$27</f>
        <v/>
      </c>
      <c r="F94" s="34">
        <f>'Index Returns'!F94*'SAA with CME'!G$27</f>
        <v/>
      </c>
      <c r="G94" s="34">
        <f>'Index Returns'!G94*'SAA with CME'!H$27</f>
        <v/>
      </c>
      <c r="H94" s="35">
        <f>SUM(B94:G94)</f>
        <v/>
      </c>
      <c r="I94" s="49">
        <f>I93*(1+H94)</f>
        <v/>
      </c>
    </row>
    <row r="95">
      <c r="A95" s="48">
        <f>'Index Returns'!A95</f>
        <v/>
      </c>
      <c r="B95" s="34">
        <f>'Index Returns'!B95*'SAA with CME'!C$27</f>
        <v/>
      </c>
      <c r="C95" s="34">
        <f>'Index Returns'!C95*'SAA with CME'!D$27</f>
        <v/>
      </c>
      <c r="D95" s="34">
        <f>'Index Returns'!D95*'SAA with CME'!E$27</f>
        <v/>
      </c>
      <c r="E95" s="34">
        <f>'Index Returns'!E95*'SAA with CME'!F$27</f>
        <v/>
      </c>
      <c r="F95" s="34">
        <f>'Index Returns'!F95*'SAA with CME'!G$27</f>
        <v/>
      </c>
      <c r="G95" s="34">
        <f>'Index Returns'!G95*'SAA with CME'!H$27</f>
        <v/>
      </c>
      <c r="H95" s="35">
        <f>SUM(B95:G95)</f>
        <v/>
      </c>
      <c r="I95" s="49">
        <f>I94*(1+H95)</f>
        <v/>
      </c>
    </row>
    <row r="96">
      <c r="A96" s="48">
        <f>'Index Returns'!A96</f>
        <v/>
      </c>
      <c r="B96" s="34">
        <f>'Index Returns'!B96*'SAA with CME'!C$27</f>
        <v/>
      </c>
      <c r="C96" s="34">
        <f>'Index Returns'!C96*'SAA with CME'!D$27</f>
        <v/>
      </c>
      <c r="D96" s="34">
        <f>'Index Returns'!D96*'SAA with CME'!E$27</f>
        <v/>
      </c>
      <c r="E96" s="34">
        <f>'Index Returns'!E96*'SAA with CME'!F$27</f>
        <v/>
      </c>
      <c r="F96" s="34">
        <f>'Index Returns'!F96*'SAA with CME'!G$27</f>
        <v/>
      </c>
      <c r="G96" s="34">
        <f>'Index Returns'!G96*'SAA with CME'!H$27</f>
        <v/>
      </c>
      <c r="H96" s="35">
        <f>SUM(B96:G96)</f>
        <v/>
      </c>
      <c r="I96" s="49">
        <f>I95*(1+H96)</f>
        <v/>
      </c>
    </row>
    <row r="97">
      <c r="A97" s="48">
        <f>'Index Returns'!A97</f>
        <v/>
      </c>
      <c r="B97" s="34">
        <f>'Index Returns'!B97*'SAA with CME'!C$27</f>
        <v/>
      </c>
      <c r="C97" s="34">
        <f>'Index Returns'!C97*'SAA with CME'!D$27</f>
        <v/>
      </c>
      <c r="D97" s="34">
        <f>'Index Returns'!D97*'SAA with CME'!E$27</f>
        <v/>
      </c>
      <c r="E97" s="34">
        <f>'Index Returns'!E97*'SAA with CME'!F$27</f>
        <v/>
      </c>
      <c r="F97" s="34">
        <f>'Index Returns'!F97*'SAA with CME'!G$27</f>
        <v/>
      </c>
      <c r="G97" s="34">
        <f>'Index Returns'!G97*'SAA with CME'!H$27</f>
        <v/>
      </c>
      <c r="H97" s="35">
        <f>SUM(B97:G97)</f>
        <v/>
      </c>
      <c r="I97" s="49">
        <f>I96*(1+H97)</f>
        <v/>
      </c>
    </row>
    <row r="98">
      <c r="A98" s="48">
        <f>'Index Returns'!A98</f>
        <v/>
      </c>
      <c r="B98" s="34">
        <f>'Index Returns'!B98*'SAA with CME'!C$27</f>
        <v/>
      </c>
      <c r="C98" s="34">
        <f>'Index Returns'!C98*'SAA with CME'!D$27</f>
        <v/>
      </c>
      <c r="D98" s="34">
        <f>'Index Returns'!D98*'SAA with CME'!E$27</f>
        <v/>
      </c>
      <c r="E98" s="34">
        <f>'Index Returns'!E98*'SAA with CME'!F$27</f>
        <v/>
      </c>
      <c r="F98" s="34">
        <f>'Index Returns'!F98*'SAA with CME'!G$27</f>
        <v/>
      </c>
      <c r="G98" s="34">
        <f>'Index Returns'!G98*'SAA with CME'!H$27</f>
        <v/>
      </c>
      <c r="H98" s="35">
        <f>SUM(B98:G98)</f>
        <v/>
      </c>
      <c r="I98" s="49">
        <f>I97*(1+H98)</f>
        <v/>
      </c>
    </row>
    <row r="99">
      <c r="A99" s="48">
        <f>'Index Returns'!A99</f>
        <v/>
      </c>
      <c r="B99" s="34">
        <f>'Index Returns'!B99*'SAA with CME'!C$27</f>
        <v/>
      </c>
      <c r="C99" s="34">
        <f>'Index Returns'!C99*'SAA with CME'!D$27</f>
        <v/>
      </c>
      <c r="D99" s="34">
        <f>'Index Returns'!D99*'SAA with CME'!E$27</f>
        <v/>
      </c>
      <c r="E99" s="34">
        <f>'Index Returns'!E99*'SAA with CME'!F$27</f>
        <v/>
      </c>
      <c r="F99" s="34">
        <f>'Index Returns'!F99*'SAA with CME'!G$27</f>
        <v/>
      </c>
      <c r="G99" s="34">
        <f>'Index Returns'!G99*'SAA with CME'!H$27</f>
        <v/>
      </c>
      <c r="H99" s="35">
        <f>SUM(B99:G99)</f>
        <v/>
      </c>
      <c r="I99" s="49">
        <f>I98*(1+H99)</f>
        <v/>
      </c>
    </row>
    <row r="100">
      <c r="A100" s="48">
        <f>'Index Returns'!A100</f>
        <v/>
      </c>
      <c r="B100" s="34">
        <f>'Index Returns'!B100*'SAA with CME'!C$27</f>
        <v/>
      </c>
      <c r="C100" s="34">
        <f>'Index Returns'!C100*'SAA with CME'!D$27</f>
        <v/>
      </c>
      <c r="D100" s="34">
        <f>'Index Returns'!D100*'SAA with CME'!E$27</f>
        <v/>
      </c>
      <c r="E100" s="34">
        <f>'Index Returns'!E100*'SAA with CME'!F$27</f>
        <v/>
      </c>
      <c r="F100" s="34">
        <f>'Index Returns'!F100*'SAA with CME'!G$27</f>
        <v/>
      </c>
      <c r="G100" s="34">
        <f>'Index Returns'!G100*'SAA with CME'!H$27</f>
        <v/>
      </c>
      <c r="H100" s="35">
        <f>SUM(B100:G100)</f>
        <v/>
      </c>
      <c r="I100" s="49">
        <f>I99*(1+H100)</f>
        <v/>
      </c>
    </row>
    <row r="101">
      <c r="A101" s="48">
        <f>'Index Returns'!A101</f>
        <v/>
      </c>
      <c r="B101" s="34">
        <f>'Index Returns'!B101*'SAA with CME'!C$27</f>
        <v/>
      </c>
      <c r="C101" s="34">
        <f>'Index Returns'!C101*'SAA with CME'!D$27</f>
        <v/>
      </c>
      <c r="D101" s="34">
        <f>'Index Returns'!D101*'SAA with CME'!E$27</f>
        <v/>
      </c>
      <c r="E101" s="34">
        <f>'Index Returns'!E101*'SAA with CME'!F$27</f>
        <v/>
      </c>
      <c r="F101" s="34">
        <f>'Index Returns'!F101*'SAA with CME'!G$27</f>
        <v/>
      </c>
      <c r="G101" s="34">
        <f>'Index Returns'!G101*'SAA with CME'!H$27</f>
        <v/>
      </c>
      <c r="H101" s="35">
        <f>SUM(B101:G101)</f>
        <v/>
      </c>
      <c r="I101" s="49">
        <f>I100*(1+H101)</f>
        <v/>
      </c>
    </row>
    <row r="102">
      <c r="A102" s="48">
        <f>'Index Returns'!A102</f>
        <v/>
      </c>
      <c r="B102" s="34">
        <f>'Index Returns'!B102*'SAA with CME'!C$27</f>
        <v/>
      </c>
      <c r="C102" s="34">
        <f>'Index Returns'!C102*'SAA with CME'!D$27</f>
        <v/>
      </c>
      <c r="D102" s="34">
        <f>'Index Returns'!D102*'SAA with CME'!E$27</f>
        <v/>
      </c>
      <c r="E102" s="34">
        <f>'Index Returns'!E102*'SAA with CME'!F$27</f>
        <v/>
      </c>
      <c r="F102" s="34">
        <f>'Index Returns'!F102*'SAA with CME'!G$27</f>
        <v/>
      </c>
      <c r="G102" s="34">
        <f>'Index Returns'!G102*'SAA with CME'!H$27</f>
        <v/>
      </c>
      <c r="H102" s="35">
        <f>SUM(B102:G102)</f>
        <v/>
      </c>
      <c r="I102" s="49">
        <f>I101*(1+H102)</f>
        <v/>
      </c>
    </row>
    <row r="103">
      <c r="A103" s="48">
        <f>'Index Returns'!A103</f>
        <v/>
      </c>
      <c r="B103" s="34">
        <f>'Index Returns'!B103*'SAA with CME'!C$27</f>
        <v/>
      </c>
      <c r="C103" s="34">
        <f>'Index Returns'!C103*'SAA with CME'!D$27</f>
        <v/>
      </c>
      <c r="D103" s="34">
        <f>'Index Returns'!D103*'SAA with CME'!E$27</f>
        <v/>
      </c>
      <c r="E103" s="34">
        <f>'Index Returns'!E103*'SAA with CME'!F$27</f>
        <v/>
      </c>
      <c r="F103" s="34">
        <f>'Index Returns'!F103*'SAA with CME'!G$27</f>
        <v/>
      </c>
      <c r="G103" s="34">
        <f>'Index Returns'!G103*'SAA with CME'!H$27</f>
        <v/>
      </c>
      <c r="H103" s="35">
        <f>SUM(B103:G103)</f>
        <v/>
      </c>
      <c r="I103" s="49">
        <f>I102*(1+H103)</f>
        <v/>
      </c>
    </row>
    <row r="104">
      <c r="A104" s="48">
        <f>'Index Returns'!A104</f>
        <v/>
      </c>
      <c r="B104" s="34">
        <f>'Index Returns'!B104*'SAA with CME'!C$27</f>
        <v/>
      </c>
      <c r="C104" s="34">
        <f>'Index Returns'!C104*'SAA with CME'!D$27</f>
        <v/>
      </c>
      <c r="D104" s="34">
        <f>'Index Returns'!D104*'SAA with CME'!E$27</f>
        <v/>
      </c>
      <c r="E104" s="34">
        <f>'Index Returns'!E104*'SAA with CME'!F$27</f>
        <v/>
      </c>
      <c r="F104" s="34">
        <f>'Index Returns'!F104*'SAA with CME'!G$27</f>
        <v/>
      </c>
      <c r="G104" s="34">
        <f>'Index Returns'!G104*'SAA with CME'!H$27</f>
        <v/>
      </c>
      <c r="H104" s="35">
        <f>SUM(B104:G104)</f>
        <v/>
      </c>
      <c r="I104" s="49">
        <f>I103*(1+H104)</f>
        <v/>
      </c>
    </row>
    <row r="105">
      <c r="A105" s="48">
        <f>'Index Returns'!A105</f>
        <v/>
      </c>
      <c r="B105" s="34">
        <f>'Index Returns'!B105*'SAA with CME'!C$27</f>
        <v/>
      </c>
      <c r="C105" s="34">
        <f>'Index Returns'!C105*'SAA with CME'!D$27</f>
        <v/>
      </c>
      <c r="D105" s="34">
        <f>'Index Returns'!D105*'SAA with CME'!E$27</f>
        <v/>
      </c>
      <c r="E105" s="34">
        <f>'Index Returns'!E105*'SAA with CME'!F$27</f>
        <v/>
      </c>
      <c r="F105" s="34">
        <f>'Index Returns'!F105*'SAA with CME'!G$27</f>
        <v/>
      </c>
      <c r="G105" s="34">
        <f>'Index Returns'!G105*'SAA with CME'!H$27</f>
        <v/>
      </c>
      <c r="H105" s="35">
        <f>SUM(B105:G105)</f>
        <v/>
      </c>
      <c r="I105" s="49">
        <f>I104*(1+H105)</f>
        <v/>
      </c>
    </row>
    <row r="106">
      <c r="A106" s="48">
        <f>'Index Returns'!A106</f>
        <v/>
      </c>
      <c r="B106" s="34">
        <f>'Index Returns'!B106*'SAA with CME'!C$27</f>
        <v/>
      </c>
      <c r="C106" s="34">
        <f>'Index Returns'!C106*'SAA with CME'!D$27</f>
        <v/>
      </c>
      <c r="D106" s="34">
        <f>'Index Returns'!D106*'SAA with CME'!E$27</f>
        <v/>
      </c>
      <c r="E106" s="34">
        <f>'Index Returns'!E106*'SAA with CME'!F$27</f>
        <v/>
      </c>
      <c r="F106" s="34">
        <f>'Index Returns'!F106*'SAA with CME'!G$27</f>
        <v/>
      </c>
      <c r="G106" s="34">
        <f>'Index Returns'!G106*'SAA with CME'!H$27</f>
        <v/>
      </c>
      <c r="H106" s="35">
        <f>SUM(B106:G106)</f>
        <v/>
      </c>
      <c r="I106" s="49">
        <f>I105*(1+H106)</f>
        <v/>
      </c>
    </row>
    <row r="107">
      <c r="A107" s="48">
        <f>'Index Returns'!A107</f>
        <v/>
      </c>
      <c r="B107" s="34">
        <f>'Index Returns'!B107*'SAA with CME'!C$27</f>
        <v/>
      </c>
      <c r="C107" s="34">
        <f>'Index Returns'!C107*'SAA with CME'!D$27</f>
        <v/>
      </c>
      <c r="D107" s="34">
        <f>'Index Returns'!D107*'SAA with CME'!E$27</f>
        <v/>
      </c>
      <c r="E107" s="34">
        <f>'Index Returns'!E107*'SAA with CME'!F$27</f>
        <v/>
      </c>
      <c r="F107" s="34">
        <f>'Index Returns'!F107*'SAA with CME'!G$27</f>
        <v/>
      </c>
      <c r="G107" s="34">
        <f>'Index Returns'!G107*'SAA with CME'!H$27</f>
        <v/>
      </c>
      <c r="H107" s="35">
        <f>SUM(B107:G107)</f>
        <v/>
      </c>
      <c r="I107" s="49">
        <f>I106*(1+H107)</f>
        <v/>
      </c>
    </row>
    <row r="108">
      <c r="A108" s="48">
        <f>'Index Returns'!A108</f>
        <v/>
      </c>
      <c r="B108" s="34">
        <f>'Index Returns'!B108*'SAA with CME'!C$27</f>
        <v/>
      </c>
      <c r="C108" s="34">
        <f>'Index Returns'!C108*'SAA with CME'!D$27</f>
        <v/>
      </c>
      <c r="D108" s="34">
        <f>'Index Returns'!D108*'SAA with CME'!E$27</f>
        <v/>
      </c>
      <c r="E108" s="34">
        <f>'Index Returns'!E108*'SAA with CME'!F$27</f>
        <v/>
      </c>
      <c r="F108" s="34">
        <f>'Index Returns'!F108*'SAA with CME'!G$27</f>
        <v/>
      </c>
      <c r="G108" s="34">
        <f>'Index Returns'!G108*'SAA with CME'!H$27</f>
        <v/>
      </c>
      <c r="H108" s="35">
        <f>SUM(B108:G108)</f>
        <v/>
      </c>
      <c r="I108" s="49">
        <f>I107*(1+H108)</f>
        <v/>
      </c>
    </row>
    <row r="109">
      <c r="A109" s="48">
        <f>'Index Returns'!A109</f>
        <v/>
      </c>
      <c r="B109" s="34">
        <f>'Index Returns'!B109*'SAA with CME'!C$27</f>
        <v/>
      </c>
      <c r="C109" s="34">
        <f>'Index Returns'!C109*'SAA with CME'!D$27</f>
        <v/>
      </c>
      <c r="D109" s="34">
        <f>'Index Returns'!D109*'SAA with CME'!E$27</f>
        <v/>
      </c>
      <c r="E109" s="34">
        <f>'Index Returns'!E109*'SAA with CME'!F$27</f>
        <v/>
      </c>
      <c r="F109" s="34">
        <f>'Index Returns'!F109*'SAA with CME'!G$27</f>
        <v/>
      </c>
      <c r="G109" s="34">
        <f>'Index Returns'!G109*'SAA with CME'!H$27</f>
        <v/>
      </c>
      <c r="H109" s="35">
        <f>SUM(B109:G109)</f>
        <v/>
      </c>
      <c r="I109" s="49">
        <f>I108*(1+H109)</f>
        <v/>
      </c>
    </row>
    <row r="110">
      <c r="A110" s="48">
        <f>'Index Returns'!A110</f>
        <v/>
      </c>
      <c r="B110" s="34">
        <f>'Index Returns'!B110*'SAA with CME'!C$27</f>
        <v/>
      </c>
      <c r="C110" s="34">
        <f>'Index Returns'!C110*'SAA with CME'!D$27</f>
        <v/>
      </c>
      <c r="D110" s="34">
        <f>'Index Returns'!D110*'SAA with CME'!E$27</f>
        <v/>
      </c>
      <c r="E110" s="34">
        <f>'Index Returns'!E110*'SAA with CME'!F$27</f>
        <v/>
      </c>
      <c r="F110" s="34">
        <f>'Index Returns'!F110*'SAA with CME'!G$27</f>
        <v/>
      </c>
      <c r="G110" s="34">
        <f>'Index Returns'!G110*'SAA with CME'!H$27</f>
        <v/>
      </c>
      <c r="H110" s="35">
        <f>SUM(B110:G110)</f>
        <v/>
      </c>
      <c r="I110" s="49">
        <f>I109*(1+H110)</f>
        <v/>
      </c>
    </row>
    <row r="111">
      <c r="A111" s="48">
        <f>'Index Returns'!A111</f>
        <v/>
      </c>
      <c r="B111" s="34">
        <f>'Index Returns'!B111*'SAA with CME'!C$27</f>
        <v/>
      </c>
      <c r="C111" s="34">
        <f>'Index Returns'!C111*'SAA with CME'!D$27</f>
        <v/>
      </c>
      <c r="D111" s="34">
        <f>'Index Returns'!D111*'SAA with CME'!E$27</f>
        <v/>
      </c>
      <c r="E111" s="34">
        <f>'Index Returns'!E111*'SAA with CME'!F$27</f>
        <v/>
      </c>
      <c r="F111" s="34">
        <f>'Index Returns'!F111*'SAA with CME'!G$27</f>
        <v/>
      </c>
      <c r="G111" s="34">
        <f>'Index Returns'!G111*'SAA with CME'!H$27</f>
        <v/>
      </c>
      <c r="H111" s="35">
        <f>SUM(B111:G111)</f>
        <v/>
      </c>
      <c r="I111" s="49">
        <f>I110*(1+H111)</f>
        <v/>
      </c>
    </row>
    <row r="112">
      <c r="A112" s="48">
        <f>'Index Returns'!A112</f>
        <v/>
      </c>
      <c r="B112" s="34">
        <f>'Index Returns'!B112*'SAA with CME'!C$27</f>
        <v/>
      </c>
      <c r="C112" s="34">
        <f>'Index Returns'!C112*'SAA with CME'!D$27</f>
        <v/>
      </c>
      <c r="D112" s="34">
        <f>'Index Returns'!D112*'SAA with CME'!E$27</f>
        <v/>
      </c>
      <c r="E112" s="34">
        <f>'Index Returns'!E112*'SAA with CME'!F$27</f>
        <v/>
      </c>
      <c r="F112" s="34">
        <f>'Index Returns'!F112*'SAA with CME'!G$27</f>
        <v/>
      </c>
      <c r="G112" s="34">
        <f>'Index Returns'!G112*'SAA with CME'!H$27</f>
        <v/>
      </c>
      <c r="H112" s="35">
        <f>SUM(B112:G112)</f>
        <v/>
      </c>
      <c r="I112" s="49">
        <f>I111*(1+H112)</f>
        <v/>
      </c>
    </row>
    <row r="113">
      <c r="A113" s="48">
        <f>'Index Returns'!A113</f>
        <v/>
      </c>
      <c r="B113" s="34">
        <f>'Index Returns'!B113*'SAA with CME'!C$27</f>
        <v/>
      </c>
      <c r="C113" s="34">
        <f>'Index Returns'!C113*'SAA with CME'!D$27</f>
        <v/>
      </c>
      <c r="D113" s="34">
        <f>'Index Returns'!D113*'SAA with CME'!E$27</f>
        <v/>
      </c>
      <c r="E113" s="34">
        <f>'Index Returns'!E113*'SAA with CME'!F$27</f>
        <v/>
      </c>
      <c r="F113" s="34">
        <f>'Index Returns'!F113*'SAA with CME'!G$27</f>
        <v/>
      </c>
      <c r="G113" s="34">
        <f>'Index Returns'!G113*'SAA with CME'!H$27</f>
        <v/>
      </c>
      <c r="H113" s="35">
        <f>SUM(B113:G113)</f>
        <v/>
      </c>
      <c r="I113" s="49">
        <f>I112*(1+H113)</f>
        <v/>
      </c>
    </row>
    <row r="114">
      <c r="A114" s="48">
        <f>'Index Returns'!A114</f>
        <v/>
      </c>
      <c r="B114" s="34">
        <f>'Index Returns'!B114*'SAA with CME'!C$27</f>
        <v/>
      </c>
      <c r="C114" s="34">
        <f>'Index Returns'!C114*'SAA with CME'!D$27</f>
        <v/>
      </c>
      <c r="D114" s="34">
        <f>'Index Returns'!D114*'SAA with CME'!E$27</f>
        <v/>
      </c>
      <c r="E114" s="34">
        <f>'Index Returns'!E114*'SAA with CME'!F$27</f>
        <v/>
      </c>
      <c r="F114" s="34">
        <f>'Index Returns'!F114*'SAA with CME'!G$27</f>
        <v/>
      </c>
      <c r="G114" s="34">
        <f>'Index Returns'!G114*'SAA with CME'!H$27</f>
        <v/>
      </c>
      <c r="H114" s="35">
        <f>SUM(B114:G114)</f>
        <v/>
      </c>
      <c r="I114" s="49">
        <f>I113*(1+H114)</f>
        <v/>
      </c>
    </row>
    <row r="115">
      <c r="A115" s="48">
        <f>'Index Returns'!A115</f>
        <v/>
      </c>
      <c r="B115" s="34">
        <f>'Index Returns'!B115*'SAA with CME'!C$27</f>
        <v/>
      </c>
      <c r="C115" s="34">
        <f>'Index Returns'!C115*'SAA with CME'!D$27</f>
        <v/>
      </c>
      <c r="D115" s="34">
        <f>'Index Returns'!D115*'SAA with CME'!E$27</f>
        <v/>
      </c>
      <c r="E115" s="34">
        <f>'Index Returns'!E115*'SAA with CME'!F$27</f>
        <v/>
      </c>
      <c r="F115" s="34">
        <f>'Index Returns'!F115*'SAA with CME'!G$27</f>
        <v/>
      </c>
      <c r="G115" s="34">
        <f>'Index Returns'!G115*'SAA with CME'!H$27</f>
        <v/>
      </c>
      <c r="H115" s="35">
        <f>SUM(B115:G115)</f>
        <v/>
      </c>
      <c r="I115" s="49">
        <f>I114*(1+H115)</f>
        <v/>
      </c>
    </row>
    <row r="116">
      <c r="A116" s="48">
        <f>'Index Returns'!A116</f>
        <v/>
      </c>
      <c r="B116" s="34">
        <f>'Index Returns'!B116*'SAA with CME'!C$27</f>
        <v/>
      </c>
      <c r="C116" s="34">
        <f>'Index Returns'!C116*'SAA with CME'!D$27</f>
        <v/>
      </c>
      <c r="D116" s="34">
        <f>'Index Returns'!D116*'SAA with CME'!E$27</f>
        <v/>
      </c>
      <c r="E116" s="34">
        <f>'Index Returns'!E116*'SAA with CME'!F$27</f>
        <v/>
      </c>
      <c r="F116" s="34">
        <f>'Index Returns'!F116*'SAA with CME'!G$27</f>
        <v/>
      </c>
      <c r="G116" s="34">
        <f>'Index Returns'!G116*'SAA with CME'!H$27</f>
        <v/>
      </c>
      <c r="H116" s="35">
        <f>SUM(B116:G116)</f>
        <v/>
      </c>
      <c r="I116" s="49">
        <f>I115*(1+H116)</f>
        <v/>
      </c>
    </row>
    <row r="117">
      <c r="A117" s="48">
        <f>'Index Returns'!A117</f>
        <v/>
      </c>
      <c r="B117" s="34">
        <f>'Index Returns'!B117*'SAA with CME'!C$27</f>
        <v/>
      </c>
      <c r="C117" s="34">
        <f>'Index Returns'!C117*'SAA with CME'!D$27</f>
        <v/>
      </c>
      <c r="D117" s="34">
        <f>'Index Returns'!D117*'SAA with CME'!E$27</f>
        <v/>
      </c>
      <c r="E117" s="34">
        <f>'Index Returns'!E117*'SAA with CME'!F$27</f>
        <v/>
      </c>
      <c r="F117" s="34">
        <f>'Index Returns'!F117*'SAA with CME'!G$27</f>
        <v/>
      </c>
      <c r="G117" s="34">
        <f>'Index Returns'!G117*'SAA with CME'!H$27</f>
        <v/>
      </c>
      <c r="H117" s="35">
        <f>SUM(B117:G117)</f>
        <v/>
      </c>
      <c r="I117" s="49">
        <f>I116*(1+H117)</f>
        <v/>
      </c>
    </row>
    <row r="118">
      <c r="A118" s="48">
        <f>'Index Returns'!A118</f>
        <v/>
      </c>
      <c r="B118" s="34">
        <f>'Index Returns'!B118*'SAA with CME'!C$27</f>
        <v/>
      </c>
      <c r="C118" s="34">
        <f>'Index Returns'!C118*'SAA with CME'!D$27</f>
        <v/>
      </c>
      <c r="D118" s="34">
        <f>'Index Returns'!D118*'SAA with CME'!E$27</f>
        <v/>
      </c>
      <c r="E118" s="34">
        <f>'Index Returns'!E118*'SAA with CME'!F$27</f>
        <v/>
      </c>
      <c r="F118" s="34">
        <f>'Index Returns'!F118*'SAA with CME'!G$27</f>
        <v/>
      </c>
      <c r="G118" s="34">
        <f>'Index Returns'!G118*'SAA with CME'!H$27</f>
        <v/>
      </c>
      <c r="H118" s="35">
        <f>SUM(B118:G118)</f>
        <v/>
      </c>
      <c r="I118" s="49">
        <f>I117*(1+H118)</f>
        <v/>
      </c>
    </row>
    <row r="119">
      <c r="A119" s="48">
        <f>'Index Returns'!A119</f>
        <v/>
      </c>
      <c r="B119" s="34">
        <f>'Index Returns'!B119*'SAA with CME'!C$27</f>
        <v/>
      </c>
      <c r="C119" s="34">
        <f>'Index Returns'!C119*'SAA with CME'!D$27</f>
        <v/>
      </c>
      <c r="D119" s="34">
        <f>'Index Returns'!D119*'SAA with CME'!E$27</f>
        <v/>
      </c>
      <c r="E119" s="34">
        <f>'Index Returns'!E119*'SAA with CME'!F$27</f>
        <v/>
      </c>
      <c r="F119" s="34">
        <f>'Index Returns'!F119*'SAA with CME'!G$27</f>
        <v/>
      </c>
      <c r="G119" s="34">
        <f>'Index Returns'!G119*'SAA with CME'!H$27</f>
        <v/>
      </c>
      <c r="H119" s="35">
        <f>SUM(B119:G119)</f>
        <v/>
      </c>
      <c r="I119" s="49">
        <f>I118*(1+H119)</f>
        <v/>
      </c>
    </row>
    <row r="120">
      <c r="A120" s="48">
        <f>'Index Returns'!A120</f>
        <v/>
      </c>
      <c r="B120" s="34">
        <f>'Index Returns'!B120*'SAA with CME'!C$27</f>
        <v/>
      </c>
      <c r="C120" s="34">
        <f>'Index Returns'!C120*'SAA with CME'!D$27</f>
        <v/>
      </c>
      <c r="D120" s="34">
        <f>'Index Returns'!D120*'SAA with CME'!E$27</f>
        <v/>
      </c>
      <c r="E120" s="34">
        <f>'Index Returns'!E120*'SAA with CME'!F$27</f>
        <v/>
      </c>
      <c r="F120" s="34">
        <f>'Index Returns'!F120*'SAA with CME'!G$27</f>
        <v/>
      </c>
      <c r="G120" s="34">
        <f>'Index Returns'!G120*'SAA with CME'!H$27</f>
        <v/>
      </c>
      <c r="H120" s="35">
        <f>SUM(B120:G120)</f>
        <v/>
      </c>
      <c r="I120" s="49">
        <f>I119*(1+H120)</f>
        <v/>
      </c>
    </row>
    <row r="121">
      <c r="A121" s="48">
        <f>'Index Returns'!A121</f>
        <v/>
      </c>
      <c r="B121" s="34">
        <f>'Index Returns'!B121*'SAA with CME'!C$27</f>
        <v/>
      </c>
      <c r="C121" s="34">
        <f>'Index Returns'!C121*'SAA with CME'!D$27</f>
        <v/>
      </c>
      <c r="D121" s="34">
        <f>'Index Returns'!D121*'SAA with CME'!E$27</f>
        <v/>
      </c>
      <c r="E121" s="34">
        <f>'Index Returns'!E121*'SAA with CME'!F$27</f>
        <v/>
      </c>
      <c r="F121" s="34">
        <f>'Index Returns'!F121*'SAA with CME'!G$27</f>
        <v/>
      </c>
      <c r="G121" s="34">
        <f>'Index Returns'!G121*'SAA with CME'!H$27</f>
        <v/>
      </c>
      <c r="H121" s="35">
        <f>SUM(B121:G121)</f>
        <v/>
      </c>
      <c r="I121" s="49">
        <f>I120*(1+H121)</f>
        <v/>
      </c>
    </row>
    <row r="122">
      <c r="A122" s="48">
        <f>'Index Returns'!A122</f>
        <v/>
      </c>
      <c r="B122" s="34">
        <f>'Index Returns'!B122*'SAA with CME'!C$27</f>
        <v/>
      </c>
      <c r="C122" s="34">
        <f>'Index Returns'!C122*'SAA with CME'!D$27</f>
        <v/>
      </c>
      <c r="D122" s="34">
        <f>'Index Returns'!D122*'SAA with CME'!E$27</f>
        <v/>
      </c>
      <c r="E122" s="34">
        <f>'Index Returns'!E122*'SAA with CME'!F$27</f>
        <v/>
      </c>
      <c r="F122" s="34">
        <f>'Index Returns'!F122*'SAA with CME'!G$27</f>
        <v/>
      </c>
      <c r="G122" s="34">
        <f>'Index Returns'!G122*'SAA with CME'!H$27</f>
        <v/>
      </c>
      <c r="H122" s="35">
        <f>SUM(B122:G122)</f>
        <v/>
      </c>
      <c r="I122" s="49">
        <f>I121*(1+H122)</f>
        <v/>
      </c>
    </row>
    <row r="123">
      <c r="A123" s="48">
        <f>'Index Returns'!A123</f>
        <v/>
      </c>
      <c r="B123" s="34">
        <f>'Index Returns'!B123*'SAA with CME'!C$27</f>
        <v/>
      </c>
      <c r="C123" s="34">
        <f>'Index Returns'!C123*'SAA with CME'!D$27</f>
        <v/>
      </c>
      <c r="D123" s="34">
        <f>'Index Returns'!D123*'SAA with CME'!E$27</f>
        <v/>
      </c>
      <c r="E123" s="34">
        <f>'Index Returns'!E123*'SAA with CME'!F$27</f>
        <v/>
      </c>
      <c r="F123" s="34">
        <f>'Index Returns'!F123*'SAA with CME'!G$27</f>
        <v/>
      </c>
      <c r="G123" s="34">
        <f>'Index Returns'!G123*'SAA with CME'!H$27</f>
        <v/>
      </c>
      <c r="H123" s="35">
        <f>SUM(B123:G123)</f>
        <v/>
      </c>
      <c r="I123" s="49">
        <f>I122*(1+H123)</f>
        <v/>
      </c>
    </row>
    <row r="124">
      <c r="A124" s="48">
        <f>'Index Returns'!A124</f>
        <v/>
      </c>
      <c r="B124" s="34">
        <f>'Index Returns'!B124*'SAA with CME'!C$27</f>
        <v/>
      </c>
      <c r="C124" s="34">
        <f>'Index Returns'!C124*'SAA with CME'!D$27</f>
        <v/>
      </c>
      <c r="D124" s="34">
        <f>'Index Returns'!D124*'SAA with CME'!E$27</f>
        <v/>
      </c>
      <c r="E124" s="34">
        <f>'Index Returns'!E124*'SAA with CME'!F$27</f>
        <v/>
      </c>
      <c r="F124" s="34">
        <f>'Index Returns'!F124*'SAA with CME'!G$27</f>
        <v/>
      </c>
      <c r="G124" s="34">
        <f>'Index Returns'!G124*'SAA with CME'!H$27</f>
        <v/>
      </c>
      <c r="H124" s="35">
        <f>SUM(B124:G124)</f>
        <v/>
      </c>
      <c r="I124" s="49">
        <f>I123*(1+H124)</f>
        <v/>
      </c>
    </row>
    <row r="125">
      <c r="A125" s="48">
        <f>'Index Returns'!A125</f>
        <v/>
      </c>
      <c r="B125" s="34">
        <f>'Index Returns'!B125*'SAA with CME'!C$27</f>
        <v/>
      </c>
      <c r="C125" s="34">
        <f>'Index Returns'!C125*'SAA with CME'!D$27</f>
        <v/>
      </c>
      <c r="D125" s="34">
        <f>'Index Returns'!D125*'SAA with CME'!E$27</f>
        <v/>
      </c>
      <c r="E125" s="34">
        <f>'Index Returns'!E125*'SAA with CME'!F$27</f>
        <v/>
      </c>
      <c r="F125" s="34">
        <f>'Index Returns'!F125*'SAA with CME'!G$27</f>
        <v/>
      </c>
      <c r="G125" s="34">
        <f>'Index Returns'!G125*'SAA with CME'!H$27</f>
        <v/>
      </c>
      <c r="H125" s="35">
        <f>SUM(B125:G125)</f>
        <v/>
      </c>
      <c r="I125" s="49">
        <f>I124*(1+H125)</f>
        <v/>
      </c>
    </row>
    <row r="126">
      <c r="A126" s="48">
        <f>'Index Returns'!A126</f>
        <v/>
      </c>
      <c r="B126" s="34">
        <f>'Index Returns'!B126*'SAA with CME'!C$27</f>
        <v/>
      </c>
      <c r="C126" s="34">
        <f>'Index Returns'!C126*'SAA with CME'!D$27</f>
        <v/>
      </c>
      <c r="D126" s="34">
        <f>'Index Returns'!D126*'SAA with CME'!E$27</f>
        <v/>
      </c>
      <c r="E126" s="34">
        <f>'Index Returns'!E126*'SAA with CME'!F$27</f>
        <v/>
      </c>
      <c r="F126" s="34">
        <f>'Index Returns'!F126*'SAA with CME'!G$27</f>
        <v/>
      </c>
      <c r="G126" s="34">
        <f>'Index Returns'!G126*'SAA with CME'!H$27</f>
        <v/>
      </c>
      <c r="H126" s="35">
        <f>SUM(B126:G126)</f>
        <v/>
      </c>
      <c r="I126" s="49">
        <f>I125*(1+H126)</f>
        <v/>
      </c>
    </row>
    <row r="127">
      <c r="A127" s="48">
        <f>'Index Returns'!A127</f>
        <v/>
      </c>
      <c r="B127" s="34">
        <f>'Index Returns'!B127*'SAA with CME'!C$27</f>
        <v/>
      </c>
      <c r="C127" s="34">
        <f>'Index Returns'!C127*'SAA with CME'!D$27</f>
        <v/>
      </c>
      <c r="D127" s="34">
        <f>'Index Returns'!D127*'SAA with CME'!E$27</f>
        <v/>
      </c>
      <c r="E127" s="34">
        <f>'Index Returns'!E127*'SAA with CME'!F$27</f>
        <v/>
      </c>
      <c r="F127" s="34">
        <f>'Index Returns'!F127*'SAA with CME'!G$27</f>
        <v/>
      </c>
      <c r="G127" s="34">
        <f>'Index Returns'!G127*'SAA with CME'!H$27</f>
        <v/>
      </c>
      <c r="H127" s="35">
        <f>SUM(B127:G127)</f>
        <v/>
      </c>
      <c r="I127" s="49">
        <f>I126*(1+H127)</f>
        <v/>
      </c>
    </row>
    <row r="128">
      <c r="A128" s="48">
        <f>'Index Returns'!A128</f>
        <v/>
      </c>
      <c r="B128" s="34">
        <f>'Index Returns'!B128*'SAA with CME'!C$27</f>
        <v/>
      </c>
      <c r="C128" s="34">
        <f>'Index Returns'!C128*'SAA with CME'!D$27</f>
        <v/>
      </c>
      <c r="D128" s="34">
        <f>'Index Returns'!D128*'SAA with CME'!E$27</f>
        <v/>
      </c>
      <c r="E128" s="34">
        <f>'Index Returns'!E128*'SAA with CME'!F$27</f>
        <v/>
      </c>
      <c r="F128" s="34">
        <f>'Index Returns'!F128*'SAA with CME'!G$27</f>
        <v/>
      </c>
      <c r="G128" s="34">
        <f>'Index Returns'!G128*'SAA with CME'!H$27</f>
        <v/>
      </c>
      <c r="H128" s="35">
        <f>SUM(B128:G128)</f>
        <v/>
      </c>
      <c r="I128" s="49">
        <f>I127*(1+H128)</f>
        <v/>
      </c>
    </row>
    <row r="129">
      <c r="A129" s="48">
        <f>'Index Returns'!A129</f>
        <v/>
      </c>
      <c r="B129" s="34">
        <f>'Index Returns'!B129*'SAA with CME'!C$27</f>
        <v/>
      </c>
      <c r="C129" s="34">
        <f>'Index Returns'!C129*'SAA with CME'!D$27</f>
        <v/>
      </c>
      <c r="D129" s="34">
        <f>'Index Returns'!D129*'SAA with CME'!E$27</f>
        <v/>
      </c>
      <c r="E129" s="34">
        <f>'Index Returns'!E129*'SAA with CME'!F$27</f>
        <v/>
      </c>
      <c r="F129" s="34">
        <f>'Index Returns'!F129*'SAA with CME'!G$27</f>
        <v/>
      </c>
      <c r="G129" s="34">
        <f>'Index Returns'!G129*'SAA with CME'!H$27</f>
        <v/>
      </c>
      <c r="H129" s="35">
        <f>SUM(B129:G129)</f>
        <v/>
      </c>
      <c r="I129" s="49">
        <f>I128*(1+H129)</f>
        <v/>
      </c>
    </row>
    <row r="130">
      <c r="A130" s="48">
        <f>'Index Returns'!A130</f>
        <v/>
      </c>
      <c r="B130" s="34">
        <f>'Index Returns'!B130*'SAA with CME'!C$27</f>
        <v/>
      </c>
      <c r="C130" s="34">
        <f>'Index Returns'!C130*'SAA with CME'!D$27</f>
        <v/>
      </c>
      <c r="D130" s="34">
        <f>'Index Returns'!D130*'SAA with CME'!E$27</f>
        <v/>
      </c>
      <c r="E130" s="34">
        <f>'Index Returns'!E130*'SAA with CME'!F$27</f>
        <v/>
      </c>
      <c r="F130" s="34">
        <f>'Index Returns'!F130*'SAA with CME'!G$27</f>
        <v/>
      </c>
      <c r="G130" s="34">
        <f>'Index Returns'!G130*'SAA with CME'!H$27</f>
        <v/>
      </c>
      <c r="H130" s="35">
        <f>SUM(B130:G130)</f>
        <v/>
      </c>
      <c r="I130" s="49">
        <f>I129*(1+H130)</f>
        <v/>
      </c>
    </row>
    <row r="131">
      <c r="A131" s="48">
        <f>'Index Returns'!A131</f>
        <v/>
      </c>
      <c r="B131" s="34">
        <f>'Index Returns'!B131*'SAA with CME'!C$27</f>
        <v/>
      </c>
      <c r="C131" s="34">
        <f>'Index Returns'!C131*'SAA with CME'!D$27</f>
        <v/>
      </c>
      <c r="D131" s="34">
        <f>'Index Returns'!D131*'SAA with CME'!E$27</f>
        <v/>
      </c>
      <c r="E131" s="34">
        <f>'Index Returns'!E131*'SAA with CME'!F$27</f>
        <v/>
      </c>
      <c r="F131" s="34">
        <f>'Index Returns'!F131*'SAA with CME'!G$27</f>
        <v/>
      </c>
      <c r="G131" s="34">
        <f>'Index Returns'!G131*'SAA with CME'!H$27</f>
        <v/>
      </c>
      <c r="H131" s="35">
        <f>SUM(B131:G131)</f>
        <v/>
      </c>
      <c r="I131" s="49">
        <f>I130*(1+H131)</f>
        <v/>
      </c>
    </row>
    <row r="132">
      <c r="A132" s="48">
        <f>'Index Returns'!A132</f>
        <v/>
      </c>
      <c r="B132" s="34">
        <f>'Index Returns'!B132*'SAA with CME'!C$27</f>
        <v/>
      </c>
      <c r="C132" s="34">
        <f>'Index Returns'!C132*'SAA with CME'!D$27</f>
        <v/>
      </c>
      <c r="D132" s="34">
        <f>'Index Returns'!D132*'SAA with CME'!E$27</f>
        <v/>
      </c>
      <c r="E132" s="34">
        <f>'Index Returns'!E132*'SAA with CME'!F$27</f>
        <v/>
      </c>
      <c r="F132" s="34">
        <f>'Index Returns'!F132*'SAA with CME'!G$27</f>
        <v/>
      </c>
      <c r="G132" s="34">
        <f>'Index Returns'!G132*'SAA with CME'!H$27</f>
        <v/>
      </c>
      <c r="H132" s="35">
        <f>SUM(B132:G132)</f>
        <v/>
      </c>
      <c r="I132" s="49">
        <f>I131*(1+H132)</f>
        <v/>
      </c>
    </row>
    <row r="133">
      <c r="A133" s="48">
        <f>'Index Returns'!A133</f>
        <v/>
      </c>
      <c r="B133" s="34">
        <f>'Index Returns'!B133*'SAA with CME'!C$27</f>
        <v/>
      </c>
      <c r="C133" s="34">
        <f>'Index Returns'!C133*'SAA with CME'!D$27</f>
        <v/>
      </c>
      <c r="D133" s="34">
        <f>'Index Returns'!D133*'SAA with CME'!E$27</f>
        <v/>
      </c>
      <c r="E133" s="34">
        <f>'Index Returns'!E133*'SAA with CME'!F$27</f>
        <v/>
      </c>
      <c r="F133" s="34">
        <f>'Index Returns'!F133*'SAA with CME'!G$27</f>
        <v/>
      </c>
      <c r="G133" s="34">
        <f>'Index Returns'!G133*'SAA with CME'!H$27</f>
        <v/>
      </c>
      <c r="H133" s="35">
        <f>SUM(B133:G133)</f>
        <v/>
      </c>
      <c r="I133" s="49">
        <f>I132*(1+H133)</f>
        <v/>
      </c>
    </row>
    <row r="134">
      <c r="A134" s="48">
        <f>'Index Returns'!A134</f>
        <v/>
      </c>
      <c r="B134" s="34">
        <f>'Index Returns'!B134*'SAA with CME'!C$27</f>
        <v/>
      </c>
      <c r="C134" s="34">
        <f>'Index Returns'!C134*'SAA with CME'!D$27</f>
        <v/>
      </c>
      <c r="D134" s="34">
        <f>'Index Returns'!D134*'SAA with CME'!E$27</f>
        <v/>
      </c>
      <c r="E134" s="34">
        <f>'Index Returns'!E134*'SAA with CME'!F$27</f>
        <v/>
      </c>
      <c r="F134" s="34">
        <f>'Index Returns'!F134*'SAA with CME'!G$27</f>
        <v/>
      </c>
      <c r="G134" s="34">
        <f>'Index Returns'!G134*'SAA with CME'!H$27</f>
        <v/>
      </c>
      <c r="H134" s="35">
        <f>SUM(B134:G134)</f>
        <v/>
      </c>
      <c r="I134" s="49">
        <f>I133*(1+H134)</f>
        <v/>
      </c>
    </row>
    <row r="135">
      <c r="A135" s="48">
        <f>'Index Returns'!A135</f>
        <v/>
      </c>
      <c r="B135" s="34">
        <f>'Index Returns'!B135*'SAA with CME'!C$27</f>
        <v/>
      </c>
      <c r="C135" s="34">
        <f>'Index Returns'!C135*'SAA with CME'!D$27</f>
        <v/>
      </c>
      <c r="D135" s="34">
        <f>'Index Returns'!D135*'SAA with CME'!E$27</f>
        <v/>
      </c>
      <c r="E135" s="34">
        <f>'Index Returns'!E135*'SAA with CME'!F$27</f>
        <v/>
      </c>
      <c r="F135" s="34">
        <f>'Index Returns'!F135*'SAA with CME'!G$27</f>
        <v/>
      </c>
      <c r="G135" s="34">
        <f>'Index Returns'!G135*'SAA with CME'!H$27</f>
        <v/>
      </c>
      <c r="H135" s="35">
        <f>SUM(B135:G135)</f>
        <v/>
      </c>
      <c r="I135" s="49">
        <f>I134*(1+H135)</f>
        <v/>
      </c>
    </row>
    <row r="136">
      <c r="A136" s="48">
        <f>'Index Returns'!A136</f>
        <v/>
      </c>
      <c r="B136" s="34">
        <f>'Index Returns'!B136*'SAA with CME'!C$27</f>
        <v/>
      </c>
      <c r="C136" s="34">
        <f>'Index Returns'!C136*'SAA with CME'!D$27</f>
        <v/>
      </c>
      <c r="D136" s="34">
        <f>'Index Returns'!D136*'SAA with CME'!E$27</f>
        <v/>
      </c>
      <c r="E136" s="34">
        <f>'Index Returns'!E136*'SAA with CME'!F$27</f>
        <v/>
      </c>
      <c r="F136" s="34">
        <f>'Index Returns'!F136*'SAA with CME'!G$27</f>
        <v/>
      </c>
      <c r="G136" s="34">
        <f>'Index Returns'!G136*'SAA with CME'!H$27</f>
        <v/>
      </c>
      <c r="H136" s="35">
        <f>SUM(B136:G136)</f>
        <v/>
      </c>
      <c r="I136" s="49">
        <f>I135*(1+H136)</f>
        <v/>
      </c>
    </row>
    <row r="137">
      <c r="A137" s="48">
        <f>'Index Returns'!A137</f>
        <v/>
      </c>
      <c r="B137" s="34">
        <f>'Index Returns'!B137*'SAA with CME'!C$27</f>
        <v/>
      </c>
      <c r="C137" s="34">
        <f>'Index Returns'!C137*'SAA with CME'!D$27</f>
        <v/>
      </c>
      <c r="D137" s="34">
        <f>'Index Returns'!D137*'SAA with CME'!E$27</f>
        <v/>
      </c>
      <c r="E137" s="34">
        <f>'Index Returns'!E137*'SAA with CME'!F$27</f>
        <v/>
      </c>
      <c r="F137" s="34">
        <f>'Index Returns'!F137*'SAA with CME'!G$27</f>
        <v/>
      </c>
      <c r="G137" s="34">
        <f>'Index Returns'!G137*'SAA with CME'!H$27</f>
        <v/>
      </c>
      <c r="H137" s="35">
        <f>SUM(B137:G137)</f>
        <v/>
      </c>
      <c r="I137" s="49">
        <f>I136*(1+H137)</f>
        <v/>
      </c>
    </row>
    <row r="138">
      <c r="A138" s="48">
        <f>'Index Returns'!A138</f>
        <v/>
      </c>
      <c r="B138" s="34">
        <f>'Index Returns'!B138*'SAA with CME'!C$27</f>
        <v/>
      </c>
      <c r="C138" s="34">
        <f>'Index Returns'!C138*'SAA with CME'!D$27</f>
        <v/>
      </c>
      <c r="D138" s="34">
        <f>'Index Returns'!D138*'SAA with CME'!E$27</f>
        <v/>
      </c>
      <c r="E138" s="34">
        <f>'Index Returns'!E138*'SAA with CME'!F$27</f>
        <v/>
      </c>
      <c r="F138" s="34">
        <f>'Index Returns'!F138*'SAA with CME'!G$27</f>
        <v/>
      </c>
      <c r="G138" s="34">
        <f>'Index Returns'!G138*'SAA with CME'!H$27</f>
        <v/>
      </c>
      <c r="H138" s="35">
        <f>SUM(B138:G138)</f>
        <v/>
      </c>
      <c r="I138" s="49">
        <f>I137*(1+H138)</f>
        <v/>
      </c>
    </row>
    <row r="139">
      <c r="A139" s="48">
        <f>'Index Returns'!A139</f>
        <v/>
      </c>
      <c r="B139" s="34">
        <f>'Index Returns'!B139*'SAA with CME'!C$27</f>
        <v/>
      </c>
      <c r="C139" s="34">
        <f>'Index Returns'!C139*'SAA with CME'!D$27</f>
        <v/>
      </c>
      <c r="D139" s="34">
        <f>'Index Returns'!D139*'SAA with CME'!E$27</f>
        <v/>
      </c>
      <c r="E139" s="34">
        <f>'Index Returns'!E139*'SAA with CME'!F$27</f>
        <v/>
      </c>
      <c r="F139" s="34">
        <f>'Index Returns'!F139*'SAA with CME'!G$27</f>
        <v/>
      </c>
      <c r="G139" s="34">
        <f>'Index Returns'!G139*'SAA with CME'!H$27</f>
        <v/>
      </c>
      <c r="H139" s="35">
        <f>SUM(B139:G139)</f>
        <v/>
      </c>
      <c r="I139" s="49">
        <f>I138*(1+H139)</f>
        <v/>
      </c>
    </row>
    <row r="140">
      <c r="A140" s="48">
        <f>'Index Returns'!A140</f>
        <v/>
      </c>
      <c r="B140" s="34">
        <f>'Index Returns'!B140*'SAA with CME'!C$27</f>
        <v/>
      </c>
      <c r="C140" s="34">
        <f>'Index Returns'!C140*'SAA with CME'!D$27</f>
        <v/>
      </c>
      <c r="D140" s="34">
        <f>'Index Returns'!D140*'SAA with CME'!E$27</f>
        <v/>
      </c>
      <c r="E140" s="34">
        <f>'Index Returns'!E140*'SAA with CME'!F$27</f>
        <v/>
      </c>
      <c r="F140" s="34">
        <f>'Index Returns'!F140*'SAA with CME'!G$27</f>
        <v/>
      </c>
      <c r="G140" s="34">
        <f>'Index Returns'!G140*'SAA with CME'!H$27</f>
        <v/>
      </c>
      <c r="H140" s="35">
        <f>SUM(B140:G140)</f>
        <v/>
      </c>
      <c r="I140" s="49">
        <f>I139*(1+H140)</f>
        <v/>
      </c>
    </row>
    <row r="141">
      <c r="A141" s="48">
        <f>'Index Returns'!A141</f>
        <v/>
      </c>
      <c r="B141" s="34">
        <f>'Index Returns'!B141*'SAA with CME'!C$27</f>
        <v/>
      </c>
      <c r="C141" s="34">
        <f>'Index Returns'!C141*'SAA with CME'!D$27</f>
        <v/>
      </c>
      <c r="D141" s="34">
        <f>'Index Returns'!D141*'SAA with CME'!E$27</f>
        <v/>
      </c>
      <c r="E141" s="34">
        <f>'Index Returns'!E141*'SAA with CME'!F$27</f>
        <v/>
      </c>
      <c r="F141" s="34">
        <f>'Index Returns'!F141*'SAA with CME'!G$27</f>
        <v/>
      </c>
      <c r="G141" s="34">
        <f>'Index Returns'!G141*'SAA with CME'!H$27</f>
        <v/>
      </c>
      <c r="H141" s="35">
        <f>SUM(B141:G141)</f>
        <v/>
      </c>
      <c r="I141" s="49">
        <f>I140*(1+H141)</f>
        <v/>
      </c>
    </row>
    <row r="142">
      <c r="A142" s="48">
        <f>'Index Returns'!A142</f>
        <v/>
      </c>
      <c r="B142" s="34">
        <f>'Index Returns'!B142*'SAA with CME'!C$27</f>
        <v/>
      </c>
      <c r="C142" s="34">
        <f>'Index Returns'!C142*'SAA with CME'!D$27</f>
        <v/>
      </c>
      <c r="D142" s="34">
        <f>'Index Returns'!D142*'SAA with CME'!E$27</f>
        <v/>
      </c>
      <c r="E142" s="34">
        <f>'Index Returns'!E142*'SAA with CME'!F$27</f>
        <v/>
      </c>
      <c r="F142" s="34">
        <f>'Index Returns'!F142*'SAA with CME'!G$27</f>
        <v/>
      </c>
      <c r="G142" s="34">
        <f>'Index Returns'!G142*'SAA with CME'!H$27</f>
        <v/>
      </c>
      <c r="H142" s="35">
        <f>SUM(B142:G142)</f>
        <v/>
      </c>
      <c r="I142" s="49">
        <f>I141*(1+H142)</f>
        <v/>
      </c>
    </row>
    <row r="143">
      <c r="A143" s="48">
        <f>'Index Returns'!A143</f>
        <v/>
      </c>
      <c r="B143" s="34">
        <f>'Index Returns'!B143*'SAA with CME'!C$27</f>
        <v/>
      </c>
      <c r="C143" s="34">
        <f>'Index Returns'!C143*'SAA with CME'!D$27</f>
        <v/>
      </c>
      <c r="D143" s="34">
        <f>'Index Returns'!D143*'SAA with CME'!E$27</f>
        <v/>
      </c>
      <c r="E143" s="34">
        <f>'Index Returns'!E143*'SAA with CME'!F$27</f>
        <v/>
      </c>
      <c r="F143" s="34">
        <f>'Index Returns'!F143*'SAA with CME'!G$27</f>
        <v/>
      </c>
      <c r="G143" s="34">
        <f>'Index Returns'!G143*'SAA with CME'!H$27</f>
        <v/>
      </c>
      <c r="H143" s="35">
        <f>SUM(B143:G143)</f>
        <v/>
      </c>
      <c r="I143" s="49">
        <f>I142*(1+H143)</f>
        <v/>
      </c>
    </row>
    <row r="144">
      <c r="A144" s="48">
        <f>'Index Returns'!A144</f>
        <v/>
      </c>
      <c r="B144" s="34">
        <f>'Index Returns'!B144*'SAA with CME'!C$27</f>
        <v/>
      </c>
      <c r="C144" s="34">
        <f>'Index Returns'!C144*'SAA with CME'!D$27</f>
        <v/>
      </c>
      <c r="D144" s="34">
        <f>'Index Returns'!D144*'SAA with CME'!E$27</f>
        <v/>
      </c>
      <c r="E144" s="34">
        <f>'Index Returns'!E144*'SAA with CME'!F$27</f>
        <v/>
      </c>
      <c r="F144" s="34">
        <f>'Index Returns'!F144*'SAA with CME'!G$27</f>
        <v/>
      </c>
      <c r="G144" s="34">
        <f>'Index Returns'!G144*'SAA with CME'!H$27</f>
        <v/>
      </c>
      <c r="H144" s="35">
        <f>SUM(B144:G144)</f>
        <v/>
      </c>
      <c r="I144" s="49">
        <f>I143*(1+H144)</f>
        <v/>
      </c>
    </row>
    <row r="145">
      <c r="A145" s="48">
        <f>'Index Returns'!A145</f>
        <v/>
      </c>
      <c r="B145" s="34">
        <f>'Index Returns'!B145*'SAA with CME'!C$27</f>
        <v/>
      </c>
      <c r="C145" s="34">
        <f>'Index Returns'!C145*'SAA with CME'!D$27</f>
        <v/>
      </c>
      <c r="D145" s="34">
        <f>'Index Returns'!D145*'SAA with CME'!E$27</f>
        <v/>
      </c>
      <c r="E145" s="34">
        <f>'Index Returns'!E145*'SAA with CME'!F$27</f>
        <v/>
      </c>
      <c r="F145" s="34">
        <f>'Index Returns'!F145*'SAA with CME'!G$27</f>
        <v/>
      </c>
      <c r="G145" s="34">
        <f>'Index Returns'!G145*'SAA with CME'!H$27</f>
        <v/>
      </c>
      <c r="H145" s="35">
        <f>SUM(B145:G145)</f>
        <v/>
      </c>
      <c r="I145" s="49">
        <f>I144*(1+H145)</f>
        <v/>
      </c>
    </row>
    <row r="146">
      <c r="A146" s="48">
        <f>'Index Returns'!A146</f>
        <v/>
      </c>
      <c r="B146" s="34">
        <f>'Index Returns'!B146*'SAA with CME'!C$27</f>
        <v/>
      </c>
      <c r="C146" s="34">
        <f>'Index Returns'!C146*'SAA with CME'!D$27</f>
        <v/>
      </c>
      <c r="D146" s="34">
        <f>'Index Returns'!D146*'SAA with CME'!E$27</f>
        <v/>
      </c>
      <c r="E146" s="34">
        <f>'Index Returns'!E146*'SAA with CME'!F$27</f>
        <v/>
      </c>
      <c r="F146" s="34">
        <f>'Index Returns'!F146*'SAA with CME'!G$27</f>
        <v/>
      </c>
      <c r="G146" s="34">
        <f>'Index Returns'!G146*'SAA with CME'!H$27</f>
        <v/>
      </c>
      <c r="H146" s="35">
        <f>SUM(B146:G146)</f>
        <v/>
      </c>
      <c r="I146" s="49">
        <f>I145*(1+H146)</f>
        <v/>
      </c>
    </row>
    <row r="147">
      <c r="A147" s="48">
        <f>'Index Returns'!A147</f>
        <v/>
      </c>
      <c r="B147" s="34">
        <f>'Index Returns'!B147*'SAA with CME'!C$27</f>
        <v/>
      </c>
      <c r="C147" s="34">
        <f>'Index Returns'!C147*'SAA with CME'!D$27</f>
        <v/>
      </c>
      <c r="D147" s="34">
        <f>'Index Returns'!D147*'SAA with CME'!E$27</f>
        <v/>
      </c>
      <c r="E147" s="34">
        <f>'Index Returns'!E147*'SAA with CME'!F$27</f>
        <v/>
      </c>
      <c r="F147" s="34">
        <f>'Index Returns'!F147*'SAA with CME'!G$27</f>
        <v/>
      </c>
      <c r="G147" s="34">
        <f>'Index Returns'!G147*'SAA with CME'!H$27</f>
        <v/>
      </c>
      <c r="H147" s="35">
        <f>SUM(B147:G147)</f>
        <v/>
      </c>
      <c r="I147" s="49">
        <f>I146*(1+H147)</f>
        <v/>
      </c>
    </row>
    <row r="148">
      <c r="A148" s="48">
        <f>'Index Returns'!A148</f>
        <v/>
      </c>
      <c r="B148" s="34">
        <f>'Index Returns'!B148*'SAA with CME'!C$27</f>
        <v/>
      </c>
      <c r="C148" s="34">
        <f>'Index Returns'!C148*'SAA with CME'!D$27</f>
        <v/>
      </c>
      <c r="D148" s="34">
        <f>'Index Returns'!D148*'SAA with CME'!E$27</f>
        <v/>
      </c>
      <c r="E148" s="34">
        <f>'Index Returns'!E148*'SAA with CME'!F$27</f>
        <v/>
      </c>
      <c r="F148" s="34">
        <f>'Index Returns'!F148*'SAA with CME'!G$27</f>
        <v/>
      </c>
      <c r="G148" s="34">
        <f>'Index Returns'!G148*'SAA with CME'!H$27</f>
        <v/>
      </c>
      <c r="H148" s="35">
        <f>SUM(B148:G148)</f>
        <v/>
      </c>
      <c r="I148" s="49">
        <f>I147*(1+H148)</f>
        <v/>
      </c>
    </row>
    <row r="149">
      <c r="A149" s="48">
        <f>'Index Returns'!A149</f>
        <v/>
      </c>
      <c r="B149" s="34">
        <f>'Index Returns'!B149*'SAA with CME'!C$27</f>
        <v/>
      </c>
      <c r="C149" s="34">
        <f>'Index Returns'!C149*'SAA with CME'!D$27</f>
        <v/>
      </c>
      <c r="D149" s="34">
        <f>'Index Returns'!D149*'SAA with CME'!E$27</f>
        <v/>
      </c>
      <c r="E149" s="34">
        <f>'Index Returns'!E149*'SAA with CME'!F$27</f>
        <v/>
      </c>
      <c r="F149" s="34">
        <f>'Index Returns'!F149*'SAA with CME'!G$27</f>
        <v/>
      </c>
      <c r="G149" s="34">
        <f>'Index Returns'!G149*'SAA with CME'!H$27</f>
        <v/>
      </c>
      <c r="H149" s="35">
        <f>SUM(B149:G149)</f>
        <v/>
      </c>
      <c r="I149" s="49">
        <f>I148*(1+H149)</f>
        <v/>
      </c>
    </row>
    <row r="150">
      <c r="A150" s="48">
        <f>'Index Returns'!A150</f>
        <v/>
      </c>
      <c r="B150" s="34">
        <f>'Index Returns'!B150*'SAA with CME'!C$27</f>
        <v/>
      </c>
      <c r="C150" s="34">
        <f>'Index Returns'!C150*'SAA with CME'!D$27</f>
        <v/>
      </c>
      <c r="D150" s="34">
        <f>'Index Returns'!D150*'SAA with CME'!E$27</f>
        <v/>
      </c>
      <c r="E150" s="34">
        <f>'Index Returns'!E150*'SAA with CME'!F$27</f>
        <v/>
      </c>
      <c r="F150" s="34">
        <f>'Index Returns'!F150*'SAA with CME'!G$27</f>
        <v/>
      </c>
      <c r="G150" s="34">
        <f>'Index Returns'!G150*'SAA with CME'!H$27</f>
        <v/>
      </c>
      <c r="H150" s="35">
        <f>SUM(B150:G150)</f>
        <v/>
      </c>
      <c r="I150" s="49">
        <f>I149*(1+H150)</f>
        <v/>
      </c>
    </row>
    <row r="151">
      <c r="A151" s="48">
        <f>'Index Returns'!A151</f>
        <v/>
      </c>
      <c r="B151" s="34">
        <f>'Index Returns'!B151*'SAA with CME'!C$27</f>
        <v/>
      </c>
      <c r="C151" s="34">
        <f>'Index Returns'!C151*'SAA with CME'!D$27</f>
        <v/>
      </c>
      <c r="D151" s="34">
        <f>'Index Returns'!D151*'SAA with CME'!E$27</f>
        <v/>
      </c>
      <c r="E151" s="34">
        <f>'Index Returns'!E151*'SAA with CME'!F$27</f>
        <v/>
      </c>
      <c r="F151" s="34">
        <f>'Index Returns'!F151*'SAA with CME'!G$27</f>
        <v/>
      </c>
      <c r="G151" s="34">
        <f>'Index Returns'!G151*'SAA with CME'!H$27</f>
        <v/>
      </c>
      <c r="H151" s="35">
        <f>SUM(B151:G151)</f>
        <v/>
      </c>
      <c r="I151" s="49">
        <f>I150*(1+H151)</f>
        <v/>
      </c>
    </row>
    <row r="152">
      <c r="A152" s="48">
        <f>'Index Returns'!A152</f>
        <v/>
      </c>
      <c r="B152" s="34">
        <f>'Index Returns'!B152*'SAA with CME'!C$27</f>
        <v/>
      </c>
      <c r="C152" s="34">
        <f>'Index Returns'!C152*'SAA with CME'!D$27</f>
        <v/>
      </c>
      <c r="D152" s="34">
        <f>'Index Returns'!D152*'SAA with CME'!E$27</f>
        <v/>
      </c>
      <c r="E152" s="34">
        <f>'Index Returns'!E152*'SAA with CME'!F$27</f>
        <v/>
      </c>
      <c r="F152" s="34">
        <f>'Index Returns'!F152*'SAA with CME'!G$27</f>
        <v/>
      </c>
      <c r="G152" s="34">
        <f>'Index Returns'!G152*'SAA with CME'!H$27</f>
        <v/>
      </c>
      <c r="H152" s="35">
        <f>SUM(B152:G152)</f>
        <v/>
      </c>
      <c r="I152" s="49">
        <f>I151*(1+H152)</f>
        <v/>
      </c>
    </row>
    <row r="153">
      <c r="A153" s="48">
        <f>'Index Returns'!A153</f>
        <v/>
      </c>
      <c r="B153" s="34">
        <f>'Index Returns'!B153*'SAA with CME'!C$27</f>
        <v/>
      </c>
      <c r="C153" s="34">
        <f>'Index Returns'!C153*'SAA with CME'!D$27</f>
        <v/>
      </c>
      <c r="D153" s="34">
        <f>'Index Returns'!D153*'SAA with CME'!E$27</f>
        <v/>
      </c>
      <c r="E153" s="34">
        <f>'Index Returns'!E153*'SAA with CME'!F$27</f>
        <v/>
      </c>
      <c r="F153" s="34">
        <f>'Index Returns'!F153*'SAA with CME'!G$27</f>
        <v/>
      </c>
      <c r="G153" s="34">
        <f>'Index Returns'!G153*'SAA with CME'!H$27</f>
        <v/>
      </c>
      <c r="H153" s="35">
        <f>SUM(B153:G153)</f>
        <v/>
      </c>
      <c r="I153" s="49">
        <f>I152*(1+H153)</f>
        <v/>
      </c>
    </row>
    <row r="154">
      <c r="A154" s="48">
        <f>'Index Returns'!A154</f>
        <v/>
      </c>
      <c r="B154" s="34">
        <f>'Index Returns'!B154*'SAA with CME'!C$27</f>
        <v/>
      </c>
      <c r="C154" s="34">
        <f>'Index Returns'!C154*'SAA with CME'!D$27</f>
        <v/>
      </c>
      <c r="D154" s="34">
        <f>'Index Returns'!D154*'SAA with CME'!E$27</f>
        <v/>
      </c>
      <c r="E154" s="34">
        <f>'Index Returns'!E154*'SAA with CME'!F$27</f>
        <v/>
      </c>
      <c r="F154" s="34">
        <f>'Index Returns'!F154*'SAA with CME'!G$27</f>
        <v/>
      </c>
      <c r="G154" s="34">
        <f>'Index Returns'!G154*'SAA with CME'!H$27</f>
        <v/>
      </c>
      <c r="H154" s="35">
        <f>SUM(B154:G154)</f>
        <v/>
      </c>
      <c r="I154" s="49">
        <f>I153*(1+H154)</f>
        <v/>
      </c>
    </row>
    <row r="155">
      <c r="A155" s="48">
        <f>'Index Returns'!A155</f>
        <v/>
      </c>
      <c r="B155" s="34">
        <f>'Index Returns'!B155*'SAA with CME'!C$27</f>
        <v/>
      </c>
      <c r="C155" s="34">
        <f>'Index Returns'!C155*'SAA with CME'!D$27</f>
        <v/>
      </c>
      <c r="D155" s="34">
        <f>'Index Returns'!D155*'SAA with CME'!E$27</f>
        <v/>
      </c>
      <c r="E155" s="34">
        <f>'Index Returns'!E155*'SAA with CME'!F$27</f>
        <v/>
      </c>
      <c r="F155" s="34">
        <f>'Index Returns'!F155*'SAA with CME'!G$27</f>
        <v/>
      </c>
      <c r="G155" s="34">
        <f>'Index Returns'!G155*'SAA with CME'!H$27</f>
        <v/>
      </c>
      <c r="H155" s="35">
        <f>SUM(B155:G155)</f>
        <v/>
      </c>
      <c r="I155" s="49">
        <f>I154*(1+H155)</f>
        <v/>
      </c>
    </row>
    <row r="156">
      <c r="A156" s="48">
        <f>'Index Returns'!A156</f>
        <v/>
      </c>
      <c r="B156" s="34">
        <f>'Index Returns'!B156*'SAA with CME'!C$27</f>
        <v/>
      </c>
      <c r="C156" s="34">
        <f>'Index Returns'!C156*'SAA with CME'!D$27</f>
        <v/>
      </c>
      <c r="D156" s="34">
        <f>'Index Returns'!D156*'SAA with CME'!E$27</f>
        <v/>
      </c>
      <c r="E156" s="34">
        <f>'Index Returns'!E156*'SAA with CME'!F$27</f>
        <v/>
      </c>
      <c r="F156" s="34">
        <f>'Index Returns'!F156*'SAA with CME'!G$27</f>
        <v/>
      </c>
      <c r="G156" s="34">
        <f>'Index Returns'!G156*'SAA with CME'!H$27</f>
        <v/>
      </c>
      <c r="H156" s="35">
        <f>SUM(B156:G156)</f>
        <v/>
      </c>
      <c r="I156" s="49">
        <f>I155*(1+H156)</f>
        <v/>
      </c>
    </row>
    <row r="157">
      <c r="A157" s="48">
        <f>'Index Returns'!A157</f>
        <v/>
      </c>
      <c r="B157" s="34">
        <f>'Index Returns'!B157*'SAA with CME'!C$27</f>
        <v/>
      </c>
      <c r="C157" s="34">
        <f>'Index Returns'!C157*'SAA with CME'!D$27</f>
        <v/>
      </c>
      <c r="D157" s="34">
        <f>'Index Returns'!D157*'SAA with CME'!E$27</f>
        <v/>
      </c>
      <c r="E157" s="34">
        <f>'Index Returns'!E157*'SAA with CME'!F$27</f>
        <v/>
      </c>
      <c r="F157" s="34">
        <f>'Index Returns'!F157*'SAA with CME'!G$27</f>
        <v/>
      </c>
      <c r="G157" s="34">
        <f>'Index Returns'!G157*'SAA with CME'!H$27</f>
        <v/>
      </c>
      <c r="H157" s="35">
        <f>SUM(B157:G157)</f>
        <v/>
      </c>
      <c r="I157" s="49">
        <f>I156*(1+H157)</f>
        <v/>
      </c>
    </row>
    <row r="158">
      <c r="A158" s="48">
        <f>'Index Returns'!A158</f>
        <v/>
      </c>
      <c r="B158" s="34">
        <f>'Index Returns'!B158*'SAA with CME'!C$27</f>
        <v/>
      </c>
      <c r="C158" s="34">
        <f>'Index Returns'!C158*'SAA with CME'!D$27</f>
        <v/>
      </c>
      <c r="D158" s="34">
        <f>'Index Returns'!D158*'SAA with CME'!E$27</f>
        <v/>
      </c>
      <c r="E158" s="34">
        <f>'Index Returns'!E158*'SAA with CME'!F$27</f>
        <v/>
      </c>
      <c r="F158" s="34">
        <f>'Index Returns'!F158*'SAA with CME'!G$27</f>
        <v/>
      </c>
      <c r="G158" s="34">
        <f>'Index Returns'!G158*'SAA with CME'!H$27</f>
        <v/>
      </c>
      <c r="H158" s="35">
        <f>SUM(B158:G158)</f>
        <v/>
      </c>
      <c r="I158" s="49">
        <f>I157*(1+H158)</f>
        <v/>
      </c>
    </row>
    <row r="159">
      <c r="A159" s="48">
        <f>'Index Returns'!A159</f>
        <v/>
      </c>
      <c r="B159" s="34">
        <f>'Index Returns'!B159*'SAA with CME'!C$27</f>
        <v/>
      </c>
      <c r="C159" s="34">
        <f>'Index Returns'!C159*'SAA with CME'!D$27</f>
        <v/>
      </c>
      <c r="D159" s="34">
        <f>'Index Returns'!D159*'SAA with CME'!E$27</f>
        <v/>
      </c>
      <c r="E159" s="34">
        <f>'Index Returns'!E159*'SAA with CME'!F$27</f>
        <v/>
      </c>
      <c r="F159" s="34">
        <f>'Index Returns'!F159*'SAA with CME'!G$27</f>
        <v/>
      </c>
      <c r="G159" s="34">
        <f>'Index Returns'!G159*'SAA with CME'!H$27</f>
        <v/>
      </c>
      <c r="H159" s="35">
        <f>SUM(B159:G159)</f>
        <v/>
      </c>
      <c r="I159" s="49">
        <f>I158*(1+H159)</f>
        <v/>
      </c>
    </row>
    <row r="160">
      <c r="A160" s="48">
        <f>'Index Returns'!A160</f>
        <v/>
      </c>
      <c r="B160" s="34">
        <f>'Index Returns'!B160*'SAA with CME'!C$27</f>
        <v/>
      </c>
      <c r="C160" s="34">
        <f>'Index Returns'!C160*'SAA with CME'!D$27</f>
        <v/>
      </c>
      <c r="D160" s="34">
        <f>'Index Returns'!D160*'SAA with CME'!E$27</f>
        <v/>
      </c>
      <c r="E160" s="34">
        <f>'Index Returns'!E160*'SAA with CME'!F$27</f>
        <v/>
      </c>
      <c r="F160" s="34">
        <f>'Index Returns'!F160*'SAA with CME'!G$27</f>
        <v/>
      </c>
      <c r="G160" s="34">
        <f>'Index Returns'!G160*'SAA with CME'!H$27</f>
        <v/>
      </c>
      <c r="H160" s="35">
        <f>SUM(B160:G160)</f>
        <v/>
      </c>
      <c r="I160" s="49">
        <f>I159*(1+H160)</f>
        <v/>
      </c>
    </row>
    <row r="161">
      <c r="A161" s="48">
        <f>'Index Returns'!A161</f>
        <v/>
      </c>
      <c r="B161" s="34">
        <f>'Index Returns'!B161*'SAA with CME'!C$27</f>
        <v/>
      </c>
      <c r="C161" s="34">
        <f>'Index Returns'!C161*'SAA with CME'!D$27</f>
        <v/>
      </c>
      <c r="D161" s="34">
        <f>'Index Returns'!D161*'SAA with CME'!E$27</f>
        <v/>
      </c>
      <c r="E161" s="34">
        <f>'Index Returns'!E161*'SAA with CME'!F$27</f>
        <v/>
      </c>
      <c r="F161" s="34">
        <f>'Index Returns'!F161*'SAA with CME'!G$27</f>
        <v/>
      </c>
      <c r="G161" s="34">
        <f>'Index Returns'!G161*'SAA with CME'!H$27</f>
        <v/>
      </c>
      <c r="H161" s="35">
        <f>SUM(B161:G161)</f>
        <v/>
      </c>
      <c r="I161" s="49">
        <f>I160*(1+H161)</f>
        <v/>
      </c>
    </row>
    <row r="162">
      <c r="A162" s="48">
        <f>'Index Returns'!A162</f>
        <v/>
      </c>
      <c r="B162" s="34">
        <f>'Index Returns'!B162*'SAA with CME'!C$27</f>
        <v/>
      </c>
      <c r="C162" s="34">
        <f>'Index Returns'!C162*'SAA with CME'!D$27</f>
        <v/>
      </c>
      <c r="D162" s="34">
        <f>'Index Returns'!D162*'SAA with CME'!E$27</f>
        <v/>
      </c>
      <c r="E162" s="34">
        <f>'Index Returns'!E162*'SAA with CME'!F$27</f>
        <v/>
      </c>
      <c r="F162" s="34">
        <f>'Index Returns'!F162*'SAA with CME'!G$27</f>
        <v/>
      </c>
      <c r="G162" s="34">
        <f>'Index Returns'!G162*'SAA with CME'!H$27</f>
        <v/>
      </c>
      <c r="H162" s="35">
        <f>SUM(B162:G162)</f>
        <v/>
      </c>
      <c r="I162" s="49">
        <f>I161*(1+H162)</f>
        <v/>
      </c>
    </row>
    <row r="163">
      <c r="A163" s="48">
        <f>'Index Returns'!A163</f>
        <v/>
      </c>
      <c r="B163" s="34">
        <f>'Index Returns'!B163*'SAA with CME'!C$27</f>
        <v/>
      </c>
      <c r="C163" s="34">
        <f>'Index Returns'!C163*'SAA with CME'!D$27</f>
        <v/>
      </c>
      <c r="D163" s="34">
        <f>'Index Returns'!D163*'SAA with CME'!E$27</f>
        <v/>
      </c>
      <c r="E163" s="34">
        <f>'Index Returns'!E163*'SAA with CME'!F$27</f>
        <v/>
      </c>
      <c r="F163" s="34">
        <f>'Index Returns'!F163*'SAA with CME'!G$27</f>
        <v/>
      </c>
      <c r="G163" s="34">
        <f>'Index Returns'!G163*'SAA with CME'!H$27</f>
        <v/>
      </c>
      <c r="H163" s="35">
        <f>SUM(B163:G163)</f>
        <v/>
      </c>
      <c r="I163" s="49">
        <f>I162*(1+H163)</f>
        <v/>
      </c>
    </row>
    <row r="164">
      <c r="A164" s="48">
        <f>'Index Returns'!A164</f>
        <v/>
      </c>
      <c r="B164" s="34">
        <f>'Index Returns'!B164*'SAA with CME'!C$27</f>
        <v/>
      </c>
      <c r="C164" s="34">
        <f>'Index Returns'!C164*'SAA with CME'!D$27</f>
        <v/>
      </c>
      <c r="D164" s="34">
        <f>'Index Returns'!D164*'SAA with CME'!E$27</f>
        <v/>
      </c>
      <c r="E164" s="34">
        <f>'Index Returns'!E164*'SAA with CME'!F$27</f>
        <v/>
      </c>
      <c r="F164" s="34">
        <f>'Index Returns'!F164*'SAA with CME'!G$27</f>
        <v/>
      </c>
      <c r="G164" s="34">
        <f>'Index Returns'!G164*'SAA with CME'!H$27</f>
        <v/>
      </c>
      <c r="H164" s="35">
        <f>SUM(B164:G164)</f>
        <v/>
      </c>
      <c r="I164" s="49">
        <f>I163*(1+H164)</f>
        <v/>
      </c>
    </row>
    <row r="165">
      <c r="A165" s="48">
        <f>'Index Returns'!A165</f>
        <v/>
      </c>
      <c r="B165" s="34">
        <f>'Index Returns'!B165*'SAA with CME'!C$27</f>
        <v/>
      </c>
      <c r="C165" s="34">
        <f>'Index Returns'!C165*'SAA with CME'!D$27</f>
        <v/>
      </c>
      <c r="D165" s="34">
        <f>'Index Returns'!D165*'SAA with CME'!E$27</f>
        <v/>
      </c>
      <c r="E165" s="34">
        <f>'Index Returns'!E165*'SAA with CME'!F$27</f>
        <v/>
      </c>
      <c r="F165" s="34">
        <f>'Index Returns'!F165*'SAA with CME'!G$27</f>
        <v/>
      </c>
      <c r="G165" s="34">
        <f>'Index Returns'!G165*'SAA with CME'!H$27</f>
        <v/>
      </c>
      <c r="H165" s="35">
        <f>SUM(B165:G165)</f>
        <v/>
      </c>
      <c r="I165" s="49">
        <f>I164*(1+H165)</f>
        <v/>
      </c>
    </row>
    <row r="166">
      <c r="A166" s="48">
        <f>'Index Returns'!A166</f>
        <v/>
      </c>
      <c r="B166" s="34">
        <f>'Index Returns'!B166*'SAA with CME'!C$27</f>
        <v/>
      </c>
      <c r="C166" s="34">
        <f>'Index Returns'!C166*'SAA with CME'!D$27</f>
        <v/>
      </c>
      <c r="D166" s="34">
        <f>'Index Returns'!D166*'SAA with CME'!E$27</f>
        <v/>
      </c>
      <c r="E166" s="34">
        <f>'Index Returns'!E166*'SAA with CME'!F$27</f>
        <v/>
      </c>
      <c r="F166" s="34">
        <f>'Index Returns'!F166*'SAA with CME'!G$27</f>
        <v/>
      </c>
      <c r="G166" s="34">
        <f>'Index Returns'!G166*'SAA with CME'!H$27</f>
        <v/>
      </c>
      <c r="H166" s="35">
        <f>SUM(B166:G166)</f>
        <v/>
      </c>
      <c r="I166" s="49">
        <f>I165*(1+H166)</f>
        <v/>
      </c>
    </row>
    <row r="167">
      <c r="A167" s="48">
        <f>'Index Returns'!A167</f>
        <v/>
      </c>
      <c r="B167" s="34">
        <f>'Index Returns'!B167*'SAA with CME'!C$27</f>
        <v/>
      </c>
      <c r="C167" s="34">
        <f>'Index Returns'!C167*'SAA with CME'!D$27</f>
        <v/>
      </c>
      <c r="D167" s="34">
        <f>'Index Returns'!D167*'SAA with CME'!E$27</f>
        <v/>
      </c>
      <c r="E167" s="34">
        <f>'Index Returns'!E167*'SAA with CME'!F$27</f>
        <v/>
      </c>
      <c r="F167" s="34">
        <f>'Index Returns'!F167*'SAA with CME'!G$27</f>
        <v/>
      </c>
      <c r="G167" s="34">
        <f>'Index Returns'!G167*'SAA with CME'!H$27</f>
        <v/>
      </c>
      <c r="H167" s="35">
        <f>SUM(B167:G167)</f>
        <v/>
      </c>
      <c r="I167" s="49">
        <f>I166*(1+H167)</f>
        <v/>
      </c>
    </row>
    <row r="168">
      <c r="A168" s="48">
        <f>'Index Returns'!A168</f>
        <v/>
      </c>
      <c r="B168" s="34">
        <f>'Index Returns'!B168*'SAA with CME'!C$27</f>
        <v/>
      </c>
      <c r="C168" s="34">
        <f>'Index Returns'!C168*'SAA with CME'!D$27</f>
        <v/>
      </c>
      <c r="D168" s="34">
        <f>'Index Returns'!D168*'SAA with CME'!E$27</f>
        <v/>
      </c>
      <c r="E168" s="34">
        <f>'Index Returns'!E168*'SAA with CME'!F$27</f>
        <v/>
      </c>
      <c r="F168" s="34">
        <f>'Index Returns'!F168*'SAA with CME'!G$27</f>
        <v/>
      </c>
      <c r="G168" s="34">
        <f>'Index Returns'!G168*'SAA with CME'!H$27</f>
        <v/>
      </c>
      <c r="H168" s="35">
        <f>SUM(B168:G168)</f>
        <v/>
      </c>
      <c r="I168" s="49">
        <f>I167*(1+H168)</f>
        <v/>
      </c>
    </row>
    <row r="169">
      <c r="A169" s="48">
        <f>'Index Returns'!A169</f>
        <v/>
      </c>
      <c r="B169" s="34">
        <f>'Index Returns'!B169*'SAA with CME'!C$27</f>
        <v/>
      </c>
      <c r="C169" s="34">
        <f>'Index Returns'!C169*'SAA with CME'!D$27</f>
        <v/>
      </c>
      <c r="D169" s="34">
        <f>'Index Returns'!D169*'SAA with CME'!E$27</f>
        <v/>
      </c>
      <c r="E169" s="34">
        <f>'Index Returns'!E169*'SAA with CME'!F$27</f>
        <v/>
      </c>
      <c r="F169" s="34">
        <f>'Index Returns'!F169*'SAA with CME'!G$27</f>
        <v/>
      </c>
      <c r="G169" s="34">
        <f>'Index Returns'!G169*'SAA with CME'!H$27</f>
        <v/>
      </c>
      <c r="H169" s="35">
        <f>SUM(B169:G169)</f>
        <v/>
      </c>
      <c r="I169" s="49">
        <f>I168*(1+H169)</f>
        <v/>
      </c>
    </row>
    <row r="170">
      <c r="A170" s="48">
        <f>'Index Returns'!A170</f>
        <v/>
      </c>
      <c r="B170" s="34">
        <f>'Index Returns'!B170*'SAA with CME'!C$27</f>
        <v/>
      </c>
      <c r="C170" s="34">
        <f>'Index Returns'!C170*'SAA with CME'!D$27</f>
        <v/>
      </c>
      <c r="D170" s="34">
        <f>'Index Returns'!D170*'SAA with CME'!E$27</f>
        <v/>
      </c>
      <c r="E170" s="34">
        <f>'Index Returns'!E170*'SAA with CME'!F$27</f>
        <v/>
      </c>
      <c r="F170" s="34">
        <f>'Index Returns'!F170*'SAA with CME'!G$27</f>
        <v/>
      </c>
      <c r="G170" s="34">
        <f>'Index Returns'!G170*'SAA with CME'!H$27</f>
        <v/>
      </c>
      <c r="H170" s="35">
        <f>SUM(B170:G170)</f>
        <v/>
      </c>
      <c r="I170" s="49">
        <f>I169*(1+H170)</f>
        <v/>
      </c>
    </row>
    <row r="171">
      <c r="A171" s="48">
        <f>'Index Returns'!A171</f>
        <v/>
      </c>
      <c r="B171" s="34">
        <f>'Index Returns'!B171*'SAA with CME'!C$27</f>
        <v/>
      </c>
      <c r="C171" s="34">
        <f>'Index Returns'!C171*'SAA with CME'!D$27</f>
        <v/>
      </c>
      <c r="D171" s="34">
        <f>'Index Returns'!D171*'SAA with CME'!E$27</f>
        <v/>
      </c>
      <c r="E171" s="34">
        <f>'Index Returns'!E171*'SAA with CME'!F$27</f>
        <v/>
      </c>
      <c r="F171" s="34">
        <f>'Index Returns'!F171*'SAA with CME'!G$27</f>
        <v/>
      </c>
      <c r="G171" s="34">
        <f>'Index Returns'!G171*'SAA with CME'!H$27</f>
        <v/>
      </c>
      <c r="H171" s="35">
        <f>SUM(B171:G171)</f>
        <v/>
      </c>
      <c r="I171" s="49">
        <f>I170*(1+H171)</f>
        <v/>
      </c>
    </row>
    <row r="172">
      <c r="A172" s="48">
        <f>'Index Returns'!A172</f>
        <v/>
      </c>
      <c r="B172" s="34">
        <f>'Index Returns'!B172*'SAA with CME'!C$27</f>
        <v/>
      </c>
      <c r="C172" s="34">
        <f>'Index Returns'!C172*'SAA with CME'!D$27</f>
        <v/>
      </c>
      <c r="D172" s="34">
        <f>'Index Returns'!D172*'SAA with CME'!E$27</f>
        <v/>
      </c>
      <c r="E172" s="34">
        <f>'Index Returns'!E172*'SAA with CME'!F$27</f>
        <v/>
      </c>
      <c r="F172" s="34">
        <f>'Index Returns'!F172*'SAA with CME'!G$27</f>
        <v/>
      </c>
      <c r="G172" s="34">
        <f>'Index Returns'!G172*'SAA with CME'!H$27</f>
        <v/>
      </c>
      <c r="H172" s="35">
        <f>SUM(B172:G172)</f>
        <v/>
      </c>
      <c r="I172" s="49">
        <f>I171*(1+H172)</f>
        <v/>
      </c>
    </row>
    <row r="173">
      <c r="A173" s="48">
        <f>'Index Returns'!A173</f>
        <v/>
      </c>
      <c r="B173" s="34">
        <f>'Index Returns'!B173*'SAA with CME'!C$27</f>
        <v/>
      </c>
      <c r="C173" s="34">
        <f>'Index Returns'!C173*'SAA with CME'!D$27</f>
        <v/>
      </c>
      <c r="D173" s="34">
        <f>'Index Returns'!D173*'SAA with CME'!E$27</f>
        <v/>
      </c>
      <c r="E173" s="34">
        <f>'Index Returns'!E173*'SAA with CME'!F$27</f>
        <v/>
      </c>
      <c r="F173" s="34">
        <f>'Index Returns'!F173*'SAA with CME'!G$27</f>
        <v/>
      </c>
      <c r="G173" s="34">
        <f>'Index Returns'!G173*'SAA with CME'!H$27</f>
        <v/>
      </c>
      <c r="H173" s="35">
        <f>SUM(B173:G173)</f>
        <v/>
      </c>
      <c r="I173" s="49">
        <f>I172*(1+H173)</f>
        <v/>
      </c>
    </row>
    <row r="174">
      <c r="A174" s="48">
        <f>'Index Returns'!A174</f>
        <v/>
      </c>
      <c r="B174" s="34">
        <f>'Index Returns'!B174*'SAA with CME'!C$27</f>
        <v/>
      </c>
      <c r="C174" s="34">
        <f>'Index Returns'!C174*'SAA with CME'!D$27</f>
        <v/>
      </c>
      <c r="D174" s="34">
        <f>'Index Returns'!D174*'SAA with CME'!E$27</f>
        <v/>
      </c>
      <c r="E174" s="34">
        <f>'Index Returns'!E174*'SAA with CME'!F$27</f>
        <v/>
      </c>
      <c r="F174" s="34">
        <f>'Index Returns'!F174*'SAA with CME'!G$27</f>
        <v/>
      </c>
      <c r="G174" s="34">
        <f>'Index Returns'!G174*'SAA with CME'!H$27</f>
        <v/>
      </c>
      <c r="H174" s="35">
        <f>SUM(B174:G174)</f>
        <v/>
      </c>
      <c r="I174" s="49">
        <f>I173*(1+H174)</f>
        <v/>
      </c>
    </row>
    <row r="175">
      <c r="A175" s="48">
        <f>'Index Returns'!A175</f>
        <v/>
      </c>
      <c r="B175" s="34">
        <f>'Index Returns'!B175*'SAA with CME'!C$27</f>
        <v/>
      </c>
      <c r="C175" s="34">
        <f>'Index Returns'!C175*'SAA with CME'!D$27</f>
        <v/>
      </c>
      <c r="D175" s="34">
        <f>'Index Returns'!D175*'SAA with CME'!E$27</f>
        <v/>
      </c>
      <c r="E175" s="34">
        <f>'Index Returns'!E175*'SAA with CME'!F$27</f>
        <v/>
      </c>
      <c r="F175" s="34">
        <f>'Index Returns'!F175*'SAA with CME'!G$27</f>
        <v/>
      </c>
      <c r="G175" s="34">
        <f>'Index Returns'!G175*'SAA with CME'!H$27</f>
        <v/>
      </c>
      <c r="H175" s="35">
        <f>SUM(B175:G175)</f>
        <v/>
      </c>
      <c r="I175" s="49">
        <f>I174*(1+H175)</f>
        <v/>
      </c>
    </row>
    <row r="176">
      <c r="A176" s="48">
        <f>'Index Returns'!A176</f>
        <v/>
      </c>
      <c r="B176" s="34">
        <f>'Index Returns'!B176*'SAA with CME'!C$27</f>
        <v/>
      </c>
      <c r="C176" s="34">
        <f>'Index Returns'!C176*'SAA with CME'!D$27</f>
        <v/>
      </c>
      <c r="D176" s="34">
        <f>'Index Returns'!D176*'SAA with CME'!E$27</f>
        <v/>
      </c>
      <c r="E176" s="34">
        <f>'Index Returns'!E176*'SAA with CME'!F$27</f>
        <v/>
      </c>
      <c r="F176" s="34">
        <f>'Index Returns'!F176*'SAA with CME'!G$27</f>
        <v/>
      </c>
      <c r="G176" s="34">
        <f>'Index Returns'!G176*'SAA with CME'!H$27</f>
        <v/>
      </c>
      <c r="H176" s="35">
        <f>SUM(B176:G176)</f>
        <v/>
      </c>
      <c r="I176" s="49">
        <f>I175*(1+H176)</f>
        <v/>
      </c>
    </row>
    <row r="177">
      <c r="A177" s="48">
        <f>'Index Returns'!A177</f>
        <v/>
      </c>
      <c r="B177" s="34">
        <f>'Index Returns'!B177*'SAA with CME'!C$27</f>
        <v/>
      </c>
      <c r="C177" s="34">
        <f>'Index Returns'!C177*'SAA with CME'!D$27</f>
        <v/>
      </c>
      <c r="D177" s="34">
        <f>'Index Returns'!D177*'SAA with CME'!E$27</f>
        <v/>
      </c>
      <c r="E177" s="34">
        <f>'Index Returns'!E177*'SAA with CME'!F$27</f>
        <v/>
      </c>
      <c r="F177" s="34">
        <f>'Index Returns'!F177*'SAA with CME'!G$27</f>
        <v/>
      </c>
      <c r="G177" s="34">
        <f>'Index Returns'!G177*'SAA with CME'!H$27</f>
        <v/>
      </c>
      <c r="H177" s="35">
        <f>SUM(B177:G177)</f>
        <v/>
      </c>
      <c r="I177" s="49">
        <f>I176*(1+H177)</f>
        <v/>
      </c>
    </row>
    <row r="178">
      <c r="A178" s="48">
        <f>'Index Returns'!A178</f>
        <v/>
      </c>
      <c r="B178" s="34">
        <f>'Index Returns'!B178*'SAA with CME'!C$27</f>
        <v/>
      </c>
      <c r="C178" s="34">
        <f>'Index Returns'!C178*'SAA with CME'!D$27</f>
        <v/>
      </c>
      <c r="D178" s="34">
        <f>'Index Returns'!D178*'SAA with CME'!E$27</f>
        <v/>
      </c>
      <c r="E178" s="34">
        <f>'Index Returns'!E178*'SAA with CME'!F$27</f>
        <v/>
      </c>
      <c r="F178" s="34">
        <f>'Index Returns'!F178*'SAA with CME'!G$27</f>
        <v/>
      </c>
      <c r="G178" s="34">
        <f>'Index Returns'!G178*'SAA with CME'!H$27</f>
        <v/>
      </c>
      <c r="H178" s="35">
        <f>SUM(B178:G178)</f>
        <v/>
      </c>
      <c r="I178" s="49">
        <f>I177*(1+H178)</f>
        <v/>
      </c>
    </row>
    <row r="179">
      <c r="A179" s="48">
        <f>'Index Returns'!A179</f>
        <v/>
      </c>
      <c r="B179" s="34">
        <f>'Index Returns'!B179*'SAA with CME'!C$27</f>
        <v/>
      </c>
      <c r="C179" s="34">
        <f>'Index Returns'!C179*'SAA with CME'!D$27</f>
        <v/>
      </c>
      <c r="D179" s="34">
        <f>'Index Returns'!D179*'SAA with CME'!E$27</f>
        <v/>
      </c>
      <c r="E179" s="34">
        <f>'Index Returns'!E179*'SAA with CME'!F$27</f>
        <v/>
      </c>
      <c r="F179" s="34">
        <f>'Index Returns'!F179*'SAA with CME'!G$27</f>
        <v/>
      </c>
      <c r="G179" s="34">
        <f>'Index Returns'!G179*'SAA with CME'!H$27</f>
        <v/>
      </c>
      <c r="H179" s="35">
        <f>SUM(B179:G179)</f>
        <v/>
      </c>
      <c r="I179" s="49">
        <f>I178*(1+H179)</f>
        <v/>
      </c>
    </row>
    <row r="180">
      <c r="A180" s="48">
        <f>'Index Returns'!A180</f>
        <v/>
      </c>
      <c r="B180" s="34">
        <f>'Index Returns'!B180*'SAA with CME'!C$27</f>
        <v/>
      </c>
      <c r="C180" s="34">
        <f>'Index Returns'!C180*'SAA with CME'!D$27</f>
        <v/>
      </c>
      <c r="D180" s="34">
        <f>'Index Returns'!D180*'SAA with CME'!E$27</f>
        <v/>
      </c>
      <c r="E180" s="34">
        <f>'Index Returns'!E180*'SAA with CME'!F$27</f>
        <v/>
      </c>
      <c r="F180" s="34">
        <f>'Index Returns'!F180*'SAA with CME'!G$27</f>
        <v/>
      </c>
      <c r="G180" s="34">
        <f>'Index Returns'!G180*'SAA with CME'!H$27</f>
        <v/>
      </c>
      <c r="H180" s="35">
        <f>SUM(B180:G180)</f>
        <v/>
      </c>
      <c r="I180" s="49">
        <f>I179*(1+H180)</f>
        <v/>
      </c>
    </row>
    <row r="181">
      <c r="A181" s="48">
        <f>'Index Returns'!A181</f>
        <v/>
      </c>
      <c r="B181" s="34">
        <f>'Index Returns'!B181*'SAA with CME'!C$27</f>
        <v/>
      </c>
      <c r="C181" s="34">
        <f>'Index Returns'!C181*'SAA with CME'!D$27</f>
        <v/>
      </c>
      <c r="D181" s="34">
        <f>'Index Returns'!D181*'SAA with CME'!E$27</f>
        <v/>
      </c>
      <c r="E181" s="34">
        <f>'Index Returns'!E181*'SAA with CME'!F$27</f>
        <v/>
      </c>
      <c r="F181" s="34">
        <f>'Index Returns'!F181*'SAA with CME'!G$27</f>
        <v/>
      </c>
      <c r="G181" s="34">
        <f>'Index Returns'!G181*'SAA with CME'!H$27</f>
        <v/>
      </c>
      <c r="H181" s="35">
        <f>SUM(B181:G181)</f>
        <v/>
      </c>
      <c r="I181" s="49">
        <f>I180*(1+H181)</f>
        <v/>
      </c>
    </row>
    <row r="182">
      <c r="A182" s="48">
        <f>'Index Returns'!A182</f>
        <v/>
      </c>
      <c r="B182" s="34">
        <f>'Index Returns'!B182*'SAA with CME'!C$27</f>
        <v/>
      </c>
      <c r="C182" s="34">
        <f>'Index Returns'!C182*'SAA with CME'!D$27</f>
        <v/>
      </c>
      <c r="D182" s="34">
        <f>'Index Returns'!D182*'SAA with CME'!E$27</f>
        <v/>
      </c>
      <c r="E182" s="34">
        <f>'Index Returns'!E182*'SAA with CME'!F$27</f>
        <v/>
      </c>
      <c r="F182" s="34">
        <f>'Index Returns'!F182*'SAA with CME'!G$27</f>
        <v/>
      </c>
      <c r="G182" s="34">
        <f>'Index Returns'!G182*'SAA with CME'!H$27</f>
        <v/>
      </c>
      <c r="H182" s="35">
        <f>SUM(B182:G182)</f>
        <v/>
      </c>
      <c r="I182" s="49">
        <f>I181*(1+H182)</f>
        <v/>
      </c>
    </row>
    <row r="183">
      <c r="A183" s="48">
        <f>'Index Returns'!A183</f>
        <v/>
      </c>
      <c r="B183" s="34">
        <f>'Index Returns'!B183*'SAA with CME'!C$27</f>
        <v/>
      </c>
      <c r="C183" s="34">
        <f>'Index Returns'!C183*'SAA with CME'!D$27</f>
        <v/>
      </c>
      <c r="D183" s="34">
        <f>'Index Returns'!D183*'SAA with CME'!E$27</f>
        <v/>
      </c>
      <c r="E183" s="34">
        <f>'Index Returns'!E183*'SAA with CME'!F$27</f>
        <v/>
      </c>
      <c r="F183" s="34">
        <f>'Index Returns'!F183*'SAA with CME'!G$27</f>
        <v/>
      </c>
      <c r="G183" s="34">
        <f>'Index Returns'!G183*'SAA with CME'!H$27</f>
        <v/>
      </c>
      <c r="H183" s="35">
        <f>SUM(B183:G183)</f>
        <v/>
      </c>
      <c r="I183" s="49">
        <f>I182*(1+H183)</f>
        <v/>
      </c>
    </row>
    <row r="184">
      <c r="A184" s="48">
        <f>'Index Returns'!A184</f>
        <v/>
      </c>
      <c r="B184" s="34">
        <f>'Index Returns'!B184*'SAA with CME'!C$27</f>
        <v/>
      </c>
      <c r="C184" s="34">
        <f>'Index Returns'!C184*'SAA with CME'!D$27</f>
        <v/>
      </c>
      <c r="D184" s="34">
        <f>'Index Returns'!D184*'SAA with CME'!E$27</f>
        <v/>
      </c>
      <c r="E184" s="34">
        <f>'Index Returns'!E184*'SAA with CME'!F$27</f>
        <v/>
      </c>
      <c r="F184" s="34">
        <f>'Index Returns'!F184*'SAA with CME'!G$27</f>
        <v/>
      </c>
      <c r="G184" s="34">
        <f>'Index Returns'!G184*'SAA with CME'!H$27</f>
        <v/>
      </c>
      <c r="H184" s="35">
        <f>SUM(B184:G184)</f>
        <v/>
      </c>
      <c r="I184" s="49">
        <f>I183*(1+H184)</f>
        <v/>
      </c>
    </row>
    <row r="185">
      <c r="A185" s="48">
        <f>'Index Returns'!A185</f>
        <v/>
      </c>
      <c r="B185" s="34">
        <f>'Index Returns'!B185*'SAA with CME'!C$27</f>
        <v/>
      </c>
      <c r="C185" s="34">
        <f>'Index Returns'!C185*'SAA with CME'!D$27</f>
        <v/>
      </c>
      <c r="D185" s="34">
        <f>'Index Returns'!D185*'SAA with CME'!E$27</f>
        <v/>
      </c>
      <c r="E185" s="34">
        <f>'Index Returns'!E185*'SAA with CME'!F$27</f>
        <v/>
      </c>
      <c r="F185" s="34">
        <f>'Index Returns'!F185*'SAA with CME'!G$27</f>
        <v/>
      </c>
      <c r="G185" s="34">
        <f>'Index Returns'!G185*'SAA with CME'!H$27</f>
        <v/>
      </c>
      <c r="H185" s="35">
        <f>SUM(B185:G185)</f>
        <v/>
      </c>
      <c r="I185" s="49">
        <f>I184*(1+H185)</f>
        <v/>
      </c>
    </row>
    <row r="186">
      <c r="A186" s="48">
        <f>'Index Returns'!A186</f>
        <v/>
      </c>
      <c r="B186" s="34">
        <f>'Index Returns'!B186*'SAA with CME'!C$27</f>
        <v/>
      </c>
      <c r="C186" s="34">
        <f>'Index Returns'!C186*'SAA with CME'!D$27</f>
        <v/>
      </c>
      <c r="D186" s="34">
        <f>'Index Returns'!D186*'SAA with CME'!E$27</f>
        <v/>
      </c>
      <c r="E186" s="34">
        <f>'Index Returns'!E186*'SAA with CME'!F$27</f>
        <v/>
      </c>
      <c r="F186" s="34">
        <f>'Index Returns'!F186*'SAA with CME'!G$27</f>
        <v/>
      </c>
      <c r="G186" s="34">
        <f>'Index Returns'!G186*'SAA with CME'!H$27</f>
        <v/>
      </c>
      <c r="H186" s="35">
        <f>SUM(B186:G186)</f>
        <v/>
      </c>
      <c r="I186" s="49">
        <f>I185*(1+H186)</f>
        <v/>
      </c>
    </row>
    <row r="187">
      <c r="A187" s="48">
        <f>'Index Returns'!A187</f>
        <v/>
      </c>
      <c r="B187" s="34">
        <f>'Index Returns'!B187*'SAA with CME'!C$27</f>
        <v/>
      </c>
      <c r="C187" s="34">
        <f>'Index Returns'!C187*'SAA with CME'!D$27</f>
        <v/>
      </c>
      <c r="D187" s="34">
        <f>'Index Returns'!D187*'SAA with CME'!E$27</f>
        <v/>
      </c>
      <c r="E187" s="34">
        <f>'Index Returns'!E187*'SAA with CME'!F$27</f>
        <v/>
      </c>
      <c r="F187" s="34">
        <f>'Index Returns'!F187*'SAA with CME'!G$27</f>
        <v/>
      </c>
      <c r="G187" s="34">
        <f>'Index Returns'!G187*'SAA with CME'!H$27</f>
        <v/>
      </c>
      <c r="H187" s="35">
        <f>SUM(B187:G187)</f>
        <v/>
      </c>
      <c r="I187" s="49">
        <f>I186*(1+H187)</f>
        <v/>
      </c>
    </row>
    <row r="188">
      <c r="A188" s="48">
        <f>'Index Returns'!A188</f>
        <v/>
      </c>
      <c r="B188" s="34">
        <f>'Index Returns'!B188*'SAA with CME'!C$27</f>
        <v/>
      </c>
      <c r="C188" s="34">
        <f>'Index Returns'!C188*'SAA with CME'!D$27</f>
        <v/>
      </c>
      <c r="D188" s="34">
        <f>'Index Returns'!D188*'SAA with CME'!E$27</f>
        <v/>
      </c>
      <c r="E188" s="34">
        <f>'Index Returns'!E188*'SAA with CME'!F$27</f>
        <v/>
      </c>
      <c r="F188" s="34">
        <f>'Index Returns'!F188*'SAA with CME'!G$27</f>
        <v/>
      </c>
      <c r="G188" s="34">
        <f>'Index Returns'!G188*'SAA with CME'!H$27</f>
        <v/>
      </c>
      <c r="H188" s="35">
        <f>SUM(B188:G188)</f>
        <v/>
      </c>
      <c r="I188" s="49">
        <f>I187*(1+H188)</f>
        <v/>
      </c>
    </row>
    <row r="189">
      <c r="A189" s="48">
        <f>'Index Returns'!A189</f>
        <v/>
      </c>
      <c r="B189" s="34">
        <f>'Index Returns'!B189*'SAA with CME'!C$27</f>
        <v/>
      </c>
      <c r="C189" s="34">
        <f>'Index Returns'!C189*'SAA with CME'!D$27</f>
        <v/>
      </c>
      <c r="D189" s="34">
        <f>'Index Returns'!D189*'SAA with CME'!E$27</f>
        <v/>
      </c>
      <c r="E189" s="34">
        <f>'Index Returns'!E189*'SAA with CME'!F$27</f>
        <v/>
      </c>
      <c r="F189" s="34">
        <f>'Index Returns'!F189*'SAA with CME'!G$27</f>
        <v/>
      </c>
      <c r="G189" s="34">
        <f>'Index Returns'!G189*'SAA with CME'!H$27</f>
        <v/>
      </c>
      <c r="H189" s="35">
        <f>SUM(B189:G189)</f>
        <v/>
      </c>
      <c r="I189" s="49">
        <f>I188*(1+H189)</f>
        <v/>
      </c>
    </row>
    <row r="190">
      <c r="A190" s="48">
        <f>'Index Returns'!A190</f>
        <v/>
      </c>
      <c r="B190" s="34">
        <f>'Index Returns'!B190*'SAA with CME'!C$27</f>
        <v/>
      </c>
      <c r="C190" s="34">
        <f>'Index Returns'!C190*'SAA with CME'!D$27</f>
        <v/>
      </c>
      <c r="D190" s="34">
        <f>'Index Returns'!D190*'SAA with CME'!E$27</f>
        <v/>
      </c>
      <c r="E190" s="34">
        <f>'Index Returns'!E190*'SAA with CME'!F$27</f>
        <v/>
      </c>
      <c r="F190" s="34">
        <f>'Index Returns'!F190*'SAA with CME'!G$27</f>
        <v/>
      </c>
      <c r="G190" s="34">
        <f>'Index Returns'!G190*'SAA with CME'!H$27</f>
        <v/>
      </c>
      <c r="H190" s="35">
        <f>SUM(B190:G190)</f>
        <v/>
      </c>
      <c r="I190" s="49">
        <f>I189*(1+H190)</f>
        <v/>
      </c>
    </row>
    <row r="191">
      <c r="A191" s="48">
        <f>'Index Returns'!A191</f>
        <v/>
      </c>
      <c r="B191" s="34">
        <f>'Index Returns'!B191*'SAA with CME'!C$27</f>
        <v/>
      </c>
      <c r="C191" s="34">
        <f>'Index Returns'!C191*'SAA with CME'!D$27</f>
        <v/>
      </c>
      <c r="D191" s="34">
        <f>'Index Returns'!D191*'SAA with CME'!E$27</f>
        <v/>
      </c>
      <c r="E191" s="34">
        <f>'Index Returns'!E191*'SAA with CME'!F$27</f>
        <v/>
      </c>
      <c r="F191" s="34">
        <f>'Index Returns'!F191*'SAA with CME'!G$27</f>
        <v/>
      </c>
      <c r="G191" s="34">
        <f>'Index Returns'!G191*'SAA with CME'!H$27</f>
        <v/>
      </c>
      <c r="H191" s="35">
        <f>SUM(B191:G191)</f>
        <v/>
      </c>
      <c r="I191" s="49">
        <f>I190*(1+H191)</f>
        <v/>
      </c>
    </row>
    <row r="192">
      <c r="A192" s="48">
        <f>'Index Returns'!A192</f>
        <v/>
      </c>
      <c r="B192" s="34">
        <f>'Index Returns'!B192*'SAA with CME'!C$27</f>
        <v/>
      </c>
      <c r="C192" s="34">
        <f>'Index Returns'!C192*'SAA with CME'!D$27</f>
        <v/>
      </c>
      <c r="D192" s="34">
        <f>'Index Returns'!D192*'SAA with CME'!E$27</f>
        <v/>
      </c>
      <c r="E192" s="34">
        <f>'Index Returns'!E192*'SAA with CME'!F$27</f>
        <v/>
      </c>
      <c r="F192" s="34">
        <f>'Index Returns'!F192*'SAA with CME'!G$27</f>
        <v/>
      </c>
      <c r="G192" s="34">
        <f>'Index Returns'!G192*'SAA with CME'!H$27</f>
        <v/>
      </c>
      <c r="H192" s="35">
        <f>SUM(B192:G192)</f>
        <v/>
      </c>
      <c r="I192" s="49">
        <f>I191*(1+H192)</f>
        <v/>
      </c>
    </row>
    <row r="193">
      <c r="A193" s="48">
        <f>'Index Returns'!A193</f>
        <v/>
      </c>
      <c r="B193" s="34">
        <f>'Index Returns'!B193*'SAA with CME'!C$27</f>
        <v/>
      </c>
      <c r="C193" s="34">
        <f>'Index Returns'!C193*'SAA with CME'!D$27</f>
        <v/>
      </c>
      <c r="D193" s="34">
        <f>'Index Returns'!D193*'SAA with CME'!E$27</f>
        <v/>
      </c>
      <c r="E193" s="34">
        <f>'Index Returns'!E193*'SAA with CME'!F$27</f>
        <v/>
      </c>
      <c r="F193" s="34">
        <f>'Index Returns'!F193*'SAA with CME'!G$27</f>
        <v/>
      </c>
      <c r="G193" s="34">
        <f>'Index Returns'!G193*'SAA with CME'!H$27</f>
        <v/>
      </c>
      <c r="H193" s="35">
        <f>SUM(B193:G193)</f>
        <v/>
      </c>
      <c r="I193" s="49">
        <f>I192*(1+H193)</f>
        <v/>
      </c>
    </row>
    <row r="194">
      <c r="A194" s="48">
        <f>'Index Returns'!A194</f>
        <v/>
      </c>
      <c r="B194" s="34">
        <f>'Index Returns'!B194*'SAA with CME'!C$27</f>
        <v/>
      </c>
      <c r="C194" s="34">
        <f>'Index Returns'!C194*'SAA with CME'!D$27</f>
        <v/>
      </c>
      <c r="D194" s="34">
        <f>'Index Returns'!D194*'SAA with CME'!E$27</f>
        <v/>
      </c>
      <c r="E194" s="34">
        <f>'Index Returns'!E194*'SAA with CME'!F$27</f>
        <v/>
      </c>
      <c r="F194" s="34">
        <f>'Index Returns'!F194*'SAA with CME'!G$27</f>
        <v/>
      </c>
      <c r="G194" s="34">
        <f>'Index Returns'!G194*'SAA with CME'!H$27</f>
        <v/>
      </c>
      <c r="H194" s="35">
        <f>SUM(B194:G194)</f>
        <v/>
      </c>
      <c r="I194" s="49">
        <f>I193*(1+H194)</f>
        <v/>
      </c>
    </row>
    <row r="195">
      <c r="A195" s="48">
        <f>'Index Returns'!A195</f>
        <v/>
      </c>
      <c r="B195" s="34">
        <f>'Index Returns'!B195*'SAA with CME'!C$27</f>
        <v/>
      </c>
      <c r="C195" s="34">
        <f>'Index Returns'!C195*'SAA with CME'!D$27</f>
        <v/>
      </c>
      <c r="D195" s="34">
        <f>'Index Returns'!D195*'SAA with CME'!E$27</f>
        <v/>
      </c>
      <c r="E195" s="34">
        <f>'Index Returns'!E195*'SAA with CME'!F$27</f>
        <v/>
      </c>
      <c r="F195" s="34">
        <f>'Index Returns'!F195*'SAA with CME'!G$27</f>
        <v/>
      </c>
      <c r="G195" s="34">
        <f>'Index Returns'!G195*'SAA with CME'!H$27</f>
        <v/>
      </c>
      <c r="H195" s="35">
        <f>SUM(B195:G195)</f>
        <v/>
      </c>
      <c r="I195" s="49">
        <f>I194*(1+H195)</f>
        <v/>
      </c>
    </row>
    <row r="196">
      <c r="A196" s="48">
        <f>'Index Returns'!A196</f>
        <v/>
      </c>
      <c r="B196" s="34">
        <f>'Index Returns'!B196*'SAA with CME'!C$27</f>
        <v/>
      </c>
      <c r="C196" s="34">
        <f>'Index Returns'!C196*'SAA with CME'!D$27</f>
        <v/>
      </c>
      <c r="D196" s="34">
        <f>'Index Returns'!D196*'SAA with CME'!E$27</f>
        <v/>
      </c>
      <c r="E196" s="34">
        <f>'Index Returns'!E196*'SAA with CME'!F$27</f>
        <v/>
      </c>
      <c r="F196" s="34">
        <f>'Index Returns'!F196*'SAA with CME'!G$27</f>
        <v/>
      </c>
      <c r="G196" s="34">
        <f>'Index Returns'!G196*'SAA with CME'!H$27</f>
        <v/>
      </c>
      <c r="H196" s="35">
        <f>SUM(B196:G196)</f>
        <v/>
      </c>
      <c r="I196" s="49">
        <f>I195*(1+H196)</f>
        <v/>
      </c>
    </row>
    <row r="197">
      <c r="A197" s="48">
        <f>'Index Returns'!A197</f>
        <v/>
      </c>
      <c r="B197" s="34">
        <f>'Index Returns'!B197*'SAA with CME'!C$27</f>
        <v/>
      </c>
      <c r="C197" s="34">
        <f>'Index Returns'!C197*'SAA with CME'!D$27</f>
        <v/>
      </c>
      <c r="D197" s="34">
        <f>'Index Returns'!D197*'SAA with CME'!E$27</f>
        <v/>
      </c>
      <c r="E197" s="34">
        <f>'Index Returns'!E197*'SAA with CME'!F$27</f>
        <v/>
      </c>
      <c r="F197" s="34">
        <f>'Index Returns'!F197*'SAA with CME'!G$27</f>
        <v/>
      </c>
      <c r="G197" s="34">
        <f>'Index Returns'!G197*'SAA with CME'!H$27</f>
        <v/>
      </c>
      <c r="H197" s="35">
        <f>SUM(B197:G197)</f>
        <v/>
      </c>
      <c r="I197" s="49">
        <f>I196*(1+H197)</f>
        <v/>
      </c>
    </row>
    <row r="198">
      <c r="A198" s="48">
        <f>'Index Returns'!A198</f>
        <v/>
      </c>
      <c r="B198" s="34">
        <f>'Index Returns'!B198*'SAA with CME'!C$27</f>
        <v/>
      </c>
      <c r="C198" s="34">
        <f>'Index Returns'!C198*'SAA with CME'!D$27</f>
        <v/>
      </c>
      <c r="D198" s="34">
        <f>'Index Returns'!D198*'SAA with CME'!E$27</f>
        <v/>
      </c>
      <c r="E198" s="34">
        <f>'Index Returns'!E198*'SAA with CME'!F$27</f>
        <v/>
      </c>
      <c r="F198" s="34">
        <f>'Index Returns'!F198*'SAA with CME'!G$27</f>
        <v/>
      </c>
      <c r="G198" s="34">
        <f>'Index Returns'!G198*'SAA with CME'!H$27</f>
        <v/>
      </c>
      <c r="H198" s="35">
        <f>SUM(B198:G198)</f>
        <v/>
      </c>
      <c r="I198" s="49">
        <f>I197*(1+H198)</f>
        <v/>
      </c>
    </row>
    <row r="199">
      <c r="A199" s="48">
        <f>'Index Returns'!A199</f>
        <v/>
      </c>
      <c r="B199" s="34">
        <f>'Index Returns'!B199*'SAA with CME'!C$27</f>
        <v/>
      </c>
      <c r="C199" s="34">
        <f>'Index Returns'!C199*'SAA with CME'!D$27</f>
        <v/>
      </c>
      <c r="D199" s="34">
        <f>'Index Returns'!D199*'SAA with CME'!E$27</f>
        <v/>
      </c>
      <c r="E199" s="34">
        <f>'Index Returns'!E199*'SAA with CME'!F$27</f>
        <v/>
      </c>
      <c r="F199" s="34">
        <f>'Index Returns'!F199*'SAA with CME'!G$27</f>
        <v/>
      </c>
      <c r="G199" s="34">
        <f>'Index Returns'!G199*'SAA with CME'!H$27</f>
        <v/>
      </c>
      <c r="H199" s="35">
        <f>SUM(B199:G199)</f>
        <v/>
      </c>
      <c r="I199" s="49">
        <f>I198*(1+H199)</f>
        <v/>
      </c>
    </row>
    <row r="200">
      <c r="A200" s="48">
        <f>'Index Returns'!A200</f>
        <v/>
      </c>
      <c r="B200" s="34">
        <f>'Index Returns'!B200*'SAA with CME'!C$27</f>
        <v/>
      </c>
      <c r="C200" s="34">
        <f>'Index Returns'!C200*'SAA with CME'!D$27</f>
        <v/>
      </c>
      <c r="D200" s="34">
        <f>'Index Returns'!D200*'SAA with CME'!E$27</f>
        <v/>
      </c>
      <c r="E200" s="34">
        <f>'Index Returns'!E200*'SAA with CME'!F$27</f>
        <v/>
      </c>
      <c r="F200" s="34">
        <f>'Index Returns'!F200*'SAA with CME'!G$27</f>
        <v/>
      </c>
      <c r="G200" s="34">
        <f>'Index Returns'!G200*'SAA with CME'!H$27</f>
        <v/>
      </c>
      <c r="H200" s="35">
        <f>SUM(B200:G200)</f>
        <v/>
      </c>
      <c r="I200" s="49">
        <f>I199*(1+H200)</f>
        <v/>
      </c>
    </row>
    <row r="201">
      <c r="A201" s="48">
        <f>'Index Returns'!A201</f>
        <v/>
      </c>
      <c r="B201" s="34">
        <f>'Index Returns'!B201*'SAA with CME'!C$27</f>
        <v/>
      </c>
      <c r="C201" s="34">
        <f>'Index Returns'!C201*'SAA with CME'!D$27</f>
        <v/>
      </c>
      <c r="D201" s="34">
        <f>'Index Returns'!D201*'SAA with CME'!E$27</f>
        <v/>
      </c>
      <c r="E201" s="34">
        <f>'Index Returns'!E201*'SAA with CME'!F$27</f>
        <v/>
      </c>
      <c r="F201" s="34">
        <f>'Index Returns'!F201*'SAA with CME'!G$27</f>
        <v/>
      </c>
      <c r="G201" s="34">
        <f>'Index Returns'!G201*'SAA with CME'!H$27</f>
        <v/>
      </c>
      <c r="H201" s="35">
        <f>SUM(B201:G201)</f>
        <v/>
      </c>
      <c r="I201" s="49">
        <f>I200*(1+H201)</f>
        <v/>
      </c>
    </row>
    <row r="202">
      <c r="A202" s="48">
        <f>'Index Returns'!A202</f>
        <v/>
      </c>
      <c r="B202" s="34">
        <f>'Index Returns'!B202*'SAA with CME'!C$27</f>
        <v/>
      </c>
      <c r="C202" s="34">
        <f>'Index Returns'!C202*'SAA with CME'!D$27</f>
        <v/>
      </c>
      <c r="D202" s="34">
        <f>'Index Returns'!D202*'SAA with CME'!E$27</f>
        <v/>
      </c>
      <c r="E202" s="34">
        <f>'Index Returns'!E202*'SAA with CME'!F$27</f>
        <v/>
      </c>
      <c r="F202" s="34">
        <f>'Index Returns'!F202*'SAA with CME'!G$27</f>
        <v/>
      </c>
      <c r="G202" s="34">
        <f>'Index Returns'!G202*'SAA with CME'!H$27</f>
        <v/>
      </c>
      <c r="H202" s="35">
        <f>SUM(B202:G202)</f>
        <v/>
      </c>
      <c r="I202" s="49">
        <f>I201*(1+H202)</f>
        <v/>
      </c>
    </row>
    <row r="203">
      <c r="A203" s="48">
        <f>'Index Returns'!A203</f>
        <v/>
      </c>
      <c r="B203" s="34">
        <f>'Index Returns'!B203*'SAA with CME'!C$27</f>
        <v/>
      </c>
      <c r="C203" s="34">
        <f>'Index Returns'!C203*'SAA with CME'!D$27</f>
        <v/>
      </c>
      <c r="D203" s="34">
        <f>'Index Returns'!D203*'SAA with CME'!E$27</f>
        <v/>
      </c>
      <c r="E203" s="34">
        <f>'Index Returns'!E203*'SAA with CME'!F$27</f>
        <v/>
      </c>
      <c r="F203" s="34">
        <f>'Index Returns'!F203*'SAA with CME'!G$27</f>
        <v/>
      </c>
      <c r="G203" s="34">
        <f>'Index Returns'!G203*'SAA with CME'!H$27</f>
        <v/>
      </c>
      <c r="H203" s="35">
        <f>SUM(B203:G203)</f>
        <v/>
      </c>
      <c r="I203" s="49">
        <f>I202*(1+H203)</f>
        <v/>
      </c>
    </row>
    <row r="204">
      <c r="A204" s="48">
        <f>'Index Returns'!A204</f>
        <v/>
      </c>
      <c r="B204" s="34">
        <f>'Index Returns'!B204*'SAA with CME'!C$27</f>
        <v/>
      </c>
      <c r="C204" s="34">
        <f>'Index Returns'!C204*'SAA with CME'!D$27</f>
        <v/>
      </c>
      <c r="D204" s="34">
        <f>'Index Returns'!D204*'SAA with CME'!E$27</f>
        <v/>
      </c>
      <c r="E204" s="34">
        <f>'Index Returns'!E204*'SAA with CME'!F$27</f>
        <v/>
      </c>
      <c r="F204" s="34">
        <f>'Index Returns'!F204*'SAA with CME'!G$27</f>
        <v/>
      </c>
      <c r="G204" s="34">
        <f>'Index Returns'!G204*'SAA with CME'!H$27</f>
        <v/>
      </c>
      <c r="H204" s="35">
        <f>SUM(B204:G204)</f>
        <v/>
      </c>
      <c r="I204" s="49">
        <f>I203*(1+H204)</f>
        <v/>
      </c>
    </row>
    <row r="205">
      <c r="A205" s="48">
        <f>'Index Returns'!A205</f>
        <v/>
      </c>
      <c r="B205" s="34">
        <f>'Index Returns'!B205*'SAA with CME'!C$27</f>
        <v/>
      </c>
      <c r="C205" s="34">
        <f>'Index Returns'!C205*'SAA with CME'!D$27</f>
        <v/>
      </c>
      <c r="D205" s="34">
        <f>'Index Returns'!D205*'SAA with CME'!E$27</f>
        <v/>
      </c>
      <c r="E205" s="34">
        <f>'Index Returns'!E205*'SAA with CME'!F$27</f>
        <v/>
      </c>
      <c r="F205" s="34">
        <f>'Index Returns'!F205*'SAA with CME'!G$27</f>
        <v/>
      </c>
      <c r="G205" s="34">
        <f>'Index Returns'!G205*'SAA with CME'!H$27</f>
        <v/>
      </c>
      <c r="H205" s="35">
        <f>SUM(B205:G205)</f>
        <v/>
      </c>
      <c r="I205" s="49">
        <f>I204*(1+H205)</f>
        <v/>
      </c>
    </row>
    <row r="206">
      <c r="A206" s="48">
        <f>'Index Returns'!A206</f>
        <v/>
      </c>
      <c r="B206" s="34">
        <f>'Index Returns'!B206*'SAA with CME'!C$27</f>
        <v/>
      </c>
      <c r="C206" s="34">
        <f>'Index Returns'!C206*'SAA with CME'!D$27</f>
        <v/>
      </c>
      <c r="D206" s="34">
        <f>'Index Returns'!D206*'SAA with CME'!E$27</f>
        <v/>
      </c>
      <c r="E206" s="34">
        <f>'Index Returns'!E206*'SAA with CME'!F$27</f>
        <v/>
      </c>
      <c r="F206" s="34">
        <f>'Index Returns'!F206*'SAA with CME'!G$27</f>
        <v/>
      </c>
      <c r="G206" s="34">
        <f>'Index Returns'!G206*'SAA with CME'!H$27</f>
        <v/>
      </c>
      <c r="H206" s="35">
        <f>SUM(B206:G206)</f>
        <v/>
      </c>
      <c r="I206" s="49">
        <f>I205*(1+H206)</f>
        <v/>
      </c>
    </row>
    <row r="207">
      <c r="A207" s="48">
        <f>'Index Returns'!A207</f>
        <v/>
      </c>
      <c r="B207" s="34">
        <f>'Index Returns'!B207*'SAA with CME'!C$27</f>
        <v/>
      </c>
      <c r="C207" s="34">
        <f>'Index Returns'!C207*'SAA with CME'!D$27</f>
        <v/>
      </c>
      <c r="D207" s="34">
        <f>'Index Returns'!D207*'SAA with CME'!E$27</f>
        <v/>
      </c>
      <c r="E207" s="34">
        <f>'Index Returns'!E207*'SAA with CME'!F$27</f>
        <v/>
      </c>
      <c r="F207" s="34">
        <f>'Index Returns'!F207*'SAA with CME'!G$27</f>
        <v/>
      </c>
      <c r="G207" s="34">
        <f>'Index Returns'!G207*'SAA with CME'!H$27</f>
        <v/>
      </c>
      <c r="H207" s="35">
        <f>SUM(B207:G207)</f>
        <v/>
      </c>
      <c r="I207" s="49">
        <f>I206*(1+H207)</f>
        <v/>
      </c>
    </row>
    <row r="208">
      <c r="A208" s="48">
        <f>'Index Returns'!A208</f>
        <v/>
      </c>
      <c r="B208" s="34">
        <f>'Index Returns'!B208*'SAA with CME'!C$27</f>
        <v/>
      </c>
      <c r="C208" s="34">
        <f>'Index Returns'!C208*'SAA with CME'!D$27</f>
        <v/>
      </c>
      <c r="D208" s="34">
        <f>'Index Returns'!D208*'SAA with CME'!E$27</f>
        <v/>
      </c>
      <c r="E208" s="34">
        <f>'Index Returns'!E208*'SAA with CME'!F$27</f>
        <v/>
      </c>
      <c r="F208" s="34">
        <f>'Index Returns'!F208*'SAA with CME'!G$27</f>
        <v/>
      </c>
      <c r="G208" s="34">
        <f>'Index Returns'!G208*'SAA with CME'!H$27</f>
        <v/>
      </c>
      <c r="H208" s="35">
        <f>SUM(B208:G208)</f>
        <v/>
      </c>
      <c r="I208" s="49">
        <f>I207*(1+H208)</f>
        <v/>
      </c>
    </row>
    <row r="209">
      <c r="A209" s="48">
        <f>'Index Returns'!A209</f>
        <v/>
      </c>
      <c r="B209" s="34">
        <f>'Index Returns'!B209*'SAA with CME'!C$27</f>
        <v/>
      </c>
      <c r="C209" s="34">
        <f>'Index Returns'!C209*'SAA with CME'!D$27</f>
        <v/>
      </c>
      <c r="D209" s="34">
        <f>'Index Returns'!D209*'SAA with CME'!E$27</f>
        <v/>
      </c>
      <c r="E209" s="34">
        <f>'Index Returns'!E209*'SAA with CME'!F$27</f>
        <v/>
      </c>
      <c r="F209" s="34">
        <f>'Index Returns'!F209*'SAA with CME'!G$27</f>
        <v/>
      </c>
      <c r="G209" s="34">
        <f>'Index Returns'!G209*'SAA with CME'!H$27</f>
        <v/>
      </c>
      <c r="H209" s="35">
        <f>SUM(B209:G209)</f>
        <v/>
      </c>
      <c r="I209" s="49">
        <f>I208*(1+H209)</f>
        <v/>
      </c>
    </row>
    <row r="210">
      <c r="A210" s="48">
        <f>'Index Returns'!A210</f>
        <v/>
      </c>
      <c r="B210" s="34">
        <f>'Index Returns'!B210*'SAA with CME'!C$27</f>
        <v/>
      </c>
      <c r="C210" s="34">
        <f>'Index Returns'!C210*'SAA with CME'!D$27</f>
        <v/>
      </c>
      <c r="D210" s="34">
        <f>'Index Returns'!D210*'SAA with CME'!E$27</f>
        <v/>
      </c>
      <c r="E210" s="34">
        <f>'Index Returns'!E210*'SAA with CME'!F$27</f>
        <v/>
      </c>
      <c r="F210" s="34">
        <f>'Index Returns'!F210*'SAA with CME'!G$27</f>
        <v/>
      </c>
      <c r="G210" s="34">
        <f>'Index Returns'!G210*'SAA with CME'!H$27</f>
        <v/>
      </c>
      <c r="H210" s="35">
        <f>SUM(B210:G210)</f>
        <v/>
      </c>
      <c r="I210" s="49">
        <f>I209*(1+H210)</f>
        <v/>
      </c>
    </row>
    <row r="211">
      <c r="A211" s="48">
        <f>'Index Returns'!A211</f>
        <v/>
      </c>
      <c r="B211" s="34">
        <f>'Index Returns'!B211*'SAA with CME'!C$27</f>
        <v/>
      </c>
      <c r="C211" s="34">
        <f>'Index Returns'!C211*'SAA with CME'!D$27</f>
        <v/>
      </c>
      <c r="D211" s="34">
        <f>'Index Returns'!D211*'SAA with CME'!E$27</f>
        <v/>
      </c>
      <c r="E211" s="34">
        <f>'Index Returns'!E211*'SAA with CME'!F$27</f>
        <v/>
      </c>
      <c r="F211" s="34">
        <f>'Index Returns'!F211*'SAA with CME'!G$27</f>
        <v/>
      </c>
      <c r="G211" s="34">
        <f>'Index Returns'!G211*'SAA with CME'!H$27</f>
        <v/>
      </c>
      <c r="H211" s="35">
        <f>SUM(B211:G211)</f>
        <v/>
      </c>
      <c r="I211" s="49">
        <f>I210*(1+H211)</f>
        <v/>
      </c>
    </row>
    <row r="212">
      <c r="A212" s="48">
        <f>'Index Returns'!A212</f>
        <v/>
      </c>
      <c r="B212" s="34">
        <f>'Index Returns'!B212*'SAA with CME'!C$27</f>
        <v/>
      </c>
      <c r="C212" s="34">
        <f>'Index Returns'!C212*'SAA with CME'!D$27</f>
        <v/>
      </c>
      <c r="D212" s="34">
        <f>'Index Returns'!D212*'SAA with CME'!E$27</f>
        <v/>
      </c>
      <c r="E212" s="34">
        <f>'Index Returns'!E212*'SAA with CME'!F$27</f>
        <v/>
      </c>
      <c r="F212" s="34">
        <f>'Index Returns'!F212*'SAA with CME'!G$27</f>
        <v/>
      </c>
      <c r="G212" s="34">
        <f>'Index Returns'!G212*'SAA with CME'!H$27</f>
        <v/>
      </c>
      <c r="H212" s="35">
        <f>SUM(B212:G212)</f>
        <v/>
      </c>
      <c r="I212" s="49">
        <f>I211*(1+H212)</f>
        <v/>
      </c>
    </row>
    <row r="213">
      <c r="A213" s="48">
        <f>'Index Returns'!A213</f>
        <v/>
      </c>
      <c r="B213" s="34">
        <f>'Index Returns'!B213*'SAA with CME'!C$27</f>
        <v/>
      </c>
      <c r="C213" s="34">
        <f>'Index Returns'!C213*'SAA with CME'!D$27</f>
        <v/>
      </c>
      <c r="D213" s="34">
        <f>'Index Returns'!D213*'SAA with CME'!E$27</f>
        <v/>
      </c>
      <c r="E213" s="34">
        <f>'Index Returns'!E213*'SAA with CME'!F$27</f>
        <v/>
      </c>
      <c r="F213" s="34">
        <f>'Index Returns'!F213*'SAA with CME'!G$27</f>
        <v/>
      </c>
      <c r="G213" s="34">
        <f>'Index Returns'!G213*'SAA with CME'!H$27</f>
        <v/>
      </c>
      <c r="H213" s="35">
        <f>SUM(B213:G213)</f>
        <v/>
      </c>
      <c r="I213" s="49">
        <f>I212*(1+H213)</f>
        <v/>
      </c>
    </row>
    <row r="214">
      <c r="A214" s="48">
        <f>'Index Returns'!A214</f>
        <v/>
      </c>
      <c r="B214" s="34">
        <f>'Index Returns'!B214*'SAA with CME'!C$27</f>
        <v/>
      </c>
      <c r="C214" s="34">
        <f>'Index Returns'!C214*'SAA with CME'!D$27</f>
        <v/>
      </c>
      <c r="D214" s="34">
        <f>'Index Returns'!D214*'SAA with CME'!E$27</f>
        <v/>
      </c>
      <c r="E214" s="34">
        <f>'Index Returns'!E214*'SAA with CME'!F$27</f>
        <v/>
      </c>
      <c r="F214" s="34">
        <f>'Index Returns'!F214*'SAA with CME'!G$27</f>
        <v/>
      </c>
      <c r="G214" s="34">
        <f>'Index Returns'!G214*'SAA with CME'!H$27</f>
        <v/>
      </c>
      <c r="H214" s="35">
        <f>SUM(B214:G214)</f>
        <v/>
      </c>
      <c r="I214" s="49">
        <f>I213*(1+H214)</f>
        <v/>
      </c>
    </row>
    <row r="215">
      <c r="A215" s="48">
        <f>'Index Returns'!A215</f>
        <v/>
      </c>
      <c r="B215" s="34">
        <f>'Index Returns'!B215*'SAA with CME'!C$27</f>
        <v/>
      </c>
      <c r="C215" s="34">
        <f>'Index Returns'!C215*'SAA with CME'!D$27</f>
        <v/>
      </c>
      <c r="D215" s="34">
        <f>'Index Returns'!D215*'SAA with CME'!E$27</f>
        <v/>
      </c>
      <c r="E215" s="34">
        <f>'Index Returns'!E215*'SAA with CME'!F$27</f>
        <v/>
      </c>
      <c r="F215" s="34">
        <f>'Index Returns'!F215*'SAA with CME'!G$27</f>
        <v/>
      </c>
      <c r="G215" s="34">
        <f>'Index Returns'!G215*'SAA with CME'!H$27</f>
        <v/>
      </c>
      <c r="H215" s="35">
        <f>SUM(B215:G215)</f>
        <v/>
      </c>
      <c r="I215" s="49">
        <f>I214*(1+H215)</f>
        <v/>
      </c>
    </row>
    <row r="216">
      <c r="A216" s="48">
        <f>'Index Returns'!A216</f>
        <v/>
      </c>
      <c r="B216" s="34">
        <f>'Index Returns'!B216*'SAA with CME'!C$27</f>
        <v/>
      </c>
      <c r="C216" s="34">
        <f>'Index Returns'!C216*'SAA with CME'!D$27</f>
        <v/>
      </c>
      <c r="D216" s="34">
        <f>'Index Returns'!D216*'SAA with CME'!E$27</f>
        <v/>
      </c>
      <c r="E216" s="34">
        <f>'Index Returns'!E216*'SAA with CME'!F$27</f>
        <v/>
      </c>
      <c r="F216" s="34">
        <f>'Index Returns'!F216*'SAA with CME'!G$27</f>
        <v/>
      </c>
      <c r="G216" s="34">
        <f>'Index Returns'!G216*'SAA with CME'!H$27</f>
        <v/>
      </c>
      <c r="H216" s="35">
        <f>SUM(B216:G216)</f>
        <v/>
      </c>
      <c r="I216" s="49">
        <f>I215*(1+H216)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6" t="inlineStr">
        <is>
          <t>Backtesting the Strategic Asset Allocation: 3, 5 and 10 years</t>
        </is>
      </c>
    </row>
    <row r="3">
      <c r="A3" t="inlineStr">
        <is>
          <t>Current Date</t>
        </is>
      </c>
      <c r="B3" s="50" t="n">
        <v>43100</v>
      </c>
    </row>
    <row r="5">
      <c r="A5" s="18" t="inlineStr">
        <is>
          <t>SAA Portfolio</t>
        </is>
      </c>
      <c r="B5" s="18" t="inlineStr">
        <is>
          <t>3 Years</t>
        </is>
      </c>
      <c r="C5" s="18" t="inlineStr">
        <is>
          <t>5 Years</t>
        </is>
      </c>
      <c r="D5" s="18" t="inlineStr">
        <is>
          <t>10 Years</t>
        </is>
      </c>
    </row>
    <row r="6">
      <c r="A6" s="25" t="inlineStr">
        <is>
          <t>Years in backtest</t>
        </is>
      </c>
      <c r="B6" s="38" t="n">
        <v>3</v>
      </c>
      <c r="C6" s="38" t="n">
        <v>5</v>
      </c>
      <c r="D6" s="38" t="n">
        <v>10</v>
      </c>
    </row>
    <row r="7">
      <c r="A7" s="25" t="inlineStr">
        <is>
          <t>Start date (returns after)</t>
        </is>
      </c>
      <c r="B7" s="51">
        <f>EDATE($B$3,-12*B6)</f>
        <v/>
      </c>
      <c r="C7" s="51">
        <f>EDATE($B$3,-12*C6)</f>
        <v/>
      </c>
      <c r="D7" s="51">
        <f>EDATE($B$3,-12*D6)</f>
        <v/>
      </c>
    </row>
    <row r="8">
      <c r="A8" s="25" t="inlineStr">
        <is>
          <t># Months</t>
        </is>
      </c>
      <c r="B8" s="19">
        <f>COUNTIFS('SAA applied to Index Returns'!$A$2:$A$216,"&gt;"&amp;B7)</f>
        <v/>
      </c>
      <c r="C8" s="19">
        <f>COUNTIFS('SAA applied to Index Returns'!$A$2:$A$216,"&gt;"&amp;C7)</f>
        <v/>
      </c>
      <c r="D8" s="19">
        <f>COUNTIFS('SAA applied to Index Returns'!$A$2:$A$216,"&gt;"&amp;D7)</f>
        <v/>
      </c>
    </row>
    <row r="9">
      <c r="A9" s="25" t="inlineStr">
        <is>
          <t>Risk-free rate</t>
        </is>
      </c>
      <c r="B9" s="29" t="n">
        <v>0.0055</v>
      </c>
      <c r="C9" s="29" t="n">
        <v>0.004</v>
      </c>
      <c r="D9" s="29" t="n">
        <v>0.006</v>
      </c>
    </row>
    <row r="10">
      <c r="A10" s="25" t="inlineStr">
        <is>
          <t>Annualised return (arithmetic)</t>
        </is>
      </c>
      <c r="B10" s="21">
        <f>(1+AVERAGEIFS('SAA applied to Index Returns'!$H$2:$H$216,'SAA applied to Index Returns'!$A$2:$A$216,"&gt;"&amp;B7))^12-1</f>
        <v/>
      </c>
      <c r="C10" s="21">
        <f>(1+AVERAGEIFS('SAA applied to Index Returns'!$H$2:$H$216,'SAA applied to Index Returns'!$A$2:$A$216,"&gt;"&amp;C7))^12-1</f>
        <v/>
      </c>
      <c r="D10" s="21">
        <f>(1+AVERAGEIFS('SAA applied to Index Returns'!$H$2:$H$216,'SAA applied to Index Returns'!$A$2:$A$216,"&gt;"&amp;D7))^12-1</f>
        <v/>
      </c>
    </row>
    <row r="11">
      <c r="A11" s="25" t="inlineStr">
        <is>
          <t>Compounded annual return (CAGR)</t>
        </is>
      </c>
      <c r="B11" s="20">
        <f>EXP(SUMPRODUCT(('SAA applied to Index Returns'!$A$2:$A$216&gt;B7)*LN(1+'SAA applied to Index Returns'!$H$2:$H$216)))^(12/B8)-1</f>
        <v/>
      </c>
      <c r="C11" s="20">
        <f>EXP(SUMPRODUCT(('SAA applied to Index Returns'!$A$2:$A$216&gt;C7)*LN(1+'SAA applied to Index Returns'!$H$2:$H$216)))^(12/C8)-1</f>
        <v/>
      </c>
      <c r="D11" s="20">
        <f>EXP(SUMPRODUCT(('SAA applied to Index Returns'!$A$2:$A$216&gt;D7)*LN(1+'SAA applied to Index Returns'!$H$2:$H$216)))^(12/D8)-1</f>
        <v/>
      </c>
    </row>
    <row r="12">
      <c r="A12" s="25" t="inlineStr">
        <is>
          <t>Annualised volatility</t>
        </is>
      </c>
      <c r="B12" s="21">
        <f>SQRT((SUMPRODUCT(('SAA applied to Index Returns'!$A$2:$A$216&gt;B7)*'SAA applied to Index Returns'!$H$2:$H$216^2)-B8*AVERAGEIFS('SAA applied to Index Returns'!$H$2:$H$216,'SAA applied to Index Returns'!$A$2:$A$216,"&gt;"&amp;B7)^2)/(B8-1))*SQRT(12)</f>
        <v/>
      </c>
      <c r="C12" s="21">
        <f>SQRT((SUMPRODUCT(('SAA applied to Index Returns'!$A$2:$A$216&gt;C7)*'SAA applied to Index Returns'!$H$2:$H$216^2)-C8*AVERAGEIFS('SAA applied to Index Returns'!$H$2:$H$216,'SAA applied to Index Returns'!$A$2:$A$216,"&gt;"&amp;C7)^2)/(C8-1))*SQRT(12)</f>
        <v/>
      </c>
      <c r="D12" s="21">
        <f>SQRT((SUMPRODUCT(('SAA applied to Index Returns'!$A$2:$A$216&gt;D7)*'SAA applied to Index Returns'!$H$2:$H$216^2)-D8*AVERAGEIFS('SAA applied to Index Returns'!$H$2:$H$216,'SAA applied to Index Returns'!$A$2:$A$216,"&gt;"&amp;D7)^2)/(D8-1))*SQRT(12)</f>
        <v/>
      </c>
    </row>
    <row r="13">
      <c r="A13" s="25" t="inlineStr">
        <is>
          <t>Sharpe ratio</t>
        </is>
      </c>
      <c r="B13" s="31">
        <f>(B10-B9)/B12</f>
        <v/>
      </c>
      <c r="C13" s="31">
        <f>(C10-C9)/C12</f>
        <v/>
      </c>
      <c r="D13" s="31">
        <f>(D10-D9)/D12</f>
        <v/>
      </c>
    </row>
    <row r="14">
      <c r="A14" s="25" t="inlineStr">
        <is>
          <t>Cumulative return</t>
        </is>
      </c>
      <c r="B14" s="20">
        <f>EXP(SUMPRODUCT(('SAA applied to Index Returns'!$A$2:$A$216&gt;B7)*LN(1+'SAA applied to Index Returns'!$H$2:$H$216)))-1</f>
        <v/>
      </c>
      <c r="C14" s="20">
        <f>EXP(SUMPRODUCT(('SAA applied to Index Returns'!$A$2:$A$216&gt;C7)*LN(1+'SAA applied to Index Returns'!$H$2:$H$216)))-1</f>
        <v/>
      </c>
      <c r="D14" s="20">
        <f>EXP(SUMPRODUCT(('SAA applied to Index Returns'!$A$2:$A$216&gt;D7)*LN(1+'SAA applied to Index Returns'!$H$2:$H$216)))-1</f>
        <v/>
      </c>
    </row>
    <row r="16">
      <c r="A16" s="28" t="inlineStr">
        <is>
          <t>Historical benchmarks (index returns over the same windows) vs. SAA portfolio</t>
        </is>
      </c>
    </row>
    <row r="17">
      <c r="A17" s="18" t="inlineStr">
        <is>
          <t>Annualised return (arithmetic)</t>
        </is>
      </c>
      <c r="B17" s="18" t="inlineStr">
        <is>
          <t>Years</t>
        </is>
      </c>
      <c r="C17" s="18" t="inlineStr">
        <is>
          <t>US Large Cap</t>
        </is>
      </c>
      <c r="D17" s="18" t="inlineStr">
        <is>
          <t>Dev ex US</t>
        </is>
      </c>
      <c r="E17" s="18" t="inlineStr">
        <is>
          <t>EM</t>
        </is>
      </c>
      <c r="F17" s="18" t="inlineStr">
        <is>
          <t>UST</t>
        </is>
      </c>
      <c r="G17" s="18" t="inlineStr">
        <is>
          <t>US IG Corp Bond</t>
        </is>
      </c>
      <c r="H17" s="18" t="inlineStr">
        <is>
          <t>REITs</t>
        </is>
      </c>
      <c r="I17" s="18" t="inlineStr">
        <is>
          <t>SAA Portfolio</t>
        </is>
      </c>
      <c r="J17" s="18" t="inlineStr">
        <is>
          <t>Portfolio rank (of 7)</t>
        </is>
      </c>
    </row>
    <row r="18">
      <c r="A18" s="25">
        <f>B5</f>
        <v/>
      </c>
      <c r="B18" s="25">
        <f>B6</f>
        <v/>
      </c>
      <c r="C18" s="20">
        <f>(1+AVERAGEIFS('Index Returns'!$B$2:$B$216,'Index Returns'!$A$2:$A$216,"&gt;"&amp;$B$7))^12-1</f>
        <v/>
      </c>
      <c r="D18" s="20">
        <f>(1+AVERAGEIFS('Index Returns'!$C$2:$C$216,'Index Returns'!$A$2:$A$216,"&gt;"&amp;$B$7))^12-1</f>
        <v/>
      </c>
      <c r="E18" s="20">
        <f>(1+AVERAGEIFS('Index Returns'!$D$2:$D$216,'Index Returns'!$A$2:$A$216,"&gt;"&amp;$B$7))^12-1</f>
        <v/>
      </c>
      <c r="F18" s="20">
        <f>(1+AVERAGEIFS('Index Returns'!$E$2:$E$216,'Index Returns'!$A$2:$A$216,"&gt;"&amp;$B$7))^12-1</f>
        <v/>
      </c>
      <c r="G18" s="20">
        <f>(1+AVERAGEIFS('Index Returns'!$F$2:$F$216,'Index Returns'!$A$2:$A$216,"&gt;"&amp;$B$7))^12-1</f>
        <v/>
      </c>
      <c r="H18" s="20">
        <f>(1+AVERAGEIFS('Index Returns'!$G$2:$G$216,'Index Returns'!$A$2:$A$216,"&gt;"&amp;$B$7))^12-1</f>
        <v/>
      </c>
      <c r="I18" s="40">
        <f>$B$10</f>
        <v/>
      </c>
      <c r="J18" s="19">
        <f>RANK(I18,C18:I18,0)</f>
        <v/>
      </c>
    </row>
    <row r="19">
      <c r="A19" s="25">
        <f>C5</f>
        <v/>
      </c>
      <c r="B19" s="25">
        <f>C6</f>
        <v/>
      </c>
      <c r="C19" s="20">
        <f>(1+AVERAGEIFS('Index Returns'!$B$2:$B$216,'Index Returns'!$A$2:$A$216,"&gt;"&amp;$C$7))^12-1</f>
        <v/>
      </c>
      <c r="D19" s="20">
        <f>(1+AVERAGEIFS('Index Returns'!$C$2:$C$216,'Index Returns'!$A$2:$A$216,"&gt;"&amp;$C$7))^12-1</f>
        <v/>
      </c>
      <c r="E19" s="20">
        <f>(1+AVERAGEIFS('Index Returns'!$D$2:$D$216,'Index Returns'!$A$2:$A$216,"&gt;"&amp;$C$7))^12-1</f>
        <v/>
      </c>
      <c r="F19" s="20">
        <f>(1+AVERAGEIFS('Index Returns'!$E$2:$E$216,'Index Returns'!$A$2:$A$216,"&gt;"&amp;$C$7))^12-1</f>
        <v/>
      </c>
      <c r="G19" s="20">
        <f>(1+AVERAGEIFS('Index Returns'!$F$2:$F$216,'Index Returns'!$A$2:$A$216,"&gt;"&amp;$C$7))^12-1</f>
        <v/>
      </c>
      <c r="H19" s="20">
        <f>(1+AVERAGEIFS('Index Returns'!$G$2:$G$216,'Index Returns'!$A$2:$A$216,"&gt;"&amp;$C$7))^12-1</f>
        <v/>
      </c>
      <c r="I19" s="40">
        <f>$C$10</f>
        <v/>
      </c>
      <c r="J19" s="19">
        <f>RANK(I19,C19:I19,0)</f>
        <v/>
      </c>
    </row>
    <row r="20">
      <c r="A20" s="25">
        <f>D5</f>
        <v/>
      </c>
      <c r="B20" s="25">
        <f>D6</f>
        <v/>
      </c>
      <c r="C20" s="20">
        <f>(1+AVERAGEIFS('Index Returns'!$B$2:$B$216,'Index Returns'!$A$2:$A$216,"&gt;"&amp;$D$7))^12-1</f>
        <v/>
      </c>
      <c r="D20" s="20">
        <f>(1+AVERAGEIFS('Index Returns'!$C$2:$C$216,'Index Returns'!$A$2:$A$216,"&gt;"&amp;$D$7))^12-1</f>
        <v/>
      </c>
      <c r="E20" s="20">
        <f>(1+AVERAGEIFS('Index Returns'!$D$2:$D$216,'Index Returns'!$A$2:$A$216,"&gt;"&amp;$D$7))^12-1</f>
        <v/>
      </c>
      <c r="F20" s="20">
        <f>(1+AVERAGEIFS('Index Returns'!$E$2:$E$216,'Index Returns'!$A$2:$A$216,"&gt;"&amp;$D$7))^12-1</f>
        <v/>
      </c>
      <c r="G20" s="20">
        <f>(1+AVERAGEIFS('Index Returns'!$F$2:$F$216,'Index Returns'!$A$2:$A$216,"&gt;"&amp;$D$7))^12-1</f>
        <v/>
      </c>
      <c r="H20" s="20">
        <f>(1+AVERAGEIFS('Index Returns'!$G$2:$G$216,'Index Returns'!$A$2:$A$216,"&gt;"&amp;$D$7))^12-1</f>
        <v/>
      </c>
      <c r="I20" s="40">
        <f>$D$10</f>
        <v/>
      </c>
      <c r="J20" s="19">
        <f>RANK(I20,C20:I20,0)</f>
        <v/>
      </c>
    </row>
    <row r="22">
      <c r="A22" s="18" t="inlineStr">
        <is>
          <t>Annualised volatility</t>
        </is>
      </c>
      <c r="B22" s="18" t="inlineStr">
        <is>
          <t>Years</t>
        </is>
      </c>
      <c r="C22" s="18" t="inlineStr">
        <is>
          <t>US Large Cap</t>
        </is>
      </c>
      <c r="D22" s="18" t="inlineStr">
        <is>
          <t>Dev ex US</t>
        </is>
      </c>
      <c r="E22" s="18" t="inlineStr">
        <is>
          <t>EM</t>
        </is>
      </c>
      <c r="F22" s="18" t="inlineStr">
        <is>
          <t>UST</t>
        </is>
      </c>
      <c r="G22" s="18" t="inlineStr">
        <is>
          <t>US IG Corp Bond</t>
        </is>
      </c>
      <c r="H22" s="18" t="inlineStr">
        <is>
          <t>REITs</t>
        </is>
      </c>
      <c r="I22" s="18" t="inlineStr">
        <is>
          <t>SAA Portfolio</t>
        </is>
      </c>
      <c r="J22" s="18" t="inlineStr">
        <is>
          <t>Portfolio rank (of 7)</t>
        </is>
      </c>
    </row>
    <row r="23">
      <c r="A23" s="25">
        <f>B5</f>
        <v/>
      </c>
      <c r="B23" s="25">
        <f>B6</f>
        <v/>
      </c>
      <c r="C23" s="20">
        <f>SQRT((SUMPRODUCT(('Index Returns'!$A$2:$A$216&gt;$B$7)*'Index Returns'!$B$2:$B$216^2)-$B$8*AVERAGEIFS('Index Returns'!$B$2:$B$216,'Index Returns'!$A$2:$A$216,"&gt;"&amp;$B$7)^2)/($B$8-1))*SQRT(12)</f>
        <v/>
      </c>
      <c r="D23" s="20">
        <f>SQRT((SUMPRODUCT(('Index Returns'!$A$2:$A$216&gt;$B$7)*'Index Returns'!$C$2:$C$216^2)-$B$8*AVERAGEIFS('Index Returns'!$C$2:$C$216,'Index Returns'!$A$2:$A$216,"&gt;"&amp;$B$7)^2)/($B$8-1))*SQRT(12)</f>
        <v/>
      </c>
      <c r="E23" s="20">
        <f>SQRT((SUMPRODUCT(('Index Returns'!$A$2:$A$216&gt;$B$7)*'Index Returns'!$D$2:$D$216^2)-$B$8*AVERAGEIFS('Index Returns'!$D$2:$D$216,'Index Returns'!$A$2:$A$216,"&gt;"&amp;$B$7)^2)/($B$8-1))*SQRT(12)</f>
        <v/>
      </c>
      <c r="F23" s="20">
        <f>SQRT((SUMPRODUCT(('Index Returns'!$A$2:$A$216&gt;$B$7)*'Index Returns'!$E$2:$E$216^2)-$B$8*AVERAGEIFS('Index Returns'!$E$2:$E$216,'Index Returns'!$A$2:$A$216,"&gt;"&amp;$B$7)^2)/($B$8-1))*SQRT(12)</f>
        <v/>
      </c>
      <c r="G23" s="20">
        <f>SQRT((SUMPRODUCT(('Index Returns'!$A$2:$A$216&gt;$B$7)*'Index Returns'!$F$2:$F$216^2)-$B$8*AVERAGEIFS('Index Returns'!$F$2:$F$216,'Index Returns'!$A$2:$A$216,"&gt;"&amp;$B$7)^2)/($B$8-1))*SQRT(12)</f>
        <v/>
      </c>
      <c r="H23" s="20">
        <f>SQRT((SUMPRODUCT(('Index Returns'!$A$2:$A$216&gt;$B$7)*'Index Returns'!$G$2:$G$216^2)-$B$8*AVERAGEIFS('Index Returns'!$G$2:$G$216,'Index Returns'!$A$2:$A$216,"&gt;"&amp;$B$7)^2)/($B$8-1))*SQRT(12)</f>
        <v/>
      </c>
      <c r="I23" s="40">
        <f>$B$12</f>
        <v/>
      </c>
      <c r="J23" s="19">
        <f>RANK(I23,C23:I23,1)</f>
        <v/>
      </c>
    </row>
    <row r="24">
      <c r="A24" s="25">
        <f>C5</f>
        <v/>
      </c>
      <c r="B24" s="25">
        <f>C6</f>
        <v/>
      </c>
      <c r="C24" s="20">
        <f>SQRT((SUMPRODUCT(('Index Returns'!$A$2:$A$216&gt;$C$7)*'Index Returns'!$B$2:$B$216^2)-$C$8*AVERAGEIFS('Index Returns'!$B$2:$B$216,'Index Returns'!$A$2:$A$216,"&gt;"&amp;$C$7)^2)/($C$8-1))*SQRT(12)</f>
        <v/>
      </c>
      <c r="D24" s="20">
        <f>SQRT((SUMPRODUCT(('Index Returns'!$A$2:$A$216&gt;$C$7)*'Index Returns'!$C$2:$C$216^2)-$C$8*AVERAGEIFS('Index Returns'!$C$2:$C$216,'Index Returns'!$A$2:$A$216,"&gt;"&amp;$C$7)^2)/($C$8-1))*SQRT(12)</f>
        <v/>
      </c>
      <c r="E24" s="20">
        <f>SQRT((SUMPRODUCT(('Index Returns'!$A$2:$A$216&gt;$C$7)*'Index Returns'!$D$2:$D$216^2)-$C$8*AVERAGEIFS('Index Returns'!$D$2:$D$216,'Index Returns'!$A$2:$A$216,"&gt;"&amp;$C$7)^2)/($C$8-1))*SQRT(12)</f>
        <v/>
      </c>
      <c r="F24" s="20">
        <f>SQRT((SUMPRODUCT(('Index Returns'!$A$2:$A$216&gt;$C$7)*'Index Returns'!$E$2:$E$216^2)-$C$8*AVERAGEIFS('Index Returns'!$E$2:$E$216,'Index Returns'!$A$2:$A$216,"&gt;"&amp;$C$7)^2)/($C$8-1))*SQRT(12)</f>
        <v/>
      </c>
      <c r="G24" s="20">
        <f>SQRT((SUMPRODUCT(('Index Returns'!$A$2:$A$216&gt;$C$7)*'Index Returns'!$F$2:$F$216^2)-$C$8*AVERAGEIFS('Index Returns'!$F$2:$F$216,'Index Returns'!$A$2:$A$216,"&gt;"&amp;$C$7)^2)/($C$8-1))*SQRT(12)</f>
        <v/>
      </c>
      <c r="H24" s="20">
        <f>SQRT((SUMPRODUCT(('Index Returns'!$A$2:$A$216&gt;$C$7)*'Index Returns'!$G$2:$G$216^2)-$C$8*AVERAGEIFS('Index Returns'!$G$2:$G$216,'Index Returns'!$A$2:$A$216,"&gt;"&amp;$C$7)^2)/($C$8-1))*SQRT(12)</f>
        <v/>
      </c>
      <c r="I24" s="40">
        <f>$C$12</f>
        <v/>
      </c>
      <c r="J24" s="19">
        <f>RANK(I24,C24:I24,1)</f>
        <v/>
      </c>
    </row>
    <row r="25">
      <c r="A25" s="25">
        <f>D5</f>
        <v/>
      </c>
      <c r="B25" s="25">
        <f>D6</f>
        <v/>
      </c>
      <c r="C25" s="20">
        <f>SQRT((SUMPRODUCT(('Index Returns'!$A$2:$A$216&gt;$D$7)*'Index Returns'!$B$2:$B$216^2)-$D$8*AVERAGEIFS('Index Returns'!$B$2:$B$216,'Index Returns'!$A$2:$A$216,"&gt;"&amp;$D$7)^2)/($D$8-1))*SQRT(12)</f>
        <v/>
      </c>
      <c r="D25" s="20">
        <f>SQRT((SUMPRODUCT(('Index Returns'!$A$2:$A$216&gt;$D$7)*'Index Returns'!$C$2:$C$216^2)-$D$8*AVERAGEIFS('Index Returns'!$C$2:$C$216,'Index Returns'!$A$2:$A$216,"&gt;"&amp;$D$7)^2)/($D$8-1))*SQRT(12)</f>
        <v/>
      </c>
      <c r="E25" s="20">
        <f>SQRT((SUMPRODUCT(('Index Returns'!$A$2:$A$216&gt;$D$7)*'Index Returns'!$D$2:$D$216^2)-$D$8*AVERAGEIFS('Index Returns'!$D$2:$D$216,'Index Returns'!$A$2:$A$216,"&gt;"&amp;$D$7)^2)/($D$8-1))*SQRT(12)</f>
        <v/>
      </c>
      <c r="F25" s="20">
        <f>SQRT((SUMPRODUCT(('Index Returns'!$A$2:$A$216&gt;$D$7)*'Index Returns'!$E$2:$E$216^2)-$D$8*AVERAGEIFS('Index Returns'!$E$2:$E$216,'Index Returns'!$A$2:$A$216,"&gt;"&amp;$D$7)^2)/($D$8-1))*SQRT(12)</f>
        <v/>
      </c>
      <c r="G25" s="20">
        <f>SQRT((SUMPRODUCT(('Index Returns'!$A$2:$A$216&gt;$D$7)*'Index Returns'!$F$2:$F$216^2)-$D$8*AVERAGEIFS('Index Returns'!$F$2:$F$216,'Index Returns'!$A$2:$A$216,"&gt;"&amp;$D$7)^2)/($D$8-1))*SQRT(12)</f>
        <v/>
      </c>
      <c r="H25" s="20">
        <f>SQRT((SUMPRODUCT(('Index Returns'!$A$2:$A$216&gt;$D$7)*'Index Returns'!$G$2:$G$216^2)-$D$8*AVERAGEIFS('Index Returns'!$G$2:$G$216,'Index Returns'!$A$2:$A$216,"&gt;"&amp;$D$7)^2)/($D$8-1))*SQRT(12)</f>
        <v/>
      </c>
      <c r="I25" s="40">
        <f>$D$12</f>
        <v/>
      </c>
      <c r="J25" s="19">
        <f>RANK(I25,C25:I25,1)</f>
        <v/>
      </c>
    </row>
    <row r="27">
      <c r="A27" s="18" t="inlineStr">
        <is>
          <t>Sharpe ratio</t>
        </is>
      </c>
      <c r="B27" s="18" t="inlineStr">
        <is>
          <t>Years</t>
        </is>
      </c>
      <c r="C27" s="18" t="inlineStr">
        <is>
          <t>US Large Cap</t>
        </is>
      </c>
      <c r="D27" s="18" t="inlineStr">
        <is>
          <t>Dev ex US</t>
        </is>
      </c>
      <c r="E27" s="18" t="inlineStr">
        <is>
          <t>EM</t>
        </is>
      </c>
      <c r="F27" s="18" t="inlineStr">
        <is>
          <t>UST</t>
        </is>
      </c>
      <c r="G27" s="18" t="inlineStr">
        <is>
          <t>US IG Corp Bond</t>
        </is>
      </c>
      <c r="H27" s="18" t="inlineStr">
        <is>
          <t>REITs</t>
        </is>
      </c>
      <c r="I27" s="18" t="inlineStr">
        <is>
          <t>SAA Portfolio</t>
        </is>
      </c>
      <c r="J27" s="18" t="inlineStr">
        <is>
          <t>Portfolio rank (of 7)</t>
        </is>
      </c>
    </row>
    <row r="28">
      <c r="A28" s="25">
        <f>B5</f>
        <v/>
      </c>
      <c r="B28" s="25">
        <f>B6</f>
        <v/>
      </c>
      <c r="C28" s="41">
        <f>(((1+AVERAGEIFS('Index Returns'!$B$2:$B$216,'Index Returns'!$A$2:$A$216,"&gt;"&amp;$B$7))^12-1)-$B$9)/(SQRT((SUMPRODUCT(('Index Returns'!$A$2:$A$216&gt;$B$7)*'Index Returns'!$B$2:$B$216^2)-$B$8*AVERAGEIFS('Index Returns'!$B$2:$B$216,'Index Returns'!$A$2:$A$216,"&gt;"&amp;$B$7)^2)/($B$8-1))*SQRT(12))</f>
        <v/>
      </c>
      <c r="D28" s="41">
        <f>(((1+AVERAGEIFS('Index Returns'!$C$2:$C$216,'Index Returns'!$A$2:$A$216,"&gt;"&amp;$B$7))^12-1)-$B$9)/(SQRT((SUMPRODUCT(('Index Returns'!$A$2:$A$216&gt;$B$7)*'Index Returns'!$C$2:$C$216^2)-$B$8*AVERAGEIFS('Index Returns'!$C$2:$C$216,'Index Returns'!$A$2:$A$216,"&gt;"&amp;$B$7)^2)/($B$8-1))*SQRT(12))</f>
        <v/>
      </c>
      <c r="E28" s="41">
        <f>(((1+AVERAGEIFS('Index Returns'!$D$2:$D$216,'Index Returns'!$A$2:$A$216,"&gt;"&amp;$B$7))^12-1)-$B$9)/(SQRT((SUMPRODUCT(('Index Returns'!$A$2:$A$216&gt;$B$7)*'Index Returns'!$D$2:$D$216^2)-$B$8*AVERAGEIFS('Index Returns'!$D$2:$D$216,'Index Returns'!$A$2:$A$216,"&gt;"&amp;$B$7)^2)/($B$8-1))*SQRT(12))</f>
        <v/>
      </c>
      <c r="F28" s="41">
        <f>(((1+AVERAGEIFS('Index Returns'!$E$2:$E$216,'Index Returns'!$A$2:$A$216,"&gt;"&amp;$B$7))^12-1)-$B$9)/(SQRT((SUMPRODUCT(('Index Returns'!$A$2:$A$216&gt;$B$7)*'Index Returns'!$E$2:$E$216^2)-$B$8*AVERAGEIFS('Index Returns'!$E$2:$E$216,'Index Returns'!$A$2:$A$216,"&gt;"&amp;$B$7)^2)/($B$8-1))*SQRT(12))</f>
        <v/>
      </c>
      <c r="G28" s="41">
        <f>(((1+AVERAGEIFS('Index Returns'!$F$2:$F$216,'Index Returns'!$A$2:$A$216,"&gt;"&amp;$B$7))^12-1)-$B$9)/(SQRT((SUMPRODUCT(('Index Returns'!$A$2:$A$216&gt;$B$7)*'Index Returns'!$F$2:$F$216^2)-$B$8*AVERAGEIFS('Index Returns'!$F$2:$F$216,'Index Returns'!$A$2:$A$216,"&gt;"&amp;$B$7)^2)/($B$8-1))*SQRT(12))</f>
        <v/>
      </c>
      <c r="H28" s="41">
        <f>(((1+AVERAGEIFS('Index Returns'!$G$2:$G$216,'Index Returns'!$A$2:$A$216,"&gt;"&amp;$B$7))^12-1)-$B$9)/(SQRT((SUMPRODUCT(('Index Returns'!$A$2:$A$216&gt;$B$7)*'Index Returns'!$G$2:$G$216^2)-$B$8*AVERAGEIFS('Index Returns'!$G$2:$G$216,'Index Returns'!$A$2:$A$216,"&gt;"&amp;$B$7)^2)/($B$8-1))*SQRT(12))</f>
        <v/>
      </c>
      <c r="I28" s="42">
        <f>$B$13</f>
        <v/>
      </c>
      <c r="J28" s="19">
        <f>RANK(I28,C28:I28,0)</f>
        <v/>
      </c>
    </row>
    <row r="29">
      <c r="A29" s="25">
        <f>C5</f>
        <v/>
      </c>
      <c r="B29" s="25">
        <f>C6</f>
        <v/>
      </c>
      <c r="C29" s="41">
        <f>(((1+AVERAGEIFS('Index Returns'!$B$2:$B$216,'Index Returns'!$A$2:$A$216,"&gt;"&amp;$C$7))^12-1)-$C$9)/(SQRT((SUMPRODUCT(('Index Returns'!$A$2:$A$216&gt;$C$7)*'Index Returns'!$B$2:$B$216^2)-$C$8*AVERAGEIFS('Index Returns'!$B$2:$B$216,'Index Returns'!$A$2:$A$216,"&gt;"&amp;$C$7)^2)/($C$8-1))*SQRT(12))</f>
        <v/>
      </c>
      <c r="D29" s="41">
        <f>(((1+AVERAGEIFS('Index Returns'!$C$2:$C$216,'Index Returns'!$A$2:$A$216,"&gt;"&amp;$C$7))^12-1)-$C$9)/(SQRT((SUMPRODUCT(('Index Returns'!$A$2:$A$216&gt;$C$7)*'Index Returns'!$C$2:$C$216^2)-$C$8*AVERAGEIFS('Index Returns'!$C$2:$C$216,'Index Returns'!$A$2:$A$216,"&gt;"&amp;$C$7)^2)/($C$8-1))*SQRT(12))</f>
        <v/>
      </c>
      <c r="E29" s="41">
        <f>(((1+AVERAGEIFS('Index Returns'!$D$2:$D$216,'Index Returns'!$A$2:$A$216,"&gt;"&amp;$C$7))^12-1)-$C$9)/(SQRT((SUMPRODUCT(('Index Returns'!$A$2:$A$216&gt;$C$7)*'Index Returns'!$D$2:$D$216^2)-$C$8*AVERAGEIFS('Index Returns'!$D$2:$D$216,'Index Returns'!$A$2:$A$216,"&gt;"&amp;$C$7)^2)/($C$8-1))*SQRT(12))</f>
        <v/>
      </c>
      <c r="F29" s="41">
        <f>(((1+AVERAGEIFS('Index Returns'!$E$2:$E$216,'Index Returns'!$A$2:$A$216,"&gt;"&amp;$C$7))^12-1)-$C$9)/(SQRT((SUMPRODUCT(('Index Returns'!$A$2:$A$216&gt;$C$7)*'Index Returns'!$E$2:$E$216^2)-$C$8*AVERAGEIFS('Index Returns'!$E$2:$E$216,'Index Returns'!$A$2:$A$216,"&gt;"&amp;$C$7)^2)/($C$8-1))*SQRT(12))</f>
        <v/>
      </c>
      <c r="G29" s="41">
        <f>(((1+AVERAGEIFS('Index Returns'!$F$2:$F$216,'Index Returns'!$A$2:$A$216,"&gt;"&amp;$C$7))^12-1)-$C$9)/(SQRT((SUMPRODUCT(('Index Returns'!$A$2:$A$216&gt;$C$7)*'Index Returns'!$F$2:$F$216^2)-$C$8*AVERAGEIFS('Index Returns'!$F$2:$F$216,'Index Returns'!$A$2:$A$216,"&gt;"&amp;$C$7)^2)/($C$8-1))*SQRT(12))</f>
        <v/>
      </c>
      <c r="H29" s="41">
        <f>(((1+AVERAGEIFS('Index Returns'!$G$2:$G$216,'Index Returns'!$A$2:$A$216,"&gt;"&amp;$C$7))^12-1)-$C$9)/(SQRT((SUMPRODUCT(('Index Returns'!$A$2:$A$216&gt;$C$7)*'Index Returns'!$G$2:$G$216^2)-$C$8*AVERAGEIFS('Index Returns'!$G$2:$G$216,'Index Returns'!$A$2:$A$216,"&gt;"&amp;$C$7)^2)/($C$8-1))*SQRT(12))</f>
        <v/>
      </c>
      <c r="I29" s="42">
        <f>$C$13</f>
        <v/>
      </c>
      <c r="J29" s="19">
        <f>RANK(I29,C29:I29,0)</f>
        <v/>
      </c>
    </row>
    <row r="30">
      <c r="A30" s="25">
        <f>D5</f>
        <v/>
      </c>
      <c r="B30" s="25">
        <f>D6</f>
        <v/>
      </c>
      <c r="C30" s="41">
        <f>(((1+AVERAGEIFS('Index Returns'!$B$2:$B$216,'Index Returns'!$A$2:$A$216,"&gt;"&amp;$D$7))^12-1)-$D$9)/(SQRT((SUMPRODUCT(('Index Returns'!$A$2:$A$216&gt;$D$7)*'Index Returns'!$B$2:$B$216^2)-$D$8*AVERAGEIFS('Index Returns'!$B$2:$B$216,'Index Returns'!$A$2:$A$216,"&gt;"&amp;$D$7)^2)/($D$8-1))*SQRT(12))</f>
        <v/>
      </c>
      <c r="D30" s="41">
        <f>(((1+AVERAGEIFS('Index Returns'!$C$2:$C$216,'Index Returns'!$A$2:$A$216,"&gt;"&amp;$D$7))^12-1)-$D$9)/(SQRT((SUMPRODUCT(('Index Returns'!$A$2:$A$216&gt;$D$7)*'Index Returns'!$C$2:$C$216^2)-$D$8*AVERAGEIFS('Index Returns'!$C$2:$C$216,'Index Returns'!$A$2:$A$216,"&gt;"&amp;$D$7)^2)/($D$8-1))*SQRT(12))</f>
        <v/>
      </c>
      <c r="E30" s="41">
        <f>(((1+AVERAGEIFS('Index Returns'!$D$2:$D$216,'Index Returns'!$A$2:$A$216,"&gt;"&amp;$D$7))^12-1)-$D$9)/(SQRT((SUMPRODUCT(('Index Returns'!$A$2:$A$216&gt;$D$7)*'Index Returns'!$D$2:$D$216^2)-$D$8*AVERAGEIFS('Index Returns'!$D$2:$D$216,'Index Returns'!$A$2:$A$216,"&gt;"&amp;$D$7)^2)/($D$8-1))*SQRT(12))</f>
        <v/>
      </c>
      <c r="F30" s="41">
        <f>(((1+AVERAGEIFS('Index Returns'!$E$2:$E$216,'Index Returns'!$A$2:$A$216,"&gt;"&amp;$D$7))^12-1)-$D$9)/(SQRT((SUMPRODUCT(('Index Returns'!$A$2:$A$216&gt;$D$7)*'Index Returns'!$E$2:$E$216^2)-$D$8*AVERAGEIFS('Index Returns'!$E$2:$E$216,'Index Returns'!$A$2:$A$216,"&gt;"&amp;$D$7)^2)/($D$8-1))*SQRT(12))</f>
        <v/>
      </c>
      <c r="G30" s="41">
        <f>(((1+AVERAGEIFS('Index Returns'!$F$2:$F$216,'Index Returns'!$A$2:$A$216,"&gt;"&amp;$D$7))^12-1)-$D$9)/(SQRT((SUMPRODUCT(('Index Returns'!$A$2:$A$216&gt;$D$7)*'Index Returns'!$F$2:$F$216^2)-$D$8*AVERAGEIFS('Index Returns'!$F$2:$F$216,'Index Returns'!$A$2:$A$216,"&gt;"&amp;$D$7)^2)/($D$8-1))*SQRT(12))</f>
        <v/>
      </c>
      <c r="H30" s="41">
        <f>(((1+AVERAGEIFS('Index Returns'!$G$2:$G$216,'Index Returns'!$A$2:$A$216,"&gt;"&amp;$D$7))^12-1)-$D$9)/(SQRT((SUMPRODUCT(('Index Returns'!$A$2:$A$216&gt;$D$7)*'Index Returns'!$G$2:$G$216^2)-$D$8*AVERAGEIFS('Index Returns'!$G$2:$G$216,'Index Returns'!$A$2:$A$216,"&gt;"&amp;$D$7)^2)/($D$8-1))*SQRT(12))</f>
        <v/>
      </c>
      <c r="I30" s="42">
        <f>$D$13</f>
        <v/>
      </c>
      <c r="J30" s="19">
        <f>RANK(I30,C30:I30,0)</f>
        <v/>
      </c>
    </row>
    <row r="32">
      <c r="A32" s="27" t="inlineStr">
        <is>
          <t>Rank: return &amp; Sharpe ranked high-to-low (1 = best); volatility ranked low-to-high (1 = least risky).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6" t="inlineStr">
        <is>
          <t>Step 7 - High-level interpretation of the backtest</t>
        </is>
      </c>
    </row>
    <row r="3" ht="30" customHeight="1">
      <c r="A3" s="52" t="inlineStr">
        <is>
          <t>Selected SAA</t>
        </is>
      </c>
      <c r="B3" s="53" t="inlineStr">
        <is>
          <t>US Large Cap 10%, Dev ex US 10%, EM 50%, UST 10%, US IG Corp Bond 10%, REITs 10%. Ex-ante (optimistic CME): expected return 7.4%, volatility 13.7% (within the 15% medium-risk limit).</t>
        </is>
      </c>
    </row>
    <row r="5" ht="75" customHeight="1">
      <c r="A5" s="52" t="inlineStr">
        <is>
          <t>Realised vs. expected</t>
        </is>
      </c>
      <c r="B5" s="53" t="inlineStr">
        <is>
          <t>3 years: 5.8% p.a. (CAGR 5.4%) at 8.0% volatility, Sharpe 0.65. 5 years: 6.9% p.a. (CAGR 6.6%) at 7.5% volatility, Sharpe 0.87. 10 years: 2.1% p.a. (CAGR 1.1%) at 13.7% volatility, Sharpe 0.11. Returns fell short of the 7.4% expectation in every window; over 3 and 5 years risk was far lower than forecast, so risk-adjusted results were good, while the 10-year window (which includes the 2008 financial crisis) delivered forecast-level risk for very little return.</t>
        </is>
      </c>
    </row>
    <row r="7" ht="60" customHeight="1">
      <c r="A7" s="52" t="inlineStr">
        <is>
          <t>Vs. historical benchmarks</t>
        </is>
      </c>
      <c r="B7" s="53" t="inlineStr">
        <is>
          <t>The portfolio sits mid-pack on return (3rd-4th of 7 against the six indices) but has the second-lowest volatility in every window - only US IG Corporate Bonds were less volatile. Its Sharpe ratio ranks 3rd over 3 and 5 years and 4th over 10 years. US Large Cap was the standout (13.7% p.a., Sharpe 1.67 over 5 years) and US IG Corporate Bonds had the best 10-year Sharpe (0.99).</t>
        </is>
      </c>
    </row>
    <row r="9" ht="60" customHeight="1">
      <c r="A9" s="52" t="inlineStr">
        <is>
          <t>Main drivers</t>
        </is>
      </c>
      <c r="B9" s="53" t="inlineStr">
        <is>
          <t>The 50% EM allocation was the key drag: the EM index returned only 5.4%, 5.6% and 0.4% p.a. over 3, 5 and 10 years, far below its 9.3% optimistic expected return. The 10% cap-weight in US Large Cap missed the best-performing asset. Diversification did work: portfolio volatility was below every equity and REIT index in all three windows.</t>
        </is>
      </c>
    </row>
    <row r="11" ht="60" customHeight="1">
      <c r="A11" s="52" t="inlineStr">
        <is>
          <t>Conclusion</t>
        </is>
      </c>
      <c r="B11" s="53" t="inlineStr">
        <is>
          <t>The SAA delivered a diversified, lower-risk portfolio, but its heavy EM tilt - a product of maximising return on optimistic CMEs - cost return relative to simpler benchmarks such as US Large Cap. Worth considering: a maximum weight per asset class (e.g. 30-35%), testing base-case as well as optimistic CMEs, and reviewing results on a risk-adjusted basis rather than return alone.</t>
        </is>
      </c>
    </row>
    <row r="13" ht="60" customHeight="1">
      <c r="A13" s="52" t="inlineStr">
        <is>
          <t>Caveats</t>
        </is>
      </c>
      <c r="B13" s="53" t="inlineStr">
        <is>
          <t>Backtests are backward-looking while the SAA was built on forward-looking 10-year CMEs, so a single historical path is not a verdict on the allocation. In the data provided, the Dev ex US and EM series are identical from Feb-2000 to Dec-2013, and the UST series is unusually volatile (26-28% p.a.), so those benchmark figures should be treated with caution.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kharia</dc:creator>
  <dcterms:created xmlns:dcterms="http://purl.org/dc/terms/" xmlns:xsi="http://www.w3.org/2001/XMLSchema-instance" xsi:type="dcterms:W3CDTF">2023-09-06T06:56:18Z</dcterms:created>
  <dcterms:modified xmlns:dcterms="http://purl.org/dc/terms/" xmlns:xsi="http://www.w3.org/2001/XMLSchema-instance" xsi:type="dcterms:W3CDTF">2026-10-14T05:47:24Z</dcterms:modified>
  <cp:lastModifiedBy>Labao, Dianne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0x0101004BE47F320D6D6F4898002DC6ACC002F2</vt:lpwstr>
  </property>
  <property name="MediaServiceImageTags" fmtid="{D5CDD505-2E9C-101B-9397-08002B2CF9AE}" pid="3">
    <vt:lpwstr xmlns:vt="http://schemas.openxmlformats.org/officeDocument/2006/docPropsVTypes"/>
  </property>
</Properties>
</file>